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7798BC8-30C5-4FBB-82FD-0863AEE082FA}" xr6:coauthVersionLast="47" xr6:coauthVersionMax="47" xr10:uidLastSave="{00000000-0000-0000-0000-000000000000}"/>
  <bookViews>
    <workbookView xWindow="-120" yWindow="-120" windowWidth="20730" windowHeight="11040" xr2:uid="{D82EDE9D-319F-4817-B442-DB4736ADB2E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D16" i="1"/>
</calcChain>
</file>

<file path=xl/sharedStrings.xml><?xml version="1.0" encoding="utf-8"?>
<sst xmlns="http://schemas.openxmlformats.org/spreadsheetml/2006/main" count="37" uniqueCount="29">
  <si>
    <t>LEMBAR MONITORING DAN EVALUASI MANAJEMEN RISIKO UNIT</t>
  </si>
  <si>
    <t>SATUAN PENGAWAS INTERNAL</t>
  </si>
  <si>
    <t xml:space="preserve">POLITEKNIK NEGERI MALANG </t>
  </si>
  <si>
    <t xml:space="preserve">UNIT               </t>
  </si>
  <si>
    <t xml:space="preserve">: </t>
  </si>
  <si>
    <t xml:space="preserve">PEMONEV           </t>
  </si>
  <si>
    <t>Usman Nurhasan, S.Kom., M.T.</t>
  </si>
  <si>
    <t>KODE RISIKO</t>
  </si>
  <si>
    <t>Tahun Anggaran KEGIATAN</t>
  </si>
  <si>
    <t>:</t>
  </si>
  <si>
    <t>KEGIATAN</t>
  </si>
  <si>
    <t>PERNYATAAN
RISIKO</t>
  </si>
  <si>
    <t>LEVEL RISIKO</t>
  </si>
  <si>
    <t>RISIKO RESIDUAL</t>
  </si>
  <si>
    <t>Extreme</t>
  </si>
  <si>
    <t>PENGENDALIAN</t>
  </si>
  <si>
    <t>MITIGASI RISIKO</t>
  </si>
  <si>
    <t>KOMENTAR</t>
  </si>
  <si>
    <t>Menerima Risiko</t>
  </si>
  <si>
    <t>1. Sentralisasi Repositori Bukti: Buat penyimpanan digital terpusat dan berindeks untuk semua bukti pendukung.
2. Finalisasi LKPS &amp; Cross-Check: perept penyelesaian draft Laporan Kinerja Program Studi (LKPS) dan lakukan verifikasi silang (cross-check) bahwa semua klaim di laporan didukung bukti yang tersedia.
3. Koordinasi Khusus Keuangan: Lakukan koordinasi intensif dengan Pihak Keuangan untuk mempercepat pencairan dana kegiatan yang hasilnya akan menjadi bukti kritis akreditasi.</t>
  </si>
  <si>
    <t>Status Konfirmasi</t>
  </si>
  <si>
    <t>-</t>
  </si>
  <si>
    <t>Unit.</t>
  </si>
  <si>
    <t>Pemonev</t>
  </si>
  <si>
    <t>Malang, 22/09/2025</t>
  </si>
  <si>
    <t xml:space="preserve">NIP. </t>
  </si>
  <si>
    <t>NIP.</t>
  </si>
  <si>
    <t>test nama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</si>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</sst>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top" wrapText="1"/>
    </xf>
    <xf numFmtId="0" fontId="4" fillId="0" borderId="3" xfId="0" quotePrefix="1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 vertical="top" wrapText="1"/>
    </xf>
    <xf numFmtId="0" fontId="4" fillId="0" borderId="5" xfId="0" quotePrefix="1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4" xfId="0" quotePrefix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19" xfId="0" quotePrefix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left" vertical="top" wrapText="1"/>
    </xf>
    <xf numFmtId="0" fontId="4" fillId="0" borderId="20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vertical="center" wrapText="1"/>
    </xf>
    <xf numFmtId="0" fontId="4" fillId="0" borderId="15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/>
    <xf numFmtId="0" fontId="0" fillId="0" borderId="0" xfId="0" applyAlignment="1"/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</cellXfs>
  <cellStyles count="1">
    <cellStyle name="Normal" xfId="0" builtinId="0"/>
  </cellStyles>
  <dxfs count="10">
    <dxf>
      <font>
        <b/>
        <i val="0"/>
        <strike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strike val="0"/>
        <color auto="1"/>
      </font>
      <fill>
        <patternFill>
          <bgColor rgb="FF00B0F0"/>
        </patternFill>
      </fill>
    </dxf>
    <dxf>
      <font>
        <b/>
        <i val="0"/>
        <strike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strike val="0"/>
        <color auto="1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ADD2-3E79-4D61-AD4A-65AC2E5E7083}">
  <dimension ref="A1:M35"/>
  <sheetViews>
    <sheetView tabSelected="1" zoomScale="70" zoomScaleNormal="70" workbookViewId="0">
      <selection activeCell="O13" sqref="O13"/>
    </sheetView>
  </sheetViews>
  <sheetFormatPr defaultRowHeight="15" x14ac:dyDescent="0.25"/>
  <cols>
    <col min="1" max="1" width="15.28515625" bestFit="1" customWidth="1"/>
    <col min="2" max="2" width="2" bestFit="1" customWidth="1"/>
    <col min="3" max="3" width="24.5703125" customWidth="1"/>
    <col min="4" max="4" width="19.7109375" customWidth="1"/>
    <col min="5" max="5" width="18" customWidth="1"/>
    <col min="6" max="6" width="2" bestFit="1" customWidth="1"/>
    <col min="7" max="7" width="26.7109375" customWidth="1"/>
    <col min="8" max="8" width="28.28515625" bestFit="1" customWidth="1"/>
  </cols>
  <sheetData>
    <row r="1" spans="1:13" ht="15.75" customHeight="1" x14ac:dyDescent="0.25">
      <c r="A1" s="44" t="s">
        <v>0</v>
      </c>
      <c r="B1" s="44"/>
      <c r="C1" s="44"/>
      <c r="D1" s="44"/>
      <c r="E1" s="44"/>
      <c r="F1" s="44"/>
      <c r="G1" s="44"/>
      <c r="H1" s="44"/>
      <c r="J1" s="46"/>
      <c r="K1" s="46"/>
      <c r="L1" s="46"/>
      <c r="M1" s="46"/>
    </row>
    <row r="2" spans="1:13" ht="15.75" customHeight="1" x14ac:dyDescent="0.25">
      <c r="A2" s="44" t="s">
        <v>1</v>
      </c>
      <c r="B2" s="44"/>
      <c r="C2" s="44"/>
      <c r="D2" s="44"/>
      <c r="E2" s="44"/>
      <c r="F2" s="44"/>
      <c r="G2" s="44"/>
      <c r="H2" s="44"/>
    </row>
    <row r="3" spans="1:13" ht="15.75" customHeight="1" x14ac:dyDescent="0.25">
      <c r="A3" s="44" t="s">
        <v>2</v>
      </c>
      <c r="B3" s="44"/>
      <c r="C3" s="44"/>
      <c r="D3" s="44"/>
      <c r="E3" s="44"/>
      <c r="F3" s="44"/>
      <c r="G3" s="44"/>
      <c r="H3" s="44"/>
    </row>
    <row r="4" spans="1:13" ht="18" customHeight="1" x14ac:dyDescent="0.25">
      <c r="A4" s="45"/>
      <c r="B4" s="45"/>
      <c r="C4" s="45"/>
      <c r="D4" s="45"/>
      <c r="E4" s="45"/>
      <c r="F4" s="45"/>
      <c r="G4" s="45"/>
      <c r="H4" s="45"/>
    </row>
    <row r="5" spans="1:13" x14ac:dyDescent="0.25">
      <c r="A5" s="35" t="s">
        <v>3</v>
      </c>
      <c r="B5" s="36" t="s">
        <v>4</v>
      </c>
      <c r="C5" s="41"/>
      <c r="D5" s="41"/>
      <c r="E5" s="35" t="s">
        <v>5</v>
      </c>
      <c r="F5" s="36" t="s">
        <v>4</v>
      </c>
      <c r="G5" s="41" t="s">
        <v>6</v>
      </c>
      <c r="H5" s="41"/>
    </row>
    <row r="6" spans="1:13" x14ac:dyDescent="0.25">
      <c r="A6" s="48" t="s">
        <v>7</v>
      </c>
      <c r="B6" s="47" t="s">
        <v>4</v>
      </c>
      <c r="C6" s="42"/>
      <c r="D6" s="43"/>
      <c r="E6" s="48" t="s">
        <v>8</v>
      </c>
      <c r="F6" s="47" t="s">
        <v>9</v>
      </c>
      <c r="G6" s="49">
        <v>2025</v>
      </c>
      <c r="H6" s="49"/>
    </row>
    <row r="7" spans="1:13" x14ac:dyDescent="0.25">
      <c r="A7" s="38" t="s">
        <v>10</v>
      </c>
      <c r="B7" s="39" t="s">
        <v>4</v>
      </c>
      <c r="C7" s="52"/>
      <c r="D7" s="53"/>
      <c r="E7" s="53"/>
      <c r="F7" s="53"/>
      <c r="G7" s="53"/>
      <c r="H7" s="54"/>
    </row>
    <row r="8" spans="1:13" ht="42.75" x14ac:dyDescent="0.25">
      <c r="A8" s="50" t="s">
        <v>11</v>
      </c>
      <c r="B8" s="51" t="s">
        <v>4</v>
      </c>
      <c r="C8" s="1"/>
      <c r="D8" s="1"/>
      <c r="E8" s="1"/>
      <c r="F8" s="1"/>
      <c r="G8" s="1"/>
      <c r="H8" s="2"/>
    </row>
    <row r="9" spans="1:13" ht="28.5" x14ac:dyDescent="0.25">
      <c r="A9" s="37" t="s">
        <v>12</v>
      </c>
      <c r="B9" s="36" t="s">
        <v>4</v>
      </c>
      <c r="C9" s="55" t="s">
        <v>28</v>
      </c>
      <c r="D9" s="55"/>
      <c r="E9" s="40" t="s">
        <v>13</v>
      </c>
      <c r="F9" s="36" t="s">
        <v>9</v>
      </c>
      <c r="G9" s="41" t="s">
        <v>14</v>
      </c>
      <c r="H9" s="41"/>
    </row>
    <row r="10" spans="1:13" x14ac:dyDescent="0.25">
      <c r="A10" s="3"/>
      <c r="B10" s="4"/>
      <c r="C10" s="4"/>
      <c r="D10" s="4"/>
      <c r="E10" s="4"/>
      <c r="F10" s="4"/>
      <c r="G10" s="4"/>
      <c r="H10" s="5"/>
    </row>
    <row r="11" spans="1:13" x14ac:dyDescent="0.25">
      <c r="A11" s="6" t="s">
        <v>15</v>
      </c>
      <c r="B11" s="7"/>
      <c r="C11" s="8"/>
      <c r="D11" s="9" t="s">
        <v>16</v>
      </c>
      <c r="E11" s="10" t="s">
        <v>17</v>
      </c>
      <c r="F11" s="7"/>
      <c r="G11" s="7"/>
      <c r="H11" s="11"/>
    </row>
    <row r="12" spans="1:13" x14ac:dyDescent="0.25">
      <c r="A12" s="12"/>
      <c r="B12" s="13"/>
      <c r="C12" s="14"/>
      <c r="D12" s="15" t="s">
        <v>18</v>
      </c>
      <c r="E12" s="16" t="s">
        <v>19</v>
      </c>
      <c r="F12" s="16"/>
      <c r="G12" s="16"/>
      <c r="H12" s="17"/>
    </row>
    <row r="13" spans="1:13" x14ac:dyDescent="0.25">
      <c r="A13" s="18"/>
      <c r="B13" s="19"/>
      <c r="C13" s="20"/>
      <c r="D13" s="21"/>
      <c r="E13" s="22"/>
      <c r="F13" s="22"/>
      <c r="G13" s="22"/>
      <c r="H13" s="23"/>
    </row>
    <row r="14" spans="1:13" x14ac:dyDescent="0.25">
      <c r="A14" s="18"/>
      <c r="B14" s="19"/>
      <c r="C14" s="20"/>
      <c r="D14" s="21"/>
      <c r="E14" s="22"/>
      <c r="F14" s="22"/>
      <c r="G14" s="22"/>
      <c r="H14" s="23"/>
    </row>
    <row r="15" spans="1:13" x14ac:dyDescent="0.25">
      <c r="A15" s="18"/>
      <c r="B15" s="19"/>
      <c r="C15" s="20"/>
      <c r="D15" s="21"/>
      <c r="E15" s="22"/>
      <c r="F15" s="22"/>
      <c r="G15" s="22"/>
      <c r="H15" s="23"/>
    </row>
    <row r="16" spans="1:13" x14ac:dyDescent="0.25">
      <c r="A16" s="18"/>
      <c r="B16" s="19"/>
      <c r="C16" s="20"/>
      <c r="D16" s="24" t="str">
        <f>IF(D12="Menerima Risiko","","Unit Penerima Risiko")</f>
        <v/>
      </c>
      <c r="E16" s="22"/>
      <c r="F16" s="22"/>
      <c r="G16" s="22"/>
      <c r="H16" s="23"/>
    </row>
    <row r="17" spans="1:8" x14ac:dyDescent="0.25">
      <c r="A17" s="18"/>
      <c r="B17" s="19"/>
      <c r="C17" s="20"/>
      <c r="D17" s="25"/>
      <c r="E17" s="22"/>
      <c r="F17" s="22"/>
      <c r="G17" s="22"/>
      <c r="H17" s="23"/>
    </row>
    <row r="18" spans="1:8" x14ac:dyDescent="0.25">
      <c r="A18" s="18"/>
      <c r="B18" s="19"/>
      <c r="C18" s="20"/>
      <c r="D18" s="25"/>
      <c r="E18" s="22"/>
      <c r="F18" s="22"/>
      <c r="G18" s="22"/>
      <c r="H18" s="23"/>
    </row>
    <row r="19" spans="1:8" x14ac:dyDescent="0.25">
      <c r="A19" s="18"/>
      <c r="B19" s="19"/>
      <c r="C19" s="20"/>
      <c r="D19" s="25"/>
      <c r="E19" s="22"/>
      <c r="F19" s="22"/>
      <c r="G19" s="22"/>
      <c r="H19" s="23"/>
    </row>
    <row r="20" spans="1:8" ht="42.75" x14ac:dyDescent="0.25">
      <c r="A20" s="18"/>
      <c r="B20" s="19"/>
      <c r="C20" s="20"/>
      <c r="D20" s="24" t="s">
        <v>20</v>
      </c>
      <c r="E20" s="22"/>
      <c r="F20" s="22"/>
      <c r="G20" s="22"/>
      <c r="H20" s="23"/>
    </row>
    <row r="21" spans="1:8" x14ac:dyDescent="0.25">
      <c r="A21" s="18"/>
      <c r="B21" s="19"/>
      <c r="C21" s="20"/>
      <c r="D21" s="26" t="s">
        <v>21</v>
      </c>
      <c r="E21" s="22"/>
      <c r="F21" s="22"/>
      <c r="G21" s="22"/>
      <c r="H21" s="23"/>
    </row>
    <row r="22" spans="1:8" x14ac:dyDescent="0.25">
      <c r="A22" s="18"/>
      <c r="B22" s="19"/>
      <c r="C22" s="20"/>
      <c r="D22" s="26" t="s">
        <v>21</v>
      </c>
      <c r="E22" s="22"/>
      <c r="F22" s="22"/>
      <c r="G22" s="22"/>
      <c r="H22" s="23"/>
    </row>
    <row r="23" spans="1:8" ht="15.75" thickBot="1" x14ac:dyDescent="0.3">
      <c r="A23" s="27"/>
      <c r="B23" s="28"/>
      <c r="C23" s="29"/>
      <c r="D23" s="30" t="s">
        <v>21</v>
      </c>
      <c r="E23" s="31"/>
      <c r="F23" s="31"/>
      <c r="G23" s="31"/>
      <c r="H23" s="32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H26" s="33" t="s">
        <v>24</v>
      </c>
    </row>
    <row r="27" spans="1:8" x14ac:dyDescent="0.25">
      <c r="A27" s="4"/>
      <c r="B27" s="4"/>
      <c r="C27" s="33" t="s">
        <v>22</v>
      </c>
      <c r="D27" s="4"/>
      <c r="E27" s="4"/>
      <c r="F27" s="4"/>
      <c r="H27" s="33" t="s">
        <v>23</v>
      </c>
    </row>
    <row r="28" spans="1:8" x14ac:dyDescent="0.25">
      <c r="A28" s="4"/>
      <c r="B28" s="4"/>
      <c r="C28" s="4"/>
      <c r="D28" s="4"/>
      <c r="E28" s="4"/>
      <c r="F28" s="4"/>
      <c r="H28" s="33"/>
    </row>
    <row r="29" spans="1:8" x14ac:dyDescent="0.25">
      <c r="A29" s="4"/>
      <c r="B29" s="4"/>
      <c r="C29" s="4"/>
      <c r="D29" s="4"/>
      <c r="E29" s="4"/>
      <c r="F29" s="4"/>
      <c r="H29" s="33"/>
    </row>
    <row r="30" spans="1:8" x14ac:dyDescent="0.25">
      <c r="A30" s="4"/>
      <c r="B30" s="4"/>
      <c r="C30" s="4"/>
      <c r="D30" s="4"/>
      <c r="E30" s="4"/>
      <c r="F30" s="4"/>
      <c r="H30" s="33"/>
    </row>
    <row r="31" spans="1:8" x14ac:dyDescent="0.25">
      <c r="A31" s="4"/>
      <c r="B31" s="4"/>
      <c r="C31" s="4"/>
      <c r="D31" s="4"/>
      <c r="E31" s="4"/>
      <c r="F31" s="4"/>
      <c r="H31" s="33"/>
    </row>
    <row r="32" spans="1:8" x14ac:dyDescent="0.25">
      <c r="A32" s="4"/>
      <c r="B32" s="4"/>
      <c r="C32" s="33" t="s">
        <v>27</v>
      </c>
      <c r="D32" s="4"/>
      <c r="E32" s="4"/>
      <c r="F32" s="4"/>
      <c r="H32" s="34" t="str">
        <f>G5</f>
        <v>Usman Nurhasan, S.Kom., M.T.</v>
      </c>
    </row>
    <row r="33" spans="1:8" x14ac:dyDescent="0.25">
      <c r="A33" s="4"/>
      <c r="B33" s="4"/>
      <c r="C33" s="33" t="s">
        <v>26</v>
      </c>
      <c r="D33" s="4"/>
      <c r="E33" s="4"/>
      <c r="F33" s="4"/>
      <c r="H33" s="33" t="s">
        <v>25</v>
      </c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</sheetData>
  <mergeCells count="16">
    <mergeCell ref="C7:H7"/>
    <mergeCell ref="A12:C23"/>
    <mergeCell ref="D12:D15"/>
    <mergeCell ref="E12:H23"/>
    <mergeCell ref="C8:H8"/>
    <mergeCell ref="C9:D9"/>
    <mergeCell ref="G9:H9"/>
    <mergeCell ref="A11:C11"/>
    <mergeCell ref="E11:H11"/>
    <mergeCell ref="A1:H1"/>
    <mergeCell ref="A2:H2"/>
    <mergeCell ref="A3:H3"/>
    <mergeCell ref="C5:D5"/>
    <mergeCell ref="G5:H5"/>
    <mergeCell ref="C6:D6"/>
    <mergeCell ref="G6:H6"/>
  </mergeCells>
  <conditionalFormatting sqref="C9:D9">
    <cfRule type="containsText" dxfId="9" priority="6" stopIfTrue="1" operator="containsText" text="VERY LOW">
      <formula>NOT(ISERROR(SEARCH("VERY LOW",C9)))</formula>
    </cfRule>
    <cfRule type="containsText" dxfId="8" priority="7" stopIfTrue="1" operator="containsText" text="LOW">
      <formula>NOT(ISERROR(SEARCH("LOW",C9)))</formula>
    </cfRule>
    <cfRule type="containsText" dxfId="7" priority="8" stopIfTrue="1" operator="containsText" text="MIDDLE">
      <formula>NOT(ISERROR(SEARCH("MIDDLE",C9)))</formula>
    </cfRule>
    <cfRule type="containsText" dxfId="6" priority="9" stopIfTrue="1" operator="containsText" text="HIGH">
      <formula>NOT(ISERROR(SEARCH("HIGH",C9)))</formula>
    </cfRule>
    <cfRule type="containsText" dxfId="5" priority="10" stopIfTrue="1" operator="containsText" text="EXTREME">
      <formula>NOT(ISERROR(SEARCH("EXTREME",C9)))</formula>
    </cfRule>
  </conditionalFormatting>
  <conditionalFormatting sqref="G9:H9">
    <cfRule type="containsText" dxfId="4" priority="1" stopIfTrue="1" operator="containsText" text="VERY LOW">
      <formula>NOT(ISERROR(SEARCH("VERY LOW",G9)))</formula>
    </cfRule>
    <cfRule type="containsText" dxfId="3" priority="2" stopIfTrue="1" operator="containsText" text="LOW">
      <formula>NOT(ISERROR(SEARCH("LOW",G9)))</formula>
    </cfRule>
    <cfRule type="containsText" dxfId="2" priority="3" stopIfTrue="1" operator="containsText" text="MIDDLE">
      <formula>NOT(ISERROR(SEARCH("MIDDLE",G9)))</formula>
    </cfRule>
    <cfRule type="containsText" dxfId="1" priority="4" stopIfTrue="1" operator="containsText" text="HIGH">
      <formula>NOT(ISERROR(SEARCH("HIGH",G9)))</formula>
    </cfRule>
    <cfRule type="containsText" dxfId="0" priority="5" stopIfTrue="1" operator="containsText" text="EXTREME">
      <formula>NOT(ISERROR(SEARCH("EXTREME",G9)))</formula>
    </cfRule>
  </conditionalFormatting>
  <dataValidations count="4">
    <dataValidation type="list" allowBlank="1" showInputMessage="1" showErrorMessage="1" sqref="D21:D23" xr:uid="{AD5CFC23-A533-4D72-B9FE-8623803D21D2}">
      <formula1>"'-, '- Sudah, '- Belum"</formula1>
    </dataValidation>
    <dataValidation type="list" allowBlank="1" showInputMessage="1" showErrorMessage="1" sqref="D12" xr:uid="{15A10ECE-0284-4A5F-9EDD-85718CB0E98E}">
      <formula1>"Menerima Risiko, Membagi Risiko, Melimpahkan Risiko"</formula1>
    </dataValidation>
    <dataValidation type="list" allowBlank="1" showInputMessage="1" showErrorMessage="1" sqref="G6:H6" xr:uid="{567B1BC7-B4FF-4C3E-ABEE-A41CEEFE420E}">
      <formula1>"2025, 2026, 2027, 2028"</formula1>
    </dataValidation>
    <dataValidation type="list" allowBlank="1" showInputMessage="1" showErrorMessage="1" sqref="G9:H9" xr:uid="{69C2A108-E009-49B4-B79F-CB73B6D51D08}">
      <formula1>"Extreme, High, Middle, Low, Very Low"</formula1>
    </dataValidation>
  </dataValidations>
  <printOptions horizontalCentered="1"/>
  <pageMargins left="0.39370078740157483" right="0.39370078740157483" top="0.19685039370078741" bottom="0.4724409448818898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Tracker</dc:creator>
  <cp:lastModifiedBy>Bayu Tracker</cp:lastModifiedBy>
  <cp:lastPrinted>2026-02-13T16:11:30Z</cp:lastPrinted>
  <dcterms:created xsi:type="dcterms:W3CDTF">2026-02-13T15:30:43Z</dcterms:created>
  <dcterms:modified xsi:type="dcterms:W3CDTF">2026-02-13T16:11:44Z</dcterms:modified>
</cp:coreProperties>
</file>