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1B50E85C-E99B-4C8E-B078-CA5633CBA8DE}" xr6:coauthVersionLast="47" xr6:coauthVersionMax="47" xr10:uidLastSave="{00000000-0000-0000-0000-000000000000}"/>
  <bookViews>
    <workbookView xWindow="0" yWindow="360" windowWidth="20730" windowHeight="11040" xr2:uid="{A5D6E0F4-B9AC-44D4-843B-A8BD65A3A153}"/>
  </bookViews>
  <sheets>
    <sheet name="Lembar Monitoring" sheetId="3" r:id="rId1"/>
    <sheet name="Unit &amp; Pemonev" sheetId="4" r:id="rId2"/>
    <sheet name="Kegiatan" sheetId="5" state="hidden" r:id="rId3"/>
    <sheet name="Target Unit" sheetId="14" state="hidden" r:id="rId4"/>
    <sheet name="Panduan" sheetId="17" r:id="rId5"/>
    <sheet name="Distribusi Unit" sheetId="16" r:id="rId6"/>
    <sheet name="By Budget" sheetId="8" state="hidden" r:id="rId7"/>
    <sheet name="By Level" sheetId="6" r:id="rId8"/>
    <sheet name="Target IKU 1.1" sheetId="10" state="hidden" r:id="rId9"/>
    <sheet name="By IKU" sheetId="15" state="hidden" r:id="rId10"/>
    <sheet name="Target IKU 2.1" sheetId="11" state="hidden" r:id="rId11"/>
    <sheet name="Target IKU 3.1" sheetId="12" state="hidden" r:id="rId12"/>
    <sheet name="Target IKU 4.1" sheetId="13" state="hidden" r:id="rId13"/>
  </sheets>
  <definedNames>
    <definedName name="_xlnm._FilterDatabase" localSheetId="6" hidden="1">'By Budget'!$A$3:$K$717</definedName>
    <definedName name="_xlnm._FilterDatabase" localSheetId="9" hidden="1">'By IKU'!$A$3:$K$717</definedName>
    <definedName name="_xlnm._FilterDatabase" localSheetId="7" hidden="1">'By Level'!$A$3:$K$717</definedName>
    <definedName name="_xlnm._FilterDatabase" localSheetId="5" hidden="1">'Distribusi Unit'!$C$4:$F$28</definedName>
    <definedName name="_xlnm._FilterDatabase" localSheetId="2" hidden="1">Kegiatan!$B$3:$K$717</definedName>
    <definedName name="_xlnm._FilterDatabase" localSheetId="3" hidden="1">'Target Unit'!$A$3:$K$75</definedName>
    <definedName name="_xlnm.Print_Area" localSheetId="0">'Lembar Monitoring'!$A$1:$H$314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87" i="3" l="1"/>
  <c r="P217" i="3"/>
  <c r="O182" i="3"/>
  <c r="A187" i="3" s="1"/>
  <c r="N147" i="3"/>
  <c r="M112" i="3"/>
  <c r="A117" i="3"/>
  <c r="L77" i="3"/>
  <c r="K42" i="3"/>
  <c r="A47" i="3" s="1"/>
  <c r="C7" i="3"/>
  <c r="H26" i="3"/>
  <c r="H61" i="3"/>
  <c r="H96" i="3"/>
  <c r="H131" i="3"/>
  <c r="H166" i="3"/>
  <c r="H201" i="3"/>
  <c r="H236" i="3"/>
  <c r="H271" i="3"/>
  <c r="H306" i="3"/>
  <c r="D296" i="3"/>
  <c r="D261" i="3"/>
  <c r="D226" i="3"/>
  <c r="D191" i="3"/>
  <c r="D156" i="3"/>
  <c r="D121" i="3"/>
  <c r="D86" i="3"/>
  <c r="D51" i="3"/>
  <c r="D16" i="3"/>
  <c r="Q287" i="3"/>
  <c r="P287" i="3"/>
  <c r="O287" i="3"/>
  <c r="N287" i="3"/>
  <c r="M287" i="3"/>
  <c r="L287" i="3"/>
  <c r="K287" i="3"/>
  <c r="J287" i="3"/>
  <c r="R252" i="3"/>
  <c r="R217" i="3"/>
  <c r="Q217" i="3"/>
  <c r="O217" i="3"/>
  <c r="N217" i="3"/>
  <c r="M217" i="3"/>
  <c r="L217" i="3"/>
  <c r="K217" i="3"/>
  <c r="J217" i="3"/>
  <c r="R182" i="3"/>
  <c r="Q182" i="3"/>
  <c r="P182" i="3"/>
  <c r="N182" i="3"/>
  <c r="M182" i="3"/>
  <c r="L182" i="3"/>
  <c r="K182" i="3"/>
  <c r="J182" i="3"/>
  <c r="R147" i="3"/>
  <c r="Q147" i="3"/>
  <c r="P147" i="3"/>
  <c r="O147" i="3"/>
  <c r="M147" i="3"/>
  <c r="L147" i="3"/>
  <c r="K147" i="3"/>
  <c r="J147" i="3"/>
  <c r="R112" i="3"/>
  <c r="Q112" i="3"/>
  <c r="P112" i="3"/>
  <c r="O112" i="3"/>
  <c r="N112" i="3"/>
  <c r="L112" i="3"/>
  <c r="K112" i="3"/>
  <c r="J112" i="3"/>
  <c r="R77" i="3"/>
  <c r="Q77" i="3"/>
  <c r="P77" i="3"/>
  <c r="O77" i="3"/>
  <c r="N77" i="3"/>
  <c r="M77" i="3"/>
  <c r="K77" i="3"/>
  <c r="J77" i="3"/>
  <c r="R42" i="3"/>
  <c r="Q42" i="3"/>
  <c r="P42" i="3"/>
  <c r="O42" i="3"/>
  <c r="N42" i="3"/>
  <c r="M42" i="3"/>
  <c r="L42" i="3"/>
  <c r="J42" i="3"/>
  <c r="G312" i="3"/>
  <c r="G313" i="3" s="1"/>
  <c r="G277" i="3"/>
  <c r="G278" i="3" s="1"/>
  <c r="G242" i="3"/>
  <c r="G243" i="3" s="1"/>
  <c r="G207" i="3"/>
  <c r="G208" i="3" s="1"/>
  <c r="G172" i="3"/>
  <c r="G173" i="3" s="1"/>
  <c r="G137" i="3"/>
  <c r="G138" i="3" s="1"/>
  <c r="G102" i="3"/>
  <c r="G103" i="3" s="1"/>
  <c r="G67" i="3"/>
  <c r="G68" i="3" s="1"/>
  <c r="C5" i="3"/>
  <c r="D29" i="16"/>
  <c r="K71" i="13"/>
  <c r="N71" i="13" s="1"/>
  <c r="J71" i="13"/>
  <c r="M71" i="13"/>
  <c r="I71" i="13"/>
  <c r="L71" i="13" s="1"/>
  <c r="O71" i="13" s="1"/>
  <c r="K70" i="13"/>
  <c r="N70" i="13" s="1"/>
  <c r="J70" i="13"/>
  <c r="M70" i="13"/>
  <c r="I70" i="13"/>
  <c r="L70" i="13"/>
  <c r="K69" i="13"/>
  <c r="N69" i="13" s="1"/>
  <c r="J69" i="13"/>
  <c r="M69" i="13" s="1"/>
  <c r="O69" i="13" s="1"/>
  <c r="I69" i="13"/>
  <c r="L69" i="13"/>
  <c r="H68" i="13"/>
  <c r="K66" i="13"/>
  <c r="N66" i="13" s="1"/>
  <c r="J66" i="13"/>
  <c r="M66" i="13" s="1"/>
  <c r="O66" i="13" s="1"/>
  <c r="I66" i="13"/>
  <c r="L66" i="13"/>
  <c r="K65" i="13"/>
  <c r="N65" i="13"/>
  <c r="J65" i="13"/>
  <c r="M65" i="13" s="1"/>
  <c r="O65" i="13" s="1"/>
  <c r="I65" i="13"/>
  <c r="L65" i="13"/>
  <c r="K64" i="13"/>
  <c r="N64" i="13" s="1"/>
  <c r="J64" i="13"/>
  <c r="M64" i="13" s="1"/>
  <c r="I64" i="13"/>
  <c r="L64" i="13" s="1"/>
  <c r="J63" i="13"/>
  <c r="M63" i="13"/>
  <c r="I63" i="13"/>
  <c r="L63" i="13"/>
  <c r="O63" i="13" s="1"/>
  <c r="K63" i="13"/>
  <c r="N63" i="13" s="1"/>
  <c r="H62" i="13"/>
  <c r="J60" i="13"/>
  <c r="M60" i="13"/>
  <c r="I60" i="13"/>
  <c r="L60" i="13" s="1"/>
  <c r="K60" i="13"/>
  <c r="N60" i="13" s="1"/>
  <c r="I59" i="13"/>
  <c r="L59" i="13"/>
  <c r="K59" i="13"/>
  <c r="N59" i="13"/>
  <c r="J59" i="13"/>
  <c r="M59" i="13" s="1"/>
  <c r="O59" i="13" s="1"/>
  <c r="K58" i="13"/>
  <c r="N58" i="13" s="1"/>
  <c r="O58" i="13" s="1"/>
  <c r="J58" i="13"/>
  <c r="M58" i="13"/>
  <c r="I58" i="13"/>
  <c r="L58" i="13"/>
  <c r="K57" i="13"/>
  <c r="N57" i="13"/>
  <c r="O57" i="13" s="1"/>
  <c r="J57" i="13"/>
  <c r="M57" i="13"/>
  <c r="I57" i="13"/>
  <c r="L57" i="13"/>
  <c r="K56" i="13"/>
  <c r="N56" i="13" s="1"/>
  <c r="J56" i="13"/>
  <c r="M56" i="13" s="1"/>
  <c r="O56" i="13" s="1"/>
  <c r="I56" i="13"/>
  <c r="L56" i="13"/>
  <c r="K55" i="13"/>
  <c r="N55" i="13"/>
  <c r="J55" i="13"/>
  <c r="M55" i="13" s="1"/>
  <c r="I55" i="13"/>
  <c r="L55" i="13" s="1"/>
  <c r="O55" i="13" s="1"/>
  <c r="H54" i="13"/>
  <c r="K52" i="13"/>
  <c r="N52" i="13"/>
  <c r="J52" i="13"/>
  <c r="M52" i="13" s="1"/>
  <c r="I52" i="13"/>
  <c r="L52" i="13" s="1"/>
  <c r="H51" i="13"/>
  <c r="K51" i="13"/>
  <c r="N51" i="13"/>
  <c r="K50" i="13"/>
  <c r="N50" i="13" s="1"/>
  <c r="J50" i="13"/>
  <c r="M50" i="13" s="1"/>
  <c r="I50" i="13"/>
  <c r="L50" i="13" s="1"/>
  <c r="K47" i="13"/>
  <c r="N47" i="13"/>
  <c r="J47" i="13"/>
  <c r="M47" i="13"/>
  <c r="I47" i="13"/>
  <c r="L47" i="13"/>
  <c r="O47" i="13" s="1"/>
  <c r="K46" i="13"/>
  <c r="N46" i="13"/>
  <c r="J46" i="13"/>
  <c r="M46" i="13" s="1"/>
  <c r="I46" i="13"/>
  <c r="L46" i="13" s="1"/>
  <c r="J45" i="13"/>
  <c r="M45" i="13"/>
  <c r="I45" i="13"/>
  <c r="L45" i="13"/>
  <c r="K45" i="13"/>
  <c r="N45" i="13"/>
  <c r="I44" i="13"/>
  <c r="L44" i="13"/>
  <c r="K44" i="13"/>
  <c r="N44" i="13"/>
  <c r="J44" i="13"/>
  <c r="M44" i="13"/>
  <c r="O44" i="13" s="1"/>
  <c r="K43" i="13"/>
  <c r="N43" i="13"/>
  <c r="O43" i="13" s="1"/>
  <c r="J43" i="13"/>
  <c r="M43" i="13"/>
  <c r="I43" i="13"/>
  <c r="L43" i="13"/>
  <c r="K42" i="13"/>
  <c r="N42" i="13" s="1"/>
  <c r="J42" i="13"/>
  <c r="M42" i="13" s="1"/>
  <c r="I42" i="13"/>
  <c r="L42" i="13"/>
  <c r="H41" i="13"/>
  <c r="K39" i="13"/>
  <c r="N39" i="13" s="1"/>
  <c r="J39" i="13"/>
  <c r="M39" i="13" s="1"/>
  <c r="O39" i="13" s="1"/>
  <c r="I39" i="13"/>
  <c r="L39" i="13"/>
  <c r="K38" i="13"/>
  <c r="N38" i="13"/>
  <c r="J38" i="13"/>
  <c r="M38" i="13"/>
  <c r="O38" i="13" s="1"/>
  <c r="I38" i="13"/>
  <c r="L38" i="13"/>
  <c r="K37" i="13"/>
  <c r="N37" i="13"/>
  <c r="J37" i="13"/>
  <c r="M37" i="13"/>
  <c r="I37" i="13"/>
  <c r="L37" i="13"/>
  <c r="O37" i="13" s="1"/>
  <c r="K36" i="13"/>
  <c r="N36" i="13"/>
  <c r="J36" i="13"/>
  <c r="M36" i="13"/>
  <c r="I36" i="13"/>
  <c r="L36" i="13" s="1"/>
  <c r="O36" i="13" s="1"/>
  <c r="H35" i="13"/>
  <c r="K33" i="13"/>
  <c r="N33" i="13"/>
  <c r="J33" i="13"/>
  <c r="M33" i="13"/>
  <c r="I33" i="13"/>
  <c r="L33" i="13" s="1"/>
  <c r="O33" i="13" s="1"/>
  <c r="K32" i="13"/>
  <c r="N32" i="13"/>
  <c r="J32" i="13"/>
  <c r="M32" i="13"/>
  <c r="I32" i="13"/>
  <c r="L32" i="13"/>
  <c r="O32" i="13" s="1"/>
  <c r="H31" i="13"/>
  <c r="K29" i="13"/>
  <c r="N29" i="13"/>
  <c r="J29" i="13"/>
  <c r="M29" i="13" s="1"/>
  <c r="I29" i="13"/>
  <c r="L29" i="13"/>
  <c r="O29" i="13" s="1"/>
  <c r="J28" i="13"/>
  <c r="M28" i="13" s="1"/>
  <c r="O28" i="13" s="1"/>
  <c r="I28" i="13"/>
  <c r="L28" i="13"/>
  <c r="K28" i="13"/>
  <c r="N28" i="13"/>
  <c r="I27" i="13"/>
  <c r="L27" i="13"/>
  <c r="O27" i="13" s="1"/>
  <c r="K27" i="13"/>
  <c r="N27" i="13"/>
  <c r="J27" i="13"/>
  <c r="M27" i="13" s="1"/>
  <c r="K26" i="13"/>
  <c r="N26" i="13"/>
  <c r="J26" i="13"/>
  <c r="M26" i="13"/>
  <c r="O26" i="13" s="1"/>
  <c r="I26" i="13"/>
  <c r="L26" i="13"/>
  <c r="K25" i="13"/>
  <c r="N25" i="13" s="1"/>
  <c r="J25" i="13"/>
  <c r="M25" i="13"/>
  <c r="I25" i="13"/>
  <c r="L25" i="13"/>
  <c r="H24" i="13"/>
  <c r="K22" i="13"/>
  <c r="N22" i="13" s="1"/>
  <c r="J22" i="13"/>
  <c r="M22" i="13"/>
  <c r="I22" i="13"/>
  <c r="L22" i="13"/>
  <c r="K21" i="13"/>
  <c r="N21" i="13"/>
  <c r="J21" i="13"/>
  <c r="M21" i="13" s="1"/>
  <c r="I21" i="13"/>
  <c r="L21" i="13"/>
  <c r="O21" i="13" s="1"/>
  <c r="K20" i="13"/>
  <c r="N20" i="13" s="1"/>
  <c r="O20" i="13" s="1"/>
  <c r="J20" i="13"/>
  <c r="M20" i="13"/>
  <c r="I20" i="13"/>
  <c r="L20" i="13"/>
  <c r="K19" i="13"/>
  <c r="N19" i="13"/>
  <c r="J19" i="13"/>
  <c r="M19" i="13"/>
  <c r="I19" i="13"/>
  <c r="L19" i="13" s="1"/>
  <c r="O19" i="13" s="1"/>
  <c r="K18" i="13"/>
  <c r="N18" i="13" s="1"/>
  <c r="J18" i="13"/>
  <c r="M18" i="13" s="1"/>
  <c r="I18" i="13"/>
  <c r="L18" i="13"/>
  <c r="O18" i="13" s="1"/>
  <c r="H17" i="13"/>
  <c r="K15" i="13"/>
  <c r="N15" i="13" s="1"/>
  <c r="J15" i="13"/>
  <c r="M15" i="13" s="1"/>
  <c r="I15" i="13"/>
  <c r="L15" i="13"/>
  <c r="J14" i="13"/>
  <c r="M14" i="13"/>
  <c r="I14" i="13"/>
  <c r="L14" i="13"/>
  <c r="O14" i="13" s="1"/>
  <c r="K14" i="13"/>
  <c r="N14" i="13"/>
  <c r="I13" i="13"/>
  <c r="L13" i="13" s="1"/>
  <c r="O13" i="13" s="1"/>
  <c r="J13" i="13"/>
  <c r="M13" i="13"/>
  <c r="K13" i="13"/>
  <c r="N13" i="13"/>
  <c r="K12" i="13"/>
  <c r="N12" i="13"/>
  <c r="J12" i="13"/>
  <c r="M12" i="13"/>
  <c r="I12" i="13"/>
  <c r="L12" i="13" s="1"/>
  <c r="O12" i="13" s="1"/>
  <c r="K11" i="13"/>
  <c r="N11" i="13"/>
  <c r="J11" i="13"/>
  <c r="M11" i="13" s="1"/>
  <c r="I11" i="13"/>
  <c r="L11" i="13"/>
  <c r="O11" i="13" s="1"/>
  <c r="K10" i="13"/>
  <c r="N10" i="13"/>
  <c r="J10" i="13"/>
  <c r="M10" i="13"/>
  <c r="I10" i="13"/>
  <c r="L10" i="13" s="1"/>
  <c r="O10" i="13" s="1"/>
  <c r="K9" i="13"/>
  <c r="N9" i="13" s="1"/>
  <c r="J9" i="13"/>
  <c r="M9" i="13" s="1"/>
  <c r="I9" i="13"/>
  <c r="L9" i="13"/>
  <c r="O9" i="13" s="1"/>
  <c r="H8" i="13"/>
  <c r="J66" i="12"/>
  <c r="J65" i="12" s="1"/>
  <c r="I65" i="12"/>
  <c r="J63" i="12"/>
  <c r="J62" i="12"/>
  <c r="J61" i="12"/>
  <c r="J60" i="12"/>
  <c r="J59" i="12"/>
  <c r="I59" i="12"/>
  <c r="J57" i="12"/>
  <c r="J56" i="12"/>
  <c r="J51" i="12" s="1"/>
  <c r="J55" i="12"/>
  <c r="J54" i="12"/>
  <c r="J53" i="12"/>
  <c r="J52" i="12"/>
  <c r="I51" i="12"/>
  <c r="J49" i="12"/>
  <c r="I48" i="12"/>
  <c r="J48" i="12" s="1"/>
  <c r="J46" i="12" s="1"/>
  <c r="J47" i="12"/>
  <c r="J44" i="12"/>
  <c r="J39" i="12"/>
  <c r="J38" i="12" s="1"/>
  <c r="J40" i="12"/>
  <c r="J41" i="12"/>
  <c r="J42" i="12"/>
  <c r="J43" i="12"/>
  <c r="I38" i="12"/>
  <c r="J36" i="12"/>
  <c r="J34" i="12"/>
  <c r="J35" i="12"/>
  <c r="J33" i="12"/>
  <c r="I33" i="12"/>
  <c r="J31" i="12"/>
  <c r="J30" i="12"/>
  <c r="J29" i="12" s="1"/>
  <c r="I29" i="12"/>
  <c r="J27" i="12"/>
  <c r="J26" i="12"/>
  <c r="J25" i="12"/>
  <c r="J22" i="12" s="1"/>
  <c r="J24" i="12"/>
  <c r="J23" i="12"/>
  <c r="I22" i="12"/>
  <c r="J20" i="12"/>
  <c r="J17" i="12"/>
  <c r="J16" i="12" s="1"/>
  <c r="J18" i="12"/>
  <c r="J19" i="12"/>
  <c r="I16" i="12"/>
  <c r="J14" i="12"/>
  <c r="J13" i="12"/>
  <c r="J12" i="12"/>
  <c r="J9" i="12"/>
  <c r="J8" i="12" s="1"/>
  <c r="J10" i="12"/>
  <c r="J11" i="12"/>
  <c r="I8" i="12"/>
  <c r="O45" i="13"/>
  <c r="H49" i="13"/>
  <c r="I51" i="13"/>
  <c r="L51" i="13" s="1"/>
  <c r="O51" i="13" s="1"/>
  <c r="J51" i="13"/>
  <c r="M51" i="13"/>
  <c r="K68" i="11"/>
  <c r="J68" i="11"/>
  <c r="I68" i="11"/>
  <c r="K67" i="11"/>
  <c r="K65" i="11" s="1"/>
  <c r="J67" i="11"/>
  <c r="I67" i="11"/>
  <c r="I66" i="11"/>
  <c r="I65" i="11" s="1"/>
  <c r="K66" i="11"/>
  <c r="J66" i="11"/>
  <c r="J65" i="11"/>
  <c r="K63" i="11"/>
  <c r="J63" i="11"/>
  <c r="I63" i="11"/>
  <c r="K62" i="11"/>
  <c r="J62" i="11"/>
  <c r="M62" i="11" s="1"/>
  <c r="O62" i="11" s="1"/>
  <c r="J60" i="11"/>
  <c r="J61" i="11"/>
  <c r="J59" i="11"/>
  <c r="I62" i="11"/>
  <c r="K61" i="11"/>
  <c r="I61" i="11"/>
  <c r="O60" i="11"/>
  <c r="K60" i="11"/>
  <c r="K59" i="11" s="1"/>
  <c r="M61" i="11"/>
  <c r="O61" i="11" s="1"/>
  <c r="I60" i="11"/>
  <c r="I59" i="11"/>
  <c r="K57" i="11"/>
  <c r="N57" i="11" s="1"/>
  <c r="K52" i="11"/>
  <c r="K51" i="11" s="1"/>
  <c r="K53" i="11"/>
  <c r="K54" i="11"/>
  <c r="K55" i="11"/>
  <c r="K56" i="11"/>
  <c r="J57" i="11"/>
  <c r="I57" i="11"/>
  <c r="J56" i="11"/>
  <c r="J52" i="11"/>
  <c r="J53" i="11"/>
  <c r="J54" i="11"/>
  <c r="J51" i="11" s="1"/>
  <c r="J55" i="11"/>
  <c r="M55" i="11" s="1"/>
  <c r="I56" i="11"/>
  <c r="I55" i="11"/>
  <c r="I54" i="11"/>
  <c r="I53" i="11"/>
  <c r="I52" i="11"/>
  <c r="I51" i="11" s="1"/>
  <c r="O49" i="11"/>
  <c r="K49" i="11"/>
  <c r="K47" i="11"/>
  <c r="K46" i="11" s="1"/>
  <c r="N47" i="11" s="1"/>
  <c r="K48" i="11"/>
  <c r="J49" i="11"/>
  <c r="I49" i="11"/>
  <c r="J48" i="11"/>
  <c r="J47" i="11"/>
  <c r="I48" i="11"/>
  <c r="I47" i="11"/>
  <c r="I46" i="11"/>
  <c r="K44" i="11"/>
  <c r="K43" i="11"/>
  <c r="N43" i="11" s="1"/>
  <c r="N44" i="11"/>
  <c r="J44" i="11"/>
  <c r="I44" i="11"/>
  <c r="K42" i="11"/>
  <c r="J43" i="11"/>
  <c r="I43" i="11"/>
  <c r="J42" i="11"/>
  <c r="I42" i="11"/>
  <c r="I38" i="11" s="1"/>
  <c r="K41" i="11"/>
  <c r="K40" i="11"/>
  <c r="N41" i="11"/>
  <c r="J41" i="11"/>
  <c r="J39" i="11"/>
  <c r="J40" i="11"/>
  <c r="I41" i="11"/>
  <c r="K39" i="11"/>
  <c r="N40" i="11"/>
  <c r="I40" i="11"/>
  <c r="I39" i="11"/>
  <c r="K36" i="11"/>
  <c r="N36" i="11" s="1"/>
  <c r="K35" i="11"/>
  <c r="J36" i="11"/>
  <c r="I36" i="11"/>
  <c r="I34" i="11"/>
  <c r="I35" i="11"/>
  <c r="I33" i="11"/>
  <c r="J35" i="11"/>
  <c r="K34" i="11"/>
  <c r="K33" i="11" s="1"/>
  <c r="J34" i="11"/>
  <c r="H33" i="11"/>
  <c r="K31" i="11"/>
  <c r="K29" i="11" s="1"/>
  <c r="J30" i="11"/>
  <c r="J31" i="11"/>
  <c r="J29" i="11"/>
  <c r="N30" i="11" s="1"/>
  <c r="M31" i="11"/>
  <c r="I31" i="11"/>
  <c r="K30" i="11"/>
  <c r="I30" i="11"/>
  <c r="I29" i="11" s="1"/>
  <c r="K27" i="11"/>
  <c r="N27" i="11" s="1"/>
  <c r="J27" i="11"/>
  <c r="I27" i="11"/>
  <c r="K26" i="11"/>
  <c r="N26" i="11" s="1"/>
  <c r="J23" i="11"/>
  <c r="J24" i="11"/>
  <c r="M24" i="11" s="1"/>
  <c r="O24" i="11" s="1"/>
  <c r="J25" i="11"/>
  <c r="M25" i="11" s="1"/>
  <c r="J26" i="11"/>
  <c r="M26" i="11" s="1"/>
  <c r="O26" i="11" s="1"/>
  <c r="J22" i="11"/>
  <c r="N24" i="11" s="1"/>
  <c r="I26" i="11"/>
  <c r="K25" i="11"/>
  <c r="I25" i="11"/>
  <c r="I23" i="11"/>
  <c r="I22" i="11" s="1"/>
  <c r="I24" i="11"/>
  <c r="K24" i="11"/>
  <c r="K23" i="11"/>
  <c r="K20" i="11"/>
  <c r="J20" i="11"/>
  <c r="J17" i="11"/>
  <c r="J18" i="11"/>
  <c r="J19" i="11"/>
  <c r="I20" i="11"/>
  <c r="K19" i="11"/>
  <c r="K17" i="11"/>
  <c r="K18" i="11"/>
  <c r="I19" i="11"/>
  <c r="I18" i="11"/>
  <c r="I17" i="11"/>
  <c r="I16" i="11" s="1"/>
  <c r="H16" i="11"/>
  <c r="K14" i="11"/>
  <c r="N14" i="11"/>
  <c r="J14" i="11"/>
  <c r="M14" i="11" s="1"/>
  <c r="O14" i="11" s="1"/>
  <c r="I14" i="11"/>
  <c r="K13" i="11"/>
  <c r="N13" i="11"/>
  <c r="J13" i="11"/>
  <c r="M13" i="11"/>
  <c r="O13" i="11"/>
  <c r="I13" i="11"/>
  <c r="K12" i="11"/>
  <c r="N12" i="11" s="1"/>
  <c r="J12" i="11"/>
  <c r="M12" i="11"/>
  <c r="I12" i="11"/>
  <c r="J11" i="11"/>
  <c r="M11" i="11" s="1"/>
  <c r="O11" i="11" s="1"/>
  <c r="K11" i="11"/>
  <c r="N11" i="11" s="1"/>
  <c r="I11" i="11"/>
  <c r="K10" i="11"/>
  <c r="N10" i="11" s="1"/>
  <c r="J10" i="11"/>
  <c r="M10" i="11"/>
  <c r="I10" i="11"/>
  <c r="K9" i="11"/>
  <c r="N9" i="11"/>
  <c r="J9" i="11"/>
  <c r="M9" i="11" s="1"/>
  <c r="O9" i="11" s="1"/>
  <c r="I9" i="11"/>
  <c r="I8" i="11" s="1"/>
  <c r="J8" i="11"/>
  <c r="H8" i="11"/>
  <c r="L68" i="10"/>
  <c r="K68" i="10"/>
  <c r="J68" i="10"/>
  <c r="L67" i="10"/>
  <c r="K67" i="10"/>
  <c r="J67" i="10"/>
  <c r="L66" i="10"/>
  <c r="K66" i="10"/>
  <c r="J66" i="10"/>
  <c r="L63" i="10"/>
  <c r="K63" i="10"/>
  <c r="J63" i="10"/>
  <c r="L62" i="10"/>
  <c r="K62" i="10"/>
  <c r="J62" i="10"/>
  <c r="L61" i="10"/>
  <c r="K61" i="10"/>
  <c r="J61" i="10"/>
  <c r="L60" i="10"/>
  <c r="K60" i="10"/>
  <c r="J60" i="10"/>
  <c r="L57" i="10"/>
  <c r="L52" i="10"/>
  <c r="L51" i="10" s="1"/>
  <c r="L53" i="10"/>
  <c r="L54" i="10"/>
  <c r="L55" i="10"/>
  <c r="L56" i="10"/>
  <c r="K57" i="10"/>
  <c r="K52" i="10"/>
  <c r="K51" i="10" s="1"/>
  <c r="K53" i="10"/>
  <c r="K54" i="10"/>
  <c r="K55" i="10"/>
  <c r="K56" i="10"/>
  <c r="J57" i="10"/>
  <c r="J56" i="10"/>
  <c r="J55" i="10"/>
  <c r="J54" i="10"/>
  <c r="J53" i="10"/>
  <c r="J52" i="10"/>
  <c r="J51" i="10"/>
  <c r="M56" i="10" s="1"/>
  <c r="I51" i="10"/>
  <c r="L49" i="10"/>
  <c r="K49" i="10"/>
  <c r="J49" i="10"/>
  <c r="J48" i="10"/>
  <c r="J47" i="10"/>
  <c r="L48" i="10"/>
  <c r="K48" i="10"/>
  <c r="L47" i="10"/>
  <c r="K47" i="10"/>
  <c r="I46" i="10"/>
  <c r="L44" i="10"/>
  <c r="L39" i="10"/>
  <c r="L40" i="10"/>
  <c r="L41" i="10"/>
  <c r="L42" i="10"/>
  <c r="L43" i="10"/>
  <c r="K44" i="10"/>
  <c r="K39" i="10"/>
  <c r="K40" i="10"/>
  <c r="K41" i="10"/>
  <c r="K42" i="10"/>
  <c r="K43" i="10"/>
  <c r="J44" i="10"/>
  <c r="J39" i="10"/>
  <c r="J38" i="10" s="1"/>
  <c r="J40" i="10"/>
  <c r="J41" i="10"/>
  <c r="J42" i="10"/>
  <c r="M42" i="10" s="1"/>
  <c r="J43" i="10"/>
  <c r="M43" i="10" s="1"/>
  <c r="I38" i="10"/>
  <c r="J36" i="10"/>
  <c r="J34" i="10"/>
  <c r="J33" i="10" s="1"/>
  <c r="M35" i="10" s="1"/>
  <c r="J35" i="10"/>
  <c r="L36" i="10"/>
  <c r="K36" i="10"/>
  <c r="L35" i="10"/>
  <c r="O35" i="10" s="1"/>
  <c r="L34" i="10"/>
  <c r="L33" i="10" s="1"/>
  <c r="O36" i="10" s="1"/>
  <c r="K35" i="10"/>
  <c r="K34" i="10"/>
  <c r="I33" i="10"/>
  <c r="L31" i="10"/>
  <c r="L30" i="10"/>
  <c r="L29" i="10" s="1"/>
  <c r="K31" i="10"/>
  <c r="K29" i="10" s="1"/>
  <c r="K30" i="10"/>
  <c r="J31" i="10"/>
  <c r="J30" i="10"/>
  <c r="J29" i="10" s="1"/>
  <c r="I29" i="10"/>
  <c r="J27" i="10"/>
  <c r="J23" i="10"/>
  <c r="J24" i="10"/>
  <c r="J25" i="10"/>
  <c r="J26" i="10"/>
  <c r="L27" i="10"/>
  <c r="O27" i="10" s="1"/>
  <c r="K27" i="10"/>
  <c r="N27" i="10" s="1"/>
  <c r="L26" i="10"/>
  <c r="L23" i="10"/>
  <c r="L24" i="10"/>
  <c r="L22" i="10" s="1"/>
  <c r="L25" i="10"/>
  <c r="K26" i="10"/>
  <c r="K23" i="10"/>
  <c r="K22" i="10" s="1"/>
  <c r="K24" i="10"/>
  <c r="K25" i="10"/>
  <c r="I22" i="10"/>
  <c r="L20" i="10"/>
  <c r="K20" i="10"/>
  <c r="J20" i="10"/>
  <c r="L19" i="10"/>
  <c r="L17" i="10"/>
  <c r="L16" i="10" s="1"/>
  <c r="L18" i="10"/>
  <c r="K19" i="10"/>
  <c r="K17" i="10"/>
  <c r="K18" i="10"/>
  <c r="N18" i="10" s="1"/>
  <c r="K16" i="10"/>
  <c r="N17" i="10" s="1"/>
  <c r="J19" i="10"/>
  <c r="J18" i="10"/>
  <c r="J17" i="10"/>
  <c r="I16" i="10"/>
  <c r="L14" i="10"/>
  <c r="L9" i="10"/>
  <c r="L10" i="10"/>
  <c r="L11" i="10"/>
  <c r="L12" i="10"/>
  <c r="L13" i="10"/>
  <c r="K14" i="10"/>
  <c r="K9" i="10"/>
  <c r="K10" i="10"/>
  <c r="K11" i="10"/>
  <c r="K12" i="10"/>
  <c r="K13" i="10"/>
  <c r="J14" i="10"/>
  <c r="M14" i="10" s="1"/>
  <c r="J9" i="10"/>
  <c r="J8" i="10" s="1"/>
  <c r="J10" i="10"/>
  <c r="M10" i="10" s="1"/>
  <c r="J11" i="10"/>
  <c r="J12" i="10"/>
  <c r="J13" i="10"/>
  <c r="I8" i="10"/>
  <c r="I70" i="10"/>
  <c r="M63" i="11"/>
  <c r="O63" i="11" s="1"/>
  <c r="J33" i="11"/>
  <c r="M36" i="11" s="1"/>
  <c r="N35" i="11"/>
  <c r="N42" i="11"/>
  <c r="M34" i="11"/>
  <c r="K33" i="10"/>
  <c r="N34" i="10" s="1"/>
  <c r="N35" i="10"/>
  <c r="K46" i="10"/>
  <c r="N47" i="10" s="1"/>
  <c r="L46" i="10"/>
  <c r="O48" i="10" s="1"/>
  <c r="M57" i="10"/>
  <c r="G32" i="3"/>
  <c r="G33" i="3" s="1"/>
  <c r="A12" i="3"/>
  <c r="C9" i="3"/>
  <c r="C8" i="3"/>
  <c r="Q35" i="10" l="1"/>
  <c r="P35" i="10"/>
  <c r="M36" i="10"/>
  <c r="O55" i="10"/>
  <c r="O57" i="10"/>
  <c r="O56" i="10"/>
  <c r="N19" i="11"/>
  <c r="M57" i="11"/>
  <c r="O57" i="11" s="1"/>
  <c r="M53" i="11"/>
  <c r="O53" i="11" s="1"/>
  <c r="M52" i="11"/>
  <c r="O52" i="11" s="1"/>
  <c r="M54" i="11"/>
  <c r="O54" i="11" s="1"/>
  <c r="O50" i="13"/>
  <c r="O18" i="10"/>
  <c r="M31" i="10"/>
  <c r="O39" i="10"/>
  <c r="N57" i="10"/>
  <c r="N55" i="10"/>
  <c r="O31" i="11"/>
  <c r="M47" i="11"/>
  <c r="O47" i="11" s="1"/>
  <c r="N55" i="11"/>
  <c r="N56" i="11"/>
  <c r="O42" i="13"/>
  <c r="O55" i="11"/>
  <c r="M56" i="11"/>
  <c r="O25" i="13"/>
  <c r="O42" i="10"/>
  <c r="N25" i="10"/>
  <c r="N24" i="10"/>
  <c r="Q57" i="10"/>
  <c r="O36" i="11"/>
  <c r="M11" i="10"/>
  <c r="M12" i="10"/>
  <c r="M13" i="10"/>
  <c r="O19" i="10"/>
  <c r="N26" i="10"/>
  <c r="N31" i="10"/>
  <c r="N30" i="10"/>
  <c r="O60" i="13"/>
  <c r="N17" i="11"/>
  <c r="O12" i="11"/>
  <c r="M20" i="11"/>
  <c r="O15" i="13"/>
  <c r="O22" i="13"/>
  <c r="O64" i="13"/>
  <c r="O25" i="10"/>
  <c r="O23" i="10"/>
  <c r="O26" i="10"/>
  <c r="O24" i="10"/>
  <c r="O31" i="10"/>
  <c r="M44" i="10"/>
  <c r="M40" i="10"/>
  <c r="M41" i="10"/>
  <c r="N56" i="10"/>
  <c r="Q56" i="10" s="1"/>
  <c r="O10" i="11"/>
  <c r="N48" i="11"/>
  <c r="O46" i="13"/>
  <c r="O52" i="13"/>
  <c r="O70" i="13"/>
  <c r="P57" i="10"/>
  <c r="O47" i="10"/>
  <c r="N23" i="10"/>
  <c r="M35" i="11"/>
  <c r="O35" i="11" s="1"/>
  <c r="N19" i="10"/>
  <c r="J46" i="10"/>
  <c r="M48" i="10" s="1"/>
  <c r="N31" i="11"/>
  <c r="J38" i="11"/>
  <c r="J46" i="11"/>
  <c r="M48" i="11" s="1"/>
  <c r="O48" i="11" s="1"/>
  <c r="C114" i="3"/>
  <c r="C110" i="3"/>
  <c r="K22" i="11"/>
  <c r="N23" i="11"/>
  <c r="C149" i="3"/>
  <c r="C145" i="3"/>
  <c r="O17" i="10"/>
  <c r="M23" i="11"/>
  <c r="O23" i="11" s="1"/>
  <c r="M30" i="10"/>
  <c r="M39" i="10"/>
  <c r="K38" i="10"/>
  <c r="N39" i="10" s="1"/>
  <c r="L38" i="10"/>
  <c r="N36" i="10"/>
  <c r="N48" i="10"/>
  <c r="K38" i="11"/>
  <c r="N39" i="11" s="1"/>
  <c r="M9" i="10"/>
  <c r="K8" i="10"/>
  <c r="N9" i="10" s="1"/>
  <c r="L8" i="10"/>
  <c r="J22" i="10"/>
  <c r="M23" i="10" s="1"/>
  <c r="M34" i="10"/>
  <c r="J16" i="11"/>
  <c r="M19" i="11" s="1"/>
  <c r="O19" i="11" s="1"/>
  <c r="I46" i="12"/>
  <c r="C184" i="3"/>
  <c r="C180" i="3"/>
  <c r="J16" i="10"/>
  <c r="K8" i="11"/>
  <c r="N25" i="11"/>
  <c r="O25" i="11" s="1"/>
  <c r="M27" i="11"/>
  <c r="O27" i="11" s="1"/>
  <c r="O30" i="10"/>
  <c r="M30" i="11"/>
  <c r="O30" i="11" s="1"/>
  <c r="C43" i="3"/>
  <c r="C40" i="3"/>
  <c r="A222" i="3"/>
  <c r="C215" i="3"/>
  <c r="O34" i="10"/>
  <c r="M55" i="10"/>
  <c r="N34" i="11"/>
  <c r="O34" i="11" s="1"/>
  <c r="K16" i="11"/>
  <c r="N18" i="11" s="1"/>
  <c r="A82" i="3"/>
  <c r="C75" i="3"/>
  <c r="C253" i="3"/>
  <c r="C252" i="3"/>
  <c r="C250" i="3"/>
  <c r="C113" i="3"/>
  <c r="A292" i="3"/>
  <c r="C285" i="3"/>
  <c r="C44" i="3"/>
  <c r="C112" i="3"/>
  <c r="C183" i="3"/>
  <c r="C77" i="3"/>
  <c r="C218" i="3"/>
  <c r="C78" i="3"/>
  <c r="C147" i="3"/>
  <c r="C79" i="3"/>
  <c r="C148" i="3"/>
  <c r="C42" i="3"/>
  <c r="A152" i="3"/>
  <c r="C254" i="3"/>
  <c r="C217" i="3"/>
  <c r="A257" i="3"/>
  <c r="C219" i="3"/>
  <c r="C287" i="3"/>
  <c r="C182" i="3"/>
  <c r="C288" i="3"/>
  <c r="C289" i="3"/>
  <c r="P23" i="10" l="1"/>
  <c r="Q23" i="10"/>
  <c r="O13" i="10"/>
  <c r="O11" i="10"/>
  <c r="L70" i="10"/>
  <c r="Q39" i="10"/>
  <c r="P39" i="10"/>
  <c r="M18" i="10"/>
  <c r="M17" i="10"/>
  <c r="P30" i="10"/>
  <c r="Q30" i="10"/>
  <c r="P56" i="10"/>
  <c r="N10" i="10"/>
  <c r="N12" i="10"/>
  <c r="N11" i="10"/>
  <c r="P11" i="10" s="1"/>
  <c r="N13" i="10"/>
  <c r="Q13" i="10" s="1"/>
  <c r="K70" i="10"/>
  <c r="M19" i="10"/>
  <c r="M42" i="11"/>
  <c r="O42" i="11" s="1"/>
  <c r="M39" i="11"/>
  <c r="O39" i="11" s="1"/>
  <c r="M43" i="11"/>
  <c r="O43" i="11" s="1"/>
  <c r="M41" i="11"/>
  <c r="O41" i="11" s="1"/>
  <c r="M44" i="11"/>
  <c r="O44" i="11" s="1"/>
  <c r="M47" i="10"/>
  <c r="O12" i="10"/>
  <c r="P12" i="10" s="1"/>
  <c r="M27" i="10"/>
  <c r="P13" i="10"/>
  <c r="N14" i="10"/>
  <c r="O10" i="10"/>
  <c r="J70" i="10"/>
  <c r="P36" i="10"/>
  <c r="Q36" i="10"/>
  <c r="M18" i="11"/>
  <c r="O18" i="11" s="1"/>
  <c r="M17" i="11"/>
  <c r="O17" i="11" s="1"/>
  <c r="P48" i="10"/>
  <c r="Q48" i="10"/>
  <c r="Q12" i="10"/>
  <c r="O9" i="10"/>
  <c r="Q9" i="10" s="1"/>
  <c r="Q55" i="10"/>
  <c r="P55" i="10"/>
  <c r="P34" i="10"/>
  <c r="Q34" i="10"/>
  <c r="O44" i="10"/>
  <c r="O40" i="10"/>
  <c r="O41" i="10"/>
  <c r="P41" i="10" s="1"/>
  <c r="O43" i="10"/>
  <c r="O14" i="10"/>
  <c r="O56" i="11"/>
  <c r="M24" i="10"/>
  <c r="M26" i="10"/>
  <c r="M25" i="10"/>
  <c r="N40" i="10"/>
  <c r="Q40" i="10" s="1"/>
  <c r="N42" i="10"/>
  <c r="N41" i="10"/>
  <c r="Q41" i="10" s="1"/>
  <c r="N44" i="10"/>
  <c r="P44" i="10" s="1"/>
  <c r="N43" i="10"/>
  <c r="N20" i="11"/>
  <c r="O20" i="11" s="1"/>
  <c r="M40" i="11"/>
  <c r="O40" i="11" s="1"/>
  <c r="Q31" i="10"/>
  <c r="P31" i="10"/>
  <c r="P24" i="10" l="1"/>
  <c r="Q24" i="10"/>
  <c r="Q44" i="10"/>
  <c r="P40" i="10"/>
  <c r="P10" i="10"/>
  <c r="Q10" i="10"/>
  <c r="Q43" i="10"/>
  <c r="P43" i="10"/>
  <c r="Q18" i="10"/>
  <c r="P18" i="10"/>
  <c r="P47" i="10"/>
  <c r="Q47" i="10"/>
  <c r="Q11" i="10"/>
  <c r="Q14" i="10"/>
  <c r="P14" i="10"/>
  <c r="P9" i="10"/>
  <c r="Q25" i="10"/>
  <c r="P25" i="10"/>
  <c r="Q26" i="10"/>
  <c r="P26" i="10"/>
  <c r="Q19" i="10"/>
  <c r="P19" i="10"/>
  <c r="Q42" i="10"/>
  <c r="P42" i="10"/>
  <c r="Q27" i="10"/>
  <c r="P27" i="10"/>
  <c r="P17" i="10"/>
  <c r="Q1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POLINEMA</author>
  </authors>
  <commentList>
    <comment ref="I48" authorId="0" shapeId="0" xr:uid="{DBBC1AD4-3875-4182-8AE8-DF5EC1BBB45A}">
      <text>
        <r>
          <rPr>
            <b/>
            <sz val="9"/>
            <color indexed="81"/>
            <rFont val="Tahoma"/>
            <family val="2"/>
          </rPr>
          <t>POLINEMA:</t>
        </r>
        <r>
          <rPr>
            <sz val="9"/>
            <color indexed="81"/>
            <rFont val="Tahoma"/>
            <family val="2"/>
          </rPr>
          <t xml:space="preserve">
Merupakan penambahan dari D-III Manajemen Informatika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POLINEMA</author>
  </authors>
  <commentList>
    <comment ref="H51" authorId="0" shapeId="0" xr:uid="{D233867B-7DAE-4E56-8FD8-1F0D456B7BB6}">
      <text>
        <r>
          <rPr>
            <b/>
            <sz val="9"/>
            <color indexed="81"/>
            <rFont val="Tahoma"/>
            <family val="2"/>
          </rPr>
          <t>POLINEMA:</t>
        </r>
        <r>
          <rPr>
            <sz val="9"/>
            <color indexed="81"/>
            <rFont val="Tahoma"/>
            <family val="2"/>
          </rPr>
          <t xml:space="preserve">
Merupakan penambahan dari D-III Manajemen Informatika</t>
        </r>
      </text>
    </comment>
  </commentList>
</comments>
</file>

<file path=xl/sharedStrings.xml><?xml version="1.0" encoding="utf-8"?>
<sst xmlns="http://schemas.openxmlformats.org/spreadsheetml/2006/main" count="18814" uniqueCount="3468">
  <si>
    <t>SATUAN PENGAWAS INTERNAL</t>
  </si>
  <si>
    <t>KEGIATAN</t>
  </si>
  <si>
    <t>LEVEL RISIKO</t>
  </si>
  <si>
    <t>PENGENDALIAN</t>
  </si>
  <si>
    <t>MITIGASI RISIKO</t>
  </si>
  <si>
    <t>PERNYATAAN
RISIKO</t>
  </si>
  <si>
    <t xml:space="preserve">: </t>
  </si>
  <si>
    <t>:</t>
  </si>
  <si>
    <t xml:space="preserve">UNIT               </t>
  </si>
  <si>
    <t xml:space="preserve">PEMONEV           </t>
  </si>
  <si>
    <t>Pemonev</t>
  </si>
  <si>
    <t>……………………</t>
  </si>
  <si>
    <t>Unit.</t>
  </si>
  <si>
    <t>KOMENTAR</t>
  </si>
  <si>
    <t>KODE RISIKO</t>
  </si>
  <si>
    <t>NO</t>
  </si>
  <si>
    <t xml:space="preserve">NAMA </t>
  </si>
  <si>
    <t>Q</t>
  </si>
  <si>
    <t>REKAP IDENTIFIKASI DAN ANALISIS RISIKO SELURUH UNIT TAHUN 2025</t>
  </si>
  <si>
    <t>Nama Unit &amp; Kode</t>
  </si>
  <si>
    <t>Usulan Kegiatan</t>
  </si>
  <si>
    <t>Nilai Usulan</t>
  </si>
  <si>
    <t>Skor Probabilitas</t>
  </si>
  <si>
    <t>Skor Dampak</t>
  </si>
  <si>
    <t>Tingkat Risiko</t>
  </si>
  <si>
    <t>SPIP</t>
  </si>
  <si>
    <t>Uraian Dampak</t>
  </si>
  <si>
    <t>Pernyataan Risiko</t>
  </si>
  <si>
    <t>Pengendalian</t>
  </si>
  <si>
    <t>D-III  Teknik Telekomunikasi-1</t>
  </si>
  <si>
    <t>FGD dan Inisiasi kerja sama dalam pelaksanaan PKL dan MBKM - D-III Teknik Telekomunikasi</t>
  </si>
  <si>
    <t>EXTREME</t>
  </si>
  <si>
    <t>Program studi kesulitan untuk mendapatkan mitra dalam upaya meingkatkan keikutsertaan MBKM bagi mahasiswa</t>
  </si>
  <si>
    <t>Karena kurangnya kepercayaan industri terhadap kompetensi mahasiswa mungkin tidak banyak industri telekomuniikasi yang dapat secara langsung melibatkan mahasiswa melalui MBKM sehingga kurangnya kerjasama prodi dengan mitra untuk menunjang MBKM</t>
  </si>
  <si>
    <t>Membuat database PT sehingga dapat memetakan mitra/industri yang telah dan belum menyusun dokumen kerjasama dengan Polinema serta menambahkan klausul penelitian dosen dan mahasiswa dalam dokumen kerjasama yang telah/akan dibuat</t>
  </si>
  <si>
    <t>D-III  Teknik Telekomunikasi-2</t>
  </si>
  <si>
    <t>FGD dan Inisiasi Kerjasama dengan Kampus LN - D-III Teknik Telekomunikasi</t>
  </si>
  <si>
    <t>D-IV Jaringan Telekomunikasi Digital-6</t>
  </si>
  <si>
    <t>FGD dan Inisiasi Kerjasama dengan Industri dalam Pelaksanaan MBKM - D-IV Jaringan Telekomunikasi Digital - D-IV Jaringan Telekomunikasi Digital</t>
  </si>
  <si>
    <t>D-IV Manajemen Pemasaran-6</t>
  </si>
  <si>
    <t>Peningkatan Kerjasama Luar Negeri Prodi D-IV Manajemen Pemasaran</t>
  </si>
  <si>
    <t>1. Tidak mempunyai kerjasama dengan mitra luar negeri; 2. Peningkatan daya saing global tidak terwujud.</t>
  </si>
  <si>
    <t>Karena terbatasnya jejaring luar negeri dalam mendukung pembelajaran dan pengembangan internasional, mungkin kurangnya pendekatan kepada mitra luar negeri, sehingga Peningkatan kerjasama luar negeri Prodi D-IV Manajemen Pemasaran tidak berjalan</t>
  </si>
  <si>
    <t>1. Melakukan inisiasi kerjasama dengan PT luar negeri. 2. Melakukan perencanaan kegiatan yang mendukung kegiatan kerjasama luar negeri.</t>
  </si>
  <si>
    <t>D-IV Manajemen Pemasaran-9</t>
  </si>
  <si>
    <t>Rekonstruksi dan Ujicoba Kurikulum Prodi D-IV Manajemen Pemasaran</t>
  </si>
  <si>
    <t>1.Tidak terlaksananya kegiatan rekonstruksi dan uji coba kurikulum Prodi D-IV Manajemen Pemasaran dengan baik; 2. Tidak adanya kurikulum yang selaras dengan dunia usaha dunia industri.</t>
  </si>
  <si>
    <t>Karena tidak memiiliki pedoman rekonstruksi dan ujicoba kurikulum yang update sesuai dunia industri, mungkin Terbatasnya data dan informasi rekonstruksi dan ujicoba kurikulum Prodi D-IV Manajemen Pemasaran, sehingga Rekonstruksi dan ujicoba kurikulum Prodi D-IV Manajemen Pemasaran tidak berjalan</t>
  </si>
  <si>
    <t>Melaksanakan monitoring tepat waktu. Memberikan sosialisasi lebih awal tentang hasil kurikulum. Menyusun kurikulum tepat waktu. Menyusun pedoman kurikulum program studi. Melakukan ujicoba kurikulum.</t>
  </si>
  <si>
    <t>D-IV Manajemen Pemasaran-10</t>
  </si>
  <si>
    <t>Pembelajaran PBL Semester Ganjil (Pelatihan Table Manner, Praktek E-Commerce &amp; Marketing Event Project) - D-IV Manajemen Pemasaran</t>
  </si>
  <si>
    <t>1. Pembelajaran PBL Semester Ganjil tidak berjalan sesuai dengan perencanaan; 2. Capaian pembelajaran yang diharapkan tidak dapat terpenuhi.</t>
  </si>
  <si>
    <t>Karena kurangnya koordinasi antar dosen dalam pelaksanaan pembelajaran semester ganjil, mungkin pelaksanaan pembelajaran PBL tidak sesuai dengan jadwal yang ditetapkan, sehingga Pembelajaran PBL semester Ganjil (pelatihan Table Manner, Praktek E-Commerce &amp; Marketing Event Project) tidak berjalan</t>
  </si>
  <si>
    <t>Melakukan koordinasi antar dosen dalam pelaksanaan pembelajaran semester ganjil. Memastikan RPS mata kuliah telah tersusun awal perkuliahan. Menjalankan program pembelajaran sesuai dengan yang direncanakan.</t>
  </si>
  <si>
    <t>D-IV Manajemen Pemasaran-11</t>
  </si>
  <si>
    <t>Pembelajaran PBL Semester Genap (Digital Marketing Project, Pameran Produk Kewirausahaan, dan Riset Pemasaran) - D-IV Manajemen Pemasaran</t>
  </si>
  <si>
    <t>1. Pembelajaran PBL Semester Genap tidak berjalan sesuai dengan perencanaan; 2. Capaian pembelajaran yang diharapkan tidak dapat terpenuhi.</t>
  </si>
  <si>
    <t>Karena kurangnya koordinasi antar dosen dalam pelaksanaan pembelajaran semester genap, mungkin pelaksanaan pembelajaran PBL tidak sesuai dengan jadwal yang ditetapkan, sehingga Pembelajaran PBL semester genap (Digital Marketing Project, Pameran Produk Kewirausahaan, dan Riset Pemasaran) - D-IV Manajemen Pemasaran tidak berjalan</t>
  </si>
  <si>
    <t>Melakukan koordinasi antar dosen dalam pelaksanaan pembelajaran semester genap. Memastikan RPS mata kuliah telah tersusun awal perkuliahan. Menjalankan program pembelajaran sesuai dengan yang direncanakan.</t>
  </si>
  <si>
    <t>D-IV Usaha Perjalanan Wisata-3</t>
  </si>
  <si>
    <t>Penguatan Kerjasama Prodi dengan Mitra Industri Pariwisata Bandung - D-IV Usaha Perjalanan Wisata</t>
  </si>
  <si>
    <t>Kurangnya informasi terkait industri sasaran kerjasama dan mundurnya jadwal kegiatan kunjungan industri, proses monitoring kurang maksimal</t>
  </si>
  <si>
    <t>Karena tidak memiliki data base industri sasaran dan industri tempat magang, mungkin industri sasaran yang sesuai untuk pengembangan kerjasama tidak ada dan industri tempat monitoring pelaksanaan magang tidak siap sehingga kunjungan industri pariwisata untuk pengembangan kerjasama dan monitoring pelaksanaan magang tidak berjalan</t>
  </si>
  <si>
    <t>Membuat database industri sasaran pengembangan kerjasama dan industri tempat magang</t>
  </si>
  <si>
    <t>D-IV Usaha Perjalanan Wisata-4</t>
  </si>
  <si>
    <t>Peningkatan Kerjasama Program Studi Melalui Praktikum Mahasiswa Pada Mata Kuliah Akomodasi Perhotelan Dan Dan Restoran Ke Hotel Grand Mercure Malang Mirama - D-IV Usaha Perjalanan Wisata</t>
  </si>
  <si>
    <t>proses kegiatan praktikum tidak maksimal dan peserta tidak mendapatkan ilmu yang bisa digunakan pada dunia kerja</t>
  </si>
  <si>
    <t>karena tidak ada mahasiswa D4 UPW yang melakukan praktikum mahasiswa pada mata kuliah Akomodasi Perhotelan dan Restoran di industri secara riil mungkin karena tidak adanya praktisi dan pendamping minat kegiatan mahasiswa sehingga praktikum tersebut tidak berjalan</t>
  </si>
  <si>
    <t>melakukan persiapan secara matang untuk mencari narasumber yang sesuai dengan tema dan memiliki pengalaman menjadi pendamping pada program praktikum atau sejenis</t>
  </si>
  <si>
    <t>D-IV Usaha Perjalanan Wisata-6</t>
  </si>
  <si>
    <t>Workshop Ticketing and Reservation System - D-IV Usaha Perjalanan Wisata</t>
  </si>
  <si>
    <t>Karena terbatasnya industri atau institusi yang membuka program pelatihan ticketing dan reservation yang selaras dengan kebutuhan prodi D4 UPW dan mahasiswa tidak menyesuaikan kurikulum , mungkin karena terhambatnya proses penyusunan pedoman kurikulum khususnya ticketing dan reservation sehingga Workshop Ticketing and Reservation System - D-IV Usaha Perjalanan Wisata tidak berjalan dengan sesuai seperti yang diharapkan</t>
  </si>
  <si>
    <t>Sosialisasi kurikulum MK Ticketing dan Reservation dengan metode PBL sebelum kegiatan kepada seluruh dosen homebase D4 UPW</t>
  </si>
  <si>
    <t>D-IV Usaha Perjalanan Wisata-7</t>
  </si>
  <si>
    <t>Forum Group Discussion Tentang Penyusunan Kurikulum Berbasis OBE dengan Industri - D-IV Usaha Perjalanan Wisata</t>
  </si>
  <si>
    <t>Lamanya waktu yang diperlukan untuk telaah dan persiapan draft bahan ajar berbasis OBE</t>
  </si>
  <si>
    <t>Karena terbatasnya industri yang membuka program MBKM yang selaras dengan Prodi D4 UPW dan mahasiswa tidak menyesuaikan kurikulum dalam mengajukan MBKM mungkin karena terhambatnya proses penyusunan pedoman kurikulum berbasis OBE dengan industri di kantor pusat sehingga FGD tentang Penyusunan Kurikulum Berbasis OBE dengan Industri D-IV Usaha Perjalanan Wisata tidak berjalan sesuai yg seperti diharapkan</t>
  </si>
  <si>
    <t>Sosialisasi pedoman pembelajaran berbasis OBE sebelum kegiatan kepada seluruh dosen homebase D$ UPW</t>
  </si>
  <si>
    <t>Jurusan Teknik Elektro-3</t>
  </si>
  <si>
    <t>Inisiasi Kerjasama Dengan Mitra Potensial Dalam Bentuk Focus Group Discussion di Jurusan Teknik Elektro</t>
  </si>
  <si>
    <t>Jurusan Teknik Elektro tidak memiliki mitra untuk dapat meningkatkan kerjasama industri</t>
  </si>
  <si>
    <t>Karena kurangnya kepercayaan industri terhadap kompetensi Jurusan Teknik Elektro mungkin tidak banyak industri telekomuniikasi yang dapat secara langsung menjalin kerjasama melalui sehingga kurangnya kerjasama prodi dengan mitra untuk menunjang MBKM</t>
  </si>
  <si>
    <t>Membuat database PT sehingga dapat memetakan mana yang belum MoU dan yang sudah selain itu membuat perjanjian ditambahkan dengan penelitian dosen dan mahasiswa</t>
  </si>
  <si>
    <t>P3M-15</t>
  </si>
  <si>
    <t>PENELITIAN DIPA KOMPETISI 2025 - P3M</t>
  </si>
  <si>
    <t>Menggangu ketercapaian kinerja dosen dan IKU Polinema</t>
  </si>
  <si>
    <t>KARENA terlambat dalam menentukan skema penelitian MUNGKIN sosialisasi perubahan aturan terlambat disampaikan kepada peneliti SEHINGGA Penelitian DIPA KOMPTESI 2025 P3M tidak dapat dilaksanakan</t>
  </si>
  <si>
    <t>Perlu dilakukan penyusunan panduan dan skema penelitian sebagai petunjuk teknis pelaksanaan.
Perlu dilakukan sosialisasi panduan dan penentuan penjadwalan seleksi hingga pelaporan pelaksanaan kepada seluruh civitas akademika Polinema.
Perlu dilakukannya monitoring dan koordinasi pelaksanaan kegiatan sehingga luaran penelitian dapat tercapai</t>
  </si>
  <si>
    <t>UPA Pengembangan Karir dan Kewirausahaan-4</t>
  </si>
  <si>
    <t>INKUBASI WIRAUSAHA MAHASISWA 2025 - UPA Pengembangan Karir dan Kewirausahaan</t>
  </si>
  <si>
    <t>terjadi kemunduran pelaksanaan kegiatan penampingan usaha dari tenant inkubasi.</t>
  </si>
  <si>
    <t>karena adanya keterlambatan pencairan bantuan modal usaha dan tidak tepat waktu, sehingga menyebabkan kendala di keseluruhan proses pendampingan terutama mundurnya jadwal pelaksanaan kegiatan.</t>
  </si>
  <si>
    <t>membuat jadwal pelaksanaanan kegiatan, dan kepatuhan terhadap jadwal yang di buat.
pencairan modal usaha tepat waktu sehingga membantu proses kelancaran pendampingan dan kegiatan produksi mahasiswa wirausaha.</t>
  </si>
  <si>
    <t>UPA Pengembangan Karir dan Kewirausahaan-10</t>
  </si>
  <si>
    <t>Program Mahasiswa Wirausaha (PMW) Polinema 2025 - UPA Pengembangan Karir dan Kewirausahaan</t>
  </si>
  <si>
    <t>Karena KETERLAMBATAN DAN SULITNYA PROSES PENCAIRAN BANTUAN MODAL USAHA , sehingga menyebabkan resiko sangat terlambat dalam proses pendampingan dan produksi, yang mengakibatkan mundurnya jadwal kegiatan lainnya sebagai rangkaian kegiatan PMW. 
ada beberapa kegiatan lain yang pelaksanaan nya hanya bisa dilakukan setelah tenant PMW berjalan proses produksinya, sehingga jika pencairan modal usaha ini terlambata akan menghambat pelaksanaan kegiatan lainnya. 
perlu di pahami bahwa wirausaha adalah menjalankan usaha yang membutuhkan modal untuk proses produksinya. periode waktu usaha yang seharusnya 1 tahun juga sangat terbatas, karena efektif operasional usahanya hanya 6 bulan (jika pencairan bantuan modal di bulan mei 2025). hal ini sebenar nya kurang efektif untuk progres sebuah usaha. oleh karena itu kami berharap bantuan untuk ketepatan jawal pelaksanaan program.</t>
  </si>
  <si>
    <t>Karena KETERLAMBATAN DAN SULITNYA PROSES PENCAIRAN BANTUAN MODAL USAHA , sehingga menyebabkan resiko sangat terlambat dalam proses pendampingan dan produksi, yang mengakibatkan mundurnya jadwal kegiatan lainnya sebagai rangkaian kegiatan PMW.</t>
  </si>
  <si>
    <t>1. penjadwalan dan pelaksanaan kegiatan sesuai dengan time line yang sudah di tetapkan.
2. koordinasi dengan bagian keuangan dan tim kerja terkait ketepatan waktu pencairan bantuan modal usaha mahasiswa.
3. komunikasi yang baik agar pelaksanaan kegiatan bisa dilakukan dengan baik, efektif, tepat waktu , dan memberikan manfaat bagi mahasiswa wirausaha.</t>
  </si>
  <si>
    <t>WADIR II-10</t>
  </si>
  <si>
    <t>PEMBANGUNAN GEDUNG DAN BANGUNAN PENDUKUNG PEMBELAJARAN - BLU</t>
  </si>
  <si>
    <t>Melakukan persiapan data dukung tender secara lengkap dan lebih awal, dan pendampingan proses oleh BPKP Jawa Timur dan Kejaksaan Tinggi Negeri</t>
  </si>
  <si>
    <t>Karena Data dukung penting untuk pengadaan tidak segera tersedia mungkin Kelengkapan berkas pengadaan terlambat sehingga Pembangunan Gedung dan Bangunan Pendukung Pembelajaran tidak selesai.</t>
  </si>
  <si>
    <t>Adanya pendampingan dari pihak BPKP Jawa Timur dan Kejaksaan Tinggi Negeri agar pembangunan gedung dan bangunan pendukung pembelajaran dapat selesai tepat waktu.</t>
  </si>
  <si>
    <t>WADIR II-25</t>
  </si>
  <si>
    <t>PEMBANGUNAN GEDUNG DAN BANGUNAN PENDUKUNG PEMBELAJARAN SBSN - RM - WADIR II</t>
  </si>
  <si>
    <t>Adanya pendampingan dari pihak BPKP Jawa Timur dan Kejakaan Tinggi Negeri agar pembangunan gedung dan bangunan pendukung pembelajar dapat selesai tepat waktu.</t>
  </si>
  <si>
    <t>BPKU-3</t>
  </si>
  <si>
    <t>Pembinaan Dan Peningkatan Kualitas Pegawai Dalam Bidang Wawasan Kebangsaan</t>
  </si>
  <si>
    <t>HIGH</t>
  </si>
  <si>
    <t>Tidak terlaksananya upacara dalam rangka peringatan Dies Natalis dan hari besar nasional</t>
  </si>
  <si>
    <t>Karena kurangnya koordinasi internai Pokja Protokoler dengan jajaran Pimpinan, mungkin tidak terdapat informasi terkait Pembinaan dan Peningkatan Kualitas Pegawai dalam Bidang Wawasan Kebangsaan sehingga Pembinaan dan Peningkatan Kualitas Pegawai dalam Bidang Wawasan Kebangsaan tidak berjalan</t>
  </si>
  <si>
    <t>Melaksanakan koordinasi dengan jajaran Pimpinan terkait upacara peringatan Dies Natalis dan hari besar nasional serta mencari informasi terkait pedoman pelaksanaan upacara dengan protokol kementerian.</t>
  </si>
  <si>
    <t>BPKU-6</t>
  </si>
  <si>
    <t>Pameran untuk keikutsertaan Promosi</t>
  </si>
  <si>
    <t>Tidak dapat mengikuti pameran pendidikan yang mengakibatkan Menurunnya kuantitas pendaftarSPMB</t>
  </si>
  <si>
    <t>Karena masih dalam penyusunan anggaran indikatif mungkin kegiatan pameran dilaksanakan di awal tahun ketika belum ada anggaran dan Anggaran belum ditetapkan sehingga Pameran Pendidikan di Wilayah Jawa Timur mengalami kesulitan</t>
  </si>
  <si>
    <t>Melakukan koordinasi dengan pimpinan terkait mekanisme penggunaan anggaran di awal tahun sebelum anggaran tahun berjalan ditetapkan   
Melakukan sosialisasi PMB melalui media sosial resmi POLINEMA, website, dan jaringan alumni sekolah</t>
  </si>
  <si>
    <t>D-III   Teknik Listrik-2</t>
  </si>
  <si>
    <t>Kolaborasi Riset Mahasiswa dan Dosen serta pembinaan mahasiswa berprestasi - D-III Teknik Listrik</t>
  </si>
  <si>
    <t>menurunya persentase mahasiswa yang merahih prestasi</t>
  </si>
  <si>
    <t>Karena Tidak ada SDM untuk koordinasi info berkala terkait lomba kepada mahasiswa mungkin minat mahasiswa untuk ikut serta lomba di tingkat nasional menjadi berkurang sehingga Tidak terdapatnya Peningkatan kualitas mahasiswa melalui keikutsertaan dalam lomba</t>
  </si>
  <si>
    <t>Memberikan informasi-informasi dan pemndampingan ke mahasiswa berkaitan dengan lomba-lomba</t>
  </si>
  <si>
    <t>D-III   Teknik Listrik-9</t>
  </si>
  <si>
    <t>Pesiapan Proses Audit Mutu Internal (AMI) - D-III Teknik Listrik</t>
  </si>
  <si>
    <t>menurunnya jumlah: (1) Jumlah mahasiswa yang terlibat dalam kegiatan penelitian; (2) Jumlah mahasiswa yang terlibat dalam kegiatan PkM; (3) Jumlah prodi terakreditasi Unggul / A.</t>
  </si>
  <si>
    <t>Karena Tidak adanya database untuk mendukung penyusunan Dokumen yang dibutuhkan untuk Audit Mutu Internal (AMI) mungkin tidak ada SDM untuk menyusun dokumen sehingga tidak tersedianya dokumen kelengkapan audit</t>
  </si>
  <si>
    <t>Dengan meunjuk tim khusus untuk melakukan pengumpulan data dukung secara terorganisir dan termonitor sehingga memudahkan penyusunan dokumen AMI serta memberikan workshop dan pendampingan dalam AMI</t>
  </si>
  <si>
    <t>D-III  Teknik Elektronika-1</t>
  </si>
  <si>
    <t>Pelaksanaan Monitoring Evaluasi Pembelajaran Semester Ganjil - D-III Teknik Elektronika</t>
  </si>
  <si>
    <t>Tidak adanya evaluasi proses belajar mengajar sehingga kekurangan dapat terulang di seriap tahun; Proses layanan pembelajaran kurang maksimal</t>
  </si>
  <si>
    <t>Karena tidak adanya koordinasi untuk menyusun panduan monitoring pelaksanaan belajar mengajar mungkin tidak ada panduan dalam melakukan monitoring proses belajar mengajar sehingga tidak terdapatnya monitoring pelaksanaan belajar mengajar, dari UTS, UAS dan yudisium.</t>
  </si>
  <si>
    <t>Membuat tim untuk membentuk SOP, membuat SOP untuk monitoring pembelajaran dengan pengawasan dari kps</t>
  </si>
  <si>
    <t>D-III  Teknik Elektronika-3</t>
  </si>
  <si>
    <t>Pelaksanaan Monitoring Evaluasi Pembelajaran Semester Genap - D-III Teknik Elektronika</t>
  </si>
  <si>
    <t>D-III  Teknik Elektronika-4</t>
  </si>
  <si>
    <t>Pembekalan Mahasiswa Untuk Peningkatan Prestasi Mahasiswa - D-III Teknik Elektronika</t>
  </si>
  <si>
    <t>menurunya persentase mahasiswa yang meraih prestasi</t>
  </si>
  <si>
    <t>Memberikan informasi-informasi dan pendampingan ke mahasiswa berkaitan dengan lomba-lomba</t>
  </si>
  <si>
    <t>D-III  Teknik Elektronika-7</t>
  </si>
  <si>
    <t>Pengadaan Bahan Habis Pakai Laboratorium dan Bengkel - D-III Teknik Elektronika</t>
  </si>
  <si>
    <t>Menurunnya jumlah BHP</t>
  </si>
  <si>
    <t>Karena Tidak adanya SDM yang dapat mencari BHP Praktikum dengan kandungan TKDN dan Menyusun HPS di Prodi DIII Teknik Elektronika mungkin Proses BHP Praktikum di Prodi DIII Teknik ELektronika menjadi Terlambat sehingga Tidak tersedia BHP Praktikum yang berkualitas untuk mahasiswa Prodi DIII Teknik Elektronika.</t>
  </si>
  <si>
    <t>untuk menyusun HPS Minta bantuan ke Tim Teknis Perumus HPS, untuk memenuhi TKDN mengikuti data base yang ada dan minimum 40 % , dan monitoring proses pengadaan</t>
  </si>
  <si>
    <t>D-III  Teknik Telekomunikasi-5</t>
  </si>
  <si>
    <t>Pemeliharaan Peralatan dan Mesin</t>
  </si>
  <si>
    <t>Menurunnya jumlah alat/fasilitas/prasarana yang telah dipelihara dan berfungsi dengan baik</t>
  </si>
  <si>
    <t>Karena tidak ada database penyedia jasa pemeliharaan dan perawatan sarana prasarana pembelajaran mungkin tidak adanya pemetaan penyedia jasa pemeliharaan dan perawatan sarana prasarana yang baik sehingga tidak terlaksana pemeliharaan dan perawatan sarana dan prasarana pembelajaran</t>
  </si>
  <si>
    <t>1. Membuat database penyedia jasa perawatan 2. Pemilihan penyedia jasa yang sesuai 3. Koordinasi dengan penyedia jasa untuk jadwal pelaksanaan perawatan 4. Melakukan pemantauan, perawatan, dan perbaikan alat dan mesin secara rutin</t>
  </si>
  <si>
    <t>D-III  Teknik Telekomunikasi-6</t>
  </si>
  <si>
    <t>Pendampingan Mahasiswa Berkompetisi dan Berprestasi - D-III Teknik Telekomunikasi</t>
  </si>
  <si>
    <t>D-III Administrasi Bisnis-1</t>
  </si>
  <si>
    <t>Evaluasi Proses Belajar Mengajar (PBM) - D-III Administrasi Bisnis</t>
  </si>
  <si>
    <t>Hasil Akreditasi Prodi tidak sesuai Harapan karena tidak memiliki pengalaman diakreditasi lembaga baru (LAM EMBA) dan tidak memberi laporan kinerja program studi yang memenuhi syarat akreditasi.</t>
  </si>
  <si>
    <t>KARENA Tidak pengalaman diakreditasi dengan lembaga baru (LAM EMBA) , MUNGKIN Tidak semua dokumen PBM dan yang lainnya yang terkait dengan Akreditasi Siap, SEHINGGA Hasil Akreditasi Prodi oleh Lembaga Mandiri belum maksimal</t>
  </si>
  <si>
    <t>Karena belum tersedianya Dokumen yang baik untuk memenuhi syarat akreditasi, maka sangat perlu melakukan: (1) mempersiapakan laporan kinerja Prodi, (2) menyediakan bukti-bukti pendukung yang diperlukan untuk memenuhi syarat akreditasi</t>
  </si>
  <si>
    <t>D-III Administrasi Bisnis-2</t>
  </si>
  <si>
    <t>FGD dan Penguatan Kerjasama dengan Dunia Usaha dan Industri - D-III Administrasi Bisnis</t>
  </si>
  <si>
    <t>Forum Group Discussion (FGD) tidak berjalan maksimal.</t>
  </si>
  <si>
    <t>KARENA Belum teridentifikasi mitra industri yang benar-benar dapat menjadi mitra utama prodi Adbis., MUNGKIN Kurang komunikasi antara Prodi dan industri tentang perkembangan dunia industri saat ini , SEHINGGA Forum Group Discussion (FGD) Kompetensi Lulusan tidak berjalan maksimal</t>
  </si>
  <si>
    <t>Karena kurangnya teridentifikasi mitra industri utama, maka alternatif solusi pengendalian yang disiapkan untuk mengantisipasi adalah dengan menjalin komunikasi dengan mitra industri secara inten terkait relevansi kompetensi Lulusan dengan kebutuhan dan perkembangan industri terkini.</t>
  </si>
  <si>
    <t>D-III Administrasi Bisnis-3</t>
  </si>
  <si>
    <t>Penguatan Kerjasama Mitra Luar Negeri dalam Pelaksanaan Tri Dharma Perguruan Tinggi - D-III Administrasi Bisnis</t>
  </si>
  <si>
    <t>Kerjasama Mitra Luar Negeri dalam Pelaksanaan Tri Dharma Perguruan Tinggi tidak berjalan dengan maksimal dan berpengaruh kepada Akreditasi</t>
  </si>
  <si>
    <t>KARENA Tidak maksimalnya Kerjasama dengan Mitra Luar Negeri dalam Pelaksanaan Tri Dharma Perguruan Tinggi , MUNGKIN Tidak ada upaya peningkatan Kerjasama dan implementasi Kerjasama dengan mitra luar negeri, SEHINGGA Kerjasama Mitra Luar Negeri dalam Pelaksanaan Tri Dharma Perguruan Tinggi belum maksimal</t>
  </si>
  <si>
    <t>Untuk mengatasi resiko yang mungkin terjadi, maka cara mengendalikan dampaknya adalah: 1). Membuat Kerjsama yang inten dengan mitra luar Negeri yang sejenis. 2). Melakukan implementasi kerjasama dalam bentuk kegiatan bersama</t>
  </si>
  <si>
    <t>D-III Administrasi Bisnis-4</t>
  </si>
  <si>
    <t>Peningkatan Kompetensi Mahasiswa DIII Administrasi Bisnis - D-III Administrasi Bisnis</t>
  </si>
  <si>
    <t>Pemetaan kualitas dan kompetensi mahasiswa terkait bidang akademik dan non akademik serta prestasi mahasiswa dalam lomba menjadi tidak sesuai harapan.</t>
  </si>
  <si>
    <t>KARENA Belum terdapat pendataan khusus terkait berbagai macam jenis lomba rutin berlevel nasional dan internasional., MUNGKIN Belum adanya pendataan dan penjaringan khusus terkait berbagai macam jenis lomba yang diikuti serta mahasiswa yang memiliki kompetensi lebih di bidangnya. , SEHINGGA Karena Kurangnya partisipasi mahasiswa yang mengikuti lomba dan Belum terdapat pelatihan khusus yang membantu mahasiswa mempersiapkan diri dengan baik mengikuti lomba.</t>
  </si>
  <si>
    <t>Alternatif solusi pengendalian yang dapat disiapkan adalah dengan mengadakan kegiatan pelatihan untuk meingkatkan kompetensi akademik dan non akademik mahasiswa untuk peserta lomba</t>
  </si>
  <si>
    <t>D-III Administrasi Bisnis-5</t>
  </si>
  <si>
    <t>Peningkatan Kualitas Pembelajaran Praktik - D-III Administrasi Bisnis</t>
  </si>
  <si>
    <t>Pembelajaran praktik pengembangan diri (Table Manner, Beuty Class) dan skill web publishing mahasiswa tidak berjalan maksimal</t>
  </si>
  <si>
    <t>KARENA Belum tersedia metode pembelajaran praktik secara riil yang sesuai dengan komptensi yang diharapkan , MUNGKIN Belum tersedianya mitra sebagai tempat praktik secara riil yang sesuai dengan komptensi yang diharapkan , SEHINGGA Pembelajaran praktik pengembangan diri (Table Manner, Beuty Class) dan skill web publishing mahasiswa tidak berjalan maksimal</t>
  </si>
  <si>
    <t>Karena Kurangya Inovasi metode pembelajaran menggunakan praktik secara riil, dan belum tersedianya mitra sebagai tempat praktik secara riil yang sesuai dengan komptensi yang diharapkan, maka sebagai solusi adalah membangun inovasi pemeblajaran relasi dengan mitra sebagai tempat pembelajaran secara riil</t>
  </si>
  <si>
    <t>D-III Administrasi Bisnis-6</t>
  </si>
  <si>
    <t>Rekonstruksi Kurikulum MBKM berbasis OBE, OBA dan Permendikbud No 53 Tahun 2023 - D-III Administrasi Bisnis</t>
  </si>
  <si>
    <t>Ketidaksesuaian CPL kurikulum terhadap kebutuhan industri</t>
  </si>
  <si>
    <t>KARENA Belum Memiliki Dokumen Kurikulum berbasis OBA dan OBA berbasis Permen 53, MUNGKIN Tuntutan Perubahan Kurikulum yang cepat dengan CPL yang dibutuhkan industri, SEHINGGA Ketidaksesuaian CPL kurikulum terhadap kebutuhan industri</t>
  </si>
  <si>
    <t>Karena ketidaksesuaian CPL kurikulum terhadap kebutuhan industri, maka cara mengendalikan dampaknya adalah:
1) Melakukan pelatihan SDM dan membentuk tim yang memiliki keahlian dalam menyusun kurikulum. 
2) Mengumpulkan informasi dan data dengan cara memanfaatkan jalinan kerjasama antara Polinema dengan industri untuk melaksanakan berbagai kegiatan sebagai upaya penyesuaian kebutuhan.</t>
  </si>
  <si>
    <t>D-III Administrasi Bisnis-7</t>
  </si>
  <si>
    <t>Workshop Pembelajaran Berbasis Project Base Learning &amp; Case method - D-III Administrasi Bisnis</t>
  </si>
  <si>
    <t>Kegiatan PBM berbasis Project Base Learning dan Case Method tidak berjalan maksimal.</t>
  </si>
  <si>
    <t>KARENA Karena kurang terlaksananya kegiatan PBM berbasis Proyek Base Learning dan Case Method di setiap semester secara bersama, MUNGKIN mungkin karena belum adanya kesepakatan PBL bersama dan sinkronisasi RPS Mata kuliah secara bersama., SEHINGGA Kegiatan PBM Berbasis PBL dan CM tidak berjalan maksimal.</t>
  </si>
  <si>
    <t>Karena kurang terlaksananya kegiatan PBM berbasis Proyek Base Learning &amp; Case Methode di setiap semester, maka alternatif solusi pengendalian yang disiapkan untuk mengantisipasi adalah Kolaborasi Pembelajaran dan sinkronisasi RPS Mata kuliah pilihan untuk pembelajaran bersama dalam satu Proyek</t>
  </si>
  <si>
    <t>D-III Administrasi Bisnis-8</t>
  </si>
  <si>
    <t>Workshop Pembuatan Bahan Ajar berbasis Hasil Penelitian dan PKM - D-III Administrasi Bisnis</t>
  </si>
  <si>
    <t>Jumlah dan keselearanan Bahan Ajar berbasis hilirasasi dari hasil Penelitian dan PKM belum memadai</t>
  </si>
  <si>
    <t>KARENA Perlunya bahan ajar berbasis hilirisasi hasil penelitian dan PKM untuk meningkatkan bahan ajar kualitas hasil tugas akhir mahasiswa , MUNGKIN terbatas jumlah bahan ajar yang berbasis hilirisasi hasil Penelitian dan PKM, SEHINGGA Belum terpenuhinya jumlah bahan ajar yang bersal dari hilirisasi hasil penelitian dan PKM</t>
  </si>
  <si>
    <t>Karena belum tersedianya Jumlah dan keselearanan Bahan Ajar berbasis hilirasasi dari hasil Penelitian dan PKM belum memadai, maka perlu ditingkat pembuatan dan penyelelaran bahan ajar berbasis hlirasi hasil penelitian dan PKM</t>
  </si>
  <si>
    <t>D-III Akuntansi PSDKU Kediri-1</t>
  </si>
  <si>
    <t>Focus Group Discussion Kurikulum Merdeka Belajar Kampus Merdeka (MBKM) - Lanjutan - D-III Akuntansi PSDKU Kediri</t>
  </si>
  <si>
    <t>1. proses pengajaran berbasis kurikulum MBKM tidak maksimal,
2. pengajaran berbasis kurikulum MBKM tidak berjalan</t>
  </si>
  <si>
    <t>Karena keterbatasan kemampuan SDM dalam mengembangkan kurikulum berbasis MBKM di Prodi D3 Akuntansi Kampus Kediri mungkin proses pengajaran berbasis kurikulum MBKM tidak maksimal, sehingga pengajaran berbasis kurikulum MBKM tidak berjalan</t>
  </si>
  <si>
    <t>Untuk mengatasi resiko yang mungkin terjadi, maka cara mengendalikan dampaknya adalah: mengikuti sosialisasi online atau menunggu kampus pusat untuk mengadakan sosialisasi tentang kurikulum merdeka belajar.</t>
  </si>
  <si>
    <t>D-III Akuntansi PSDKU Kediri-3</t>
  </si>
  <si>
    <t>Kunjungan Industri dan Bencmarking - D-III Akuntansi PSDKU Kediri Ke Politeknik Negeri Jember terkait TEFA - D-III Akuntansi PSDKU Kediri</t>
  </si>
  <si>
    <t>Kegiatan tidak terlaksana, sehingga menyebabkan proses belajar mengajar khususnya praktikum menggunakan modul ajar belum terlaksana, dan kurangnya mahasiswa yang terserap di dunia kerja.</t>
  </si>
  <si>
    <t>Karena Keterbatasan Jalinan Kerjasama Prodi dengan Industri Mungkin Perlu dilaksanakan MoU dan Bencmarking Sehingga Akan mendukung Capaian Lulusan Mahasiswa sesuai IKU di Polinema</t>
  </si>
  <si>
    <t>Untuk mengatasi resiko yang mungkin terjadi, maka cara mengendalikan dampaknya adalah: mengadopsi modul ajar dari Jurusan Akuntansi dari kampus pusat.</t>
  </si>
  <si>
    <t>D-III Akuntansi PSDKU Kediri-4</t>
  </si>
  <si>
    <t>Monev Proses Pembelajaran D3 Akuntansi Kampus Kediri - D-III Akuntansi PSDKU Kediri</t>
  </si>
  <si>
    <t>Kegiatan pembelajaran akan sangat terganggu , mahasiswa akan merasakan dampaknya dan IKU Polinema terkait kepuasan akan juga terdampak</t>
  </si>
  <si>
    <t>Karena tidak terlaksananya kegiatan monev, mungkin hasil perencanaan pelaksanaan kegiatan menjadi tidak baik, Sehingga kegiatan Monev Proses Pembelajaran - D-III Akuntansi PSDKU Kediri - D-III Akuntansi PSDKU Kediri tidak bisa dilaksanakan</t>
  </si>
  <si>
    <t>Untuk mengatasi resiko yang mungkin terjadi, maka cara mengendalikan dampaknya adalah: mengukur kemampuan mahasiswa dan evaluasi mahasiswa berbasis digital atau paperless</t>
  </si>
  <si>
    <t>D-III Akuntansi PSDKU Kediri-7</t>
  </si>
  <si>
    <t>Belanja Bahan Habis Pakai (BHP) - D-III Akuntansi PSDKU Kediri</t>
  </si>
  <si>
    <t>1. Tidak tersedia BHP.
2. Kegiatan proses belajar mengajar dan Perkantoran tidak terlaksana dengan baik</t>
  </si>
  <si>
    <t>Karena tidak adanya SDM yang ahli untuk menyusun HPS di Program Studi DIII Akuntansi kampus kediri mungkin proses pengadaan BHP menjadi terhambat sehingga tidak tersedia BHP untuk proses belajar mengajar maupun perkantoran.</t>
  </si>
  <si>
    <t>Mengikut sertakan pelatihan SDM yang ada di Program Studi khususnya DIII Akuntansi</t>
  </si>
  <si>
    <t>D-III Teknik Kimia-1</t>
  </si>
  <si>
    <t>Pengadaan Bahan Praktikum Semester Gasal 2025-2026 - D-III Teknik Kimia</t>
  </si>
  <si>
    <t>karena Terlambatnya Proses Pengadaan Bahan Praktikum di Kantor Pusat mungkin Lamanya Penyusunan HPS di Program Studi D-III Teknik Kimia sehingga Tidak ada SDM untuk Menyusun HPS di Program Studi D-III Teknik Kimia</t>
  </si>
  <si>
    <t>Perencanaan yang Matang:
Menyusun rencana pengadaan bahan praktikum yang matang dengan waktu yang cukup.
Melibatkan tim pengajar dan staf administrasi dalam perencanaan untuk memastikan pemahaman yang jelas tentang tanggung jawab masing-masing.
Peningkatan Kapasitas SDM:
Memberikan pelatihan kepada staf yang terlibat dalam menyusun HPS untuk meningkatkan keterampilan dan efisiensi.
Meninjau kebutuhan SDM dan memastikan ada personel yang cukup untuk tugas tersebut.
Pemantauan dan Evaluasi Berkala:
Melakukan pemantauan berkala terhadap progres penyusunan HPS dan pengadaan bahan praktikum.
Melakukan evaluasi reguler terhadap proses untuk mengidentifikasi potensi masalah sejak dini.
Kerjasama dengan Pihak Eksternal:
Menjalin kerjasama dengan pemasok bahan praktikum dan melibatkan mereka dalam proses perencanaan untuk mempercepat pengadaan.
Membuat kesepakatan kontraktual yang jelas dengan pemasok untuk meminimalkan risiko keterlambatan.
Komunikasi yang Efektif:
Menyusun saluran komunikasi yang efektif antara Kantor Pusat, Program Studi, dan pihak-pihak terkait.
Memberikan informasi secara terbuka dan jelas kepada mahasiswa mengenai perkembangan pengadaan bahan praktikum. sehingga IKT-9.15 &amp; IKU-7.1 &amp; IKU-7.2 dapat tercapai</t>
  </si>
  <si>
    <t>D-III Teknik Kimia-2</t>
  </si>
  <si>
    <t>Pengadaan Bahan Praktikum Semester Genap 2024-2025 - D-III Teknik Kimia</t>
  </si>
  <si>
    <t>D-III Teknik Kimia-4</t>
  </si>
  <si>
    <t>Program Inkubasi Ide dan Kreatifitas untuk Mahasiswa di Prodi D-III Teknik Kimia</t>
  </si>
  <si>
    <t>1. Program tidak mencapai tujuan pembentukan tim lomba atau PKM yang optimal 
2. Tim yang terbentuk kurang kompetitif di tingkat perlombaan.</t>
  </si>
  <si>
    <t>Karena terbatasnya waktu pendampingan, kesiapan mahasiswa dalam menyusun karya tulis, minimnya informasi atau promosi terkait program ini, mungkin jumlah peserta yang mendaftar tidak memenuhi target, output yang dihasilkan (misalnya proposal lomba atau PKM) tidak memenuhi standar kualitas yang diharapkan, sehingga program tidak mencapai tujuan pembentukan tim lomba atau PKM yang optimal tim yang terbentuk kurang kompetitif di tingkat perlombaan.</t>
  </si>
  <si>
    <t>1. Mengatur jadwal pendampingan yang lebih fleksibel, misalnya melalui sesi pendampingan online atau paruh waktu
2. Menyediakan pelatihan intensif tentang penyusunan karya tulis ilmiah sebelum program inkubasi dimulai
3. Melibatkan mahasiswa yang sudah berpartisipasi di tahun-tahun sebelumnya untuk menjadi agen promosi
4. Menetapkan standar yang jelas untuk kualitas proposal yang diharapkan</t>
  </si>
  <si>
    <t>D-III Teknik Kimia-6</t>
  </si>
  <si>
    <t>Evaluasi dan Monitoring Kinerja Program Studi D-III Teknik Kimia</t>
  </si>
  <si>
    <t>1. Hasil tracer study tidak mencerminkan kondisi aktual lulusan PS D-III Teknik Kimia.</t>
  </si>
  <si>
    <t>Karena keterbatasan data kontak alumni 2024 atau kendala jaringan atau platform daring yang kurang stabil mungkin alumni yang hadir pada acara offline menjadi tidak representatif dan terjadi gangguan teknis selama sesi daring sehingga hasil tracer study tidak mencerminkan kondisi aktual lulusan PS D-III Teknik Kimia.</t>
  </si>
  <si>
    <t>1. Meningkatkan Keterwakilan Alumni dalam Acara Offline
2. Penyesuaian Prosedur Pengumpulan Data Tracer Study
3. Peningkatan Infrastruktur Jaringan
4. Pengelolaan Data Kontak Alumni</t>
  </si>
  <si>
    <t>D-III Teknik Kimia-7</t>
  </si>
  <si>
    <t>Pengadaan Bahan Praktikum Prodi D-IV Teknologi Kimia Industri</t>
  </si>
  <si>
    <t>1. Menghambat pengadaan bahan praktikum untuk semester tertentu.
2. Kegiatan praktikum tidak berjalan</t>
  </si>
  <si>
    <t>Karena kebutuhan praktikum yang harus mengacu pada pola pembelajaran PBL/ CS yang variatif dan rekonstruksi kurikulum mengikuti kegiaan MBKM , mungkin proses penyusunan dokumen pengadaan menjadi lambat sehingga menghambat pengadaan bahan praktikum untuk semester tertentu.</t>
  </si>
  <si>
    <t>1.Perencanaan yang lebih terstruktur
2.Koordinasi dengan pihak terkait Program Studi, jurusan, dan pihak pengadaan di Kantor Pusat
3.Pemanfaatan teknologi
4.Menyusun saluran komunikasi yang efektif antara Kantor Pusat, Program Studi, dan pihak-pihak terkait.
Memberikan informasi secara terbuka dan jelas kepada mahasiswa mengenai perkembangan pengadaan bahan praktikum. sehingga IKT-9.15 &amp; IKU-7.1 &amp; IKU-7.2 dapat tercapai</t>
  </si>
  <si>
    <t>D-III Teknologi Pemeliharaan Pesawat Udara-1</t>
  </si>
  <si>
    <t>IMPLEMENTASI SERTIFIKASI BASIC AIRCRAFT MAINTENANCE (AMTO) KERJA SAMA DENGAN MITRA PT. GMF AEROASIA TBK - D-III Teknologi Pemeliharaan Pesawat Udara</t>
  </si>
  <si>
    <t>1. Tidak diakuinya proses pendidikan/pembelajaran/training oleh authority Dep. Perhubungan Udara (DKPPU) dan Industri (PT. GMF AeroAsia) 
2. Tidak dikeluarkannya sertifikat kompetensi lulusan oleh authority dan industri
3. Penghentian sertifikasi oleh authority dan industri</t>
  </si>
  <si>
    <t>Karena Tidak memiliki Quality Sistem yang dijalankan secara profesional, kontinyu dan berkelanjutan mungkin Industri Sasaran yang sesuai untuk sertifikasi tidak bersedia menerima sehingga proses sertifikasi menjadi tidak jalan</t>
  </si>
  <si>
    <t>1. Menjalankan Quality Management System dengan profesional mengacu pada Training Procedure Manual AMTO dan CASR (UU Penerbangan)
2. Pemenuhan dan peningkatan kualitas/kuantitas SDM dan fasilitas praktik sesuai standart AMTO</t>
  </si>
  <si>
    <t>D-IV Bahasa Inggris untuk Industri Pariwisata-1</t>
  </si>
  <si>
    <t>IMPLEMENTASI PBL MELALUI ENGLISH EXPO UNTUK PRODI BIIP - D-IV Bahasa Inggris untuk Industri Pariwisata</t>
  </si>
  <si>
    <t>(1) mahasiswa tidak memperoleh kesempatan meningkatkan kompetensi di bidang Bahasa Inggris melalui praktik wirausaha.
(2) kompetensi bahasa Inggris mahasiswa tidak maksimal.</t>
  </si>
  <si>
    <t>Karena keterlambatan booking tempat pelaksanaan kegiatan ke Pokja Rumah Tangga/Wadir 2, mungkin tempat pelaksanaan kegiatan di dalam Polinema yang dapat menampung seluruh peserta sudah tidak tersedia, sehingga peningkatan Kompetensi Mahasiswa di Bidang Bahasa Inggris untuk Industri Pariwisata (English Expo) tidak dapat dilaksanakan.</t>
  </si>
  <si>
    <t>(1) PIC kegiatan mem-booking tempat kegiatan jauh hari sebelumnya. 
(2) PIC kegiatan melakukan koordinasi dengan Pokja Rumah Tangga sesegera mungkin bila terdapat perubahan jadwal penggunaan tempat kegiatan.</t>
  </si>
  <si>
    <t>D-IV Bahasa Inggris untuk Industri Pariwisata-3</t>
  </si>
  <si>
    <t>PENGADAAN BHP 2024 UNTUK D4 BAHASA INGGRIS UNTUK INDUSTRI PARIWISATA</t>
  </si>
  <si>
    <t>1. Pengadaan BHP tidak tersedia saat dibutuhkan.
2. BHP tidak dapat mendukung kegiatan Prodi secara optimal.</t>
  </si>
  <si>
    <t>Karena tidak adanya SDM yang menyusun HPS di program studi D4 BIIP, mungkin proses pengadaan BHP terhambat sehingga tidak dapat dipakai untuk proses belajar-mengajar.</t>
  </si>
  <si>
    <t>1. Menyiapkan data pembelian BHP secara akurat.
2. Mengajukan pencairan dana pembelian BHP sesuai rencana (tidak terlambat).</t>
  </si>
  <si>
    <t>D-IV Bahasa Inggris untuk Industri Pariwisata-5</t>
  </si>
  <si>
    <t>REKONSTRUKSI KURIKULUM OBE PRODI D4 BAHASA INGGRIS UNTUK INDUSTRI PARIWISATA - D-IV Bahasa Inggris untuk Industri Pariwisata</t>
  </si>
  <si>
    <t>1. Prodi tidak mempunyai kurikulum yang sesuai dengan kebutuhan DUDI. 
2. Mata kuliah yang diberikan di Prodi kemungkinan kurang relevan dengan DUDI.</t>
  </si>
  <si>
    <t>Karena Prodi tidak memiliki database nara sumber yang sesuai dengan kebutuhan kegiatan rekonstruksi kurikulum OBE, mungkin narasumber yang mumpuni untuk memberikan materi OBE tidak bisa ditemukan, sehingga pelaksanaan kegiatan rekonstruksi kurikulum OBE ini tidak berjalan.</t>
  </si>
  <si>
    <t>(1) Membuat database narasumber yang selalu di-update. 
(2) Membuat pemetaan narasumber yang potensial untuk memberikan masukan yang sesuai dengan kebutuhan rekonstruksi kurikulum.</t>
  </si>
  <si>
    <t>D-IV Bahasa Inggris untuk Industri Pariwisata-6</t>
  </si>
  <si>
    <t>Workshop Grooming and Professional Ethics untuk Dunia Kerja - D-IV Bahasa Inggris untuk Industri Pariwisata</t>
  </si>
  <si>
    <t>(1) mahasiswa tidak memperoleh kesempatan meningkatkan pemahaman dan keterampilan dalam berpenampilan dan beretika yang baik dan professional.
(2) Dosen mata kuliah terkait grooming dan etika profesional tidak dapat menyinkronkan antara pelajaran di kelas dengan kebutuhan di dunia industri.</t>
  </si>
  <si>
    <t>Karena Prodi tidak memiliki database narasumber dengan kompetensi dalam bidang grooming dan etika, mungkin narasumber yang kompeten dalam hal grooming dan etika tidak ditemukan, sehingga Workshop Grooming and Professional Ethics untuk Dunia Kerja tidak dapat dilaksanakan dengan baik.</t>
  </si>
  <si>
    <t>1. Membuat database untuk memetakan narasumber yang kompeten dalam bidang grooming dan etika profesional.
2. Berkomunikasi dengan berbagai narasumber dan memastikan narasumber yang terpilih adalah yang betul-betul sesuai kriteria.</t>
  </si>
  <si>
    <t>D-IV Bahasa Inggris untuk Industri Pariwisata-7</t>
  </si>
  <si>
    <t>WORKSHOP PENGUATAN MATA KULIAH LOCALIZATION DAN VOICEOVER - D-IV Bahasa Inggris untuk Industri Pariwisata</t>
  </si>
  <si>
    <t>1. Dosen tidak siap mengajar mata kuliah voice over 
2. Materi voice over yang disiapkan tidak sesuai dengan standar industri</t>
  </si>
  <si>
    <t>Karena tidak narasumber workshop Localization dan Voice Over yang bersedia dan sesuai anggaran yang ditentukan, mungkin workshop Localization dan Voice Over yang tidak dapat dilaksanakan, sehingga kegiatan workshop Localization dan Voice Over untuk Mendukung Mata Kuliah Localization dan Voice Over di bidang industri pariwisata bagi Dosen tidak dapat dilaksanakan.</t>
  </si>
  <si>
    <t>1. Menghubungi voice over talent yang sesuai kebutuhan dan bersedia menjadi narasumber 1 bulan sebelum pelaksanaan
2. Melakukan komunikasi dengan narasumber workshop voice over untuk memastikan bahwa workshop voice over yang diberikan sesuai standar industri, terutama bidang pariwisata.</t>
  </si>
  <si>
    <t>D-IV Bahasa Inggris untuk Industri Pariwisata-8</t>
  </si>
  <si>
    <t>Workshop Penyempurnaan Perangkat Pembelajaran dan Pembuatan Modul Elektronik Tahun 2024 - D-IV Bahasa Inggris untuk Industri Pariwisata</t>
  </si>
  <si>
    <t>1. Perangkat pembelajaran tidak memenuhi standar.
2. Kegiatan perkuliahan tidak dapat dilaksanakan dengan maksimal.</t>
  </si>
  <si>
    <t>Karena Prodi tidak memiliki database narasumber yang kompeten dalam penyempurnaan perangkat pembelajaran dan pembuatan modul elektronik, mungkin narasumber yang memahami standar perangkat pembelajaran dan yang ahli dalam pembuatan modul elektronik tidak ditemukan, sehingga Workshop Penyempurnaan Perangkat Pembelajaran Tahun 2025 Prodi D-IV BIIP tidak dapat dilaksanakan dengan baik.</t>
  </si>
  <si>
    <t>1. Membuat database untuk memetakan narasumber yang memahami standar perangkat pembelajaran serta kesesuaian kegiatan pembelajaran dengan DUDI.
2. Berkomunikasi dengan berbagai narasumber dan memastikan narasumber yang terpilih adalah yang betul-betul sesuai kriteria.</t>
  </si>
  <si>
    <t>D-IV Jaringan Telekomunikasi Digital-3</t>
  </si>
  <si>
    <t>Pemeliharaan dan Perawatan Peralatan Pendukung Pembelajaran</t>
  </si>
  <si>
    <t>1. Membuat database penyedia jasa perawatan
2. Pemilihan penyedia jasa yang sesuai
3. Koordinasi dengan penyedia jasa untuk jadwal pelaksanaan perawatan
4. Melakukan pemantauan, perawatan, dan perbaikan alat dan mesin secara rutin</t>
  </si>
  <si>
    <t>D-IV Jaringan Telekomunikasi Digital-8</t>
  </si>
  <si>
    <t>Pembinaan Prestasi Mahasiswa - D-IV Jaringan Telekomunikasi Digital - D-IV Jaringan Telekomunikasi Digital - D-IV Jaringan Telekomunikasi Digital</t>
  </si>
  <si>
    <t>D-IV Jaringan Telekomunikasi Digital-10</t>
  </si>
  <si>
    <t>Workshop Kolaborasi Penelitian Dosen dan Mahasiswa - D-IV Jaringan Telekomunikasi Digital - D-IV Jaringan Telekomunikasi Digital</t>
  </si>
  <si>
    <t>D-IV Keuangan PSDKU Kediri-6</t>
  </si>
  <si>
    <t>Belanja Peralatan Dan Bahan Habis Pakai (BHP) - D-IV Keuangan PSDKU Kediri</t>
  </si>
  <si>
    <t>Jika tidak tersedia BHP dan peralatan untuk Semester Genap dan Ganjil tahun 2025.</t>
  </si>
  <si>
    <t>Karena terbatasnya jumlah SDM dan waktu untuk membuat perencanaan, mungkin proses penyusunan dan pendataan barang habis pakai yang akan diperlukan menjadi lama, sehingga tidak tersedia BHP dan peralatan untuk Semester Genap dan Ganjil tahun 2025</t>
  </si>
  <si>
    <t>Ada koordinasi antara Polinema Malang dengan PSDKU Kediri, sehingga kegiatan berjalan dengan baik dan optimal.</t>
  </si>
  <si>
    <t>D-IV Manajemen Pemasaran-3</t>
  </si>
  <si>
    <t>Pengembangan Kompetensi Dosen Program Studi D-IV Manajemen Pemasaran</t>
  </si>
  <si>
    <t>1. Jumlah peserta/partisipan seminar tidak sesuai target dan biaya kontribusi tidak sesuai yang dianggarkan; 2. Tidak adanya pengembangan kompetensi dosen di program studi.</t>
  </si>
  <si>
    <t>Karena tidak ada sosialisasi kegiatan atau biaya kontribusi seminar/sertifikasi tidak sesuai dengan yang dianggarkan mungkin tidak adanya informasi kegiatan penulisan karya ilmiah/sertifikasi di tingkat dosen sehingga kurangnya peningkatan Kompetensi Dosen Dalam Penulisan Karya Ilmiah Prodi D-IV Manajemen Pemasaran</t>
  </si>
  <si>
    <t>Memastikan penyelenggara seminar, harga kontribusi, dan jadwal pelaksanaan seminar. Memastikan informasi kegiatan pengembangan dosen terlaksana sesuai kebutuhan prodi.</t>
  </si>
  <si>
    <t>D-IV Manajemen Pemasaran-4</t>
  </si>
  <si>
    <t>Peningkatan Kemampuan Mahasiswa Berkompetisi di Tingkat Nasional / Internasional - D-IV Manajemen Pemasaran</t>
  </si>
  <si>
    <t>1. Mahasiswa tidak memiliki kesempatan untuk mengembangkan minat dan bakat sehingga terhambat untuk meraih prestasi tingkat nasional. 
2. Tidak ada mahasiswa yang meraih prestasi tingkat nasional sehingga target akreditasi program studi maupun perguruan tinggi sulit untuk tercapai.</t>
  </si>
  <si>
    <t>Karena tidak ada sosialisasi dan pendampingan mahasiswa di tingkat program studi mungkin tidak ada informasi cabang lomba kompetisi di tingkat mahasiswa sehingga Peningkatan kemampuan mahasiswa berkompetisi di tingkat nasional / internasional - D-IV Manajemen Pemasaran tidak berjalan</t>
  </si>
  <si>
    <t>1. Melakukan sosialisasi kegiatan-kegiatan kompetisi di tingkat nasional/internasional. 2. Menetapkan batasan jumlah peserta pelatihan di masing-masing cabang lomba. 3. Menetapkan batasan jumlah peserta di masing-masing cabang lomba. 4. Memastikan bahwa pengumuman pembukaan pelatihan dan lomba telah tersampaikan secara merata.</t>
  </si>
  <si>
    <t>D-IV Pengelolaan Arsip dan Rekaman Informasi-1</t>
  </si>
  <si>
    <t>Penyusunan DKPS Program Studi D4 Pengelolaan Arsip dan Rekaman Informasi - D-IV Pengelolaan Arsip dan Rekaman Informasi</t>
  </si>
  <si>
    <t>Mengganggu kegiatan audit mutu internal program studi karena dokumen DKPS tidak tersedia</t>
  </si>
  <si>
    <t>Karena Tidak ada DKPS yang siap mungkin karena tidak adanya mitra industri/narasumber yang dapat memberikan pendampingan Penyusunan DKPS sehingga Penyusunan DKPS Tidak Berjalan</t>
  </si>
  <si>
    <t>"Membuat database praktisi narasumber berdasarkan bidang kajian
Menjalin kerjasama dengan praktisi narasumber"</t>
  </si>
  <si>
    <t>D-IV Pengelolaan Arsip dan Rekaman Informasi-2</t>
  </si>
  <si>
    <t>Rekonstruksi Kurikulum: Keselarasan dengan OBE, MBKM dan Permendikbud No 53 Tahun 2023 - D-IV Pengelolaan Arsip dan Rekaman Informasi</t>
  </si>
  <si>
    <t>Mengganggu kegiatan pengajuan akreditasi program studi karena dokumen Kurikulum tidak tersedia</t>
  </si>
  <si>
    <t>Karena Tidak ada Rekonstruksi Kurikulum: Keselarasan dengan OBE, MBKM dan Permendikbud No 53 Tahun 2023 yang siap mungkin karena tidak adanya narasumber yang dapat memberikan pendampingan Rekonstruksi Kurikulum: Keselarasan dengan OBE, MBKM dan Permendikbud No 53 Tahun 2023 sehingga Rekonstruksi Kurikulum: Keselarasan dengan OBE, MBKM dan Permendikbud No 53 Tahun 2023 Tidak Berjalan</t>
  </si>
  <si>
    <t>D-IV Pengelolaan Arsip dan Rekaman Informasi-3</t>
  </si>
  <si>
    <t>Workshop Penyelarasan Bahan Ajar dengan Hasil Penelitian dan PKM serta Menerapkan Metode Pembelajaran Berbasis Case dan Project - D-IV Pengelolaan Arsip dan Rekaman Informasi</t>
  </si>
  <si>
    <t>Mengganggu kegiatan pembelajaran mata kuliah berbasis project di semester ganjil dan genap karena tidak adanya Bahan Ajar yang selaras dengan Hasil Penelitian dan PkM Dosen untuk Pembelajaran Berbasis Project</t>
  </si>
  <si>
    <t>Karena Tidak ada Workshop Penyelarasan Bahan Ajar dengan Hasil Penelitian dan PkM Dosen untuk Pembelajaran Berbasis Project yang siap mungkin karena tidak adanya narasumber yang dapat memberikan pendampingan Penyelarasan Bahan Ajar dengan Hasil Penelitian dan PkM Dosen untuk Pembelajaran Berbasis Project sehingga Workshop Penyelarasan Bahan Ajar dengan Hasil Penelitian dan PkM Dosen untuk Pembelajaran Berbasis Project Tidak Berjalan</t>
  </si>
  <si>
    <t>D-IV Pengelolaan Arsip dan Rekaman Informasi-4</t>
  </si>
  <si>
    <t>Keikutsertaan pada Pertemuan Asosiasi Prodi PARI se-Indonesia untuk Menjalin Kerjasama Penelitian dan PKM dengan Program Studi Sejenis</t>
  </si>
  <si>
    <t>Mengganggu kegiatan Keikutsertaan pada Pertemuan Asosiasi Prodi PARI se-Indonesia untuk Menjalin Kerjasama Penelitian dan PKM dengan Program Studi Sejenis karena Pertemuan Asosiasi Prodi PARI se-Indonesia tidak tersedia</t>
  </si>
  <si>
    <t>Karena Tidak ada Keikutsertaan pada Pertemuan Asosiasi Prodi PARI se-Indonesia untuk Menjalin Kerjasama Penelitian dan PKM dengan Program Studi Sejenis yang siap mungkin karena tidak adanya praktisi/narasumber yang dapat memberikan pendampingan pada Keikutsertaan pada Pertemuan Asosiasi Prodi PARI se-Indonesia untuk Menjalin Kerjasama Penelitian dan PKM dengan Program Studi Sejenis sehingga Keikutsertaan pada Pertemuan Asosiasi Prodi PARI se-Indonesia untuk Menjalin Kerjasama Penelitian dan PKM dengan Program Studi Sejenis Tidak Berjalan</t>
  </si>
  <si>
    <t>D-IV Pengelolaan Arsip dan Rekaman Informasi-5</t>
  </si>
  <si>
    <t>Pendampingan Mahasiswa pada Keikutsertaan Lomba Tingkat Nasional - D-IV Pengelolaan Arsip dan Rekaman Informasi</t>
  </si>
  <si>
    <t>Mengganggu kegiatan Keikutsertaan Mahasiswa pada Lomba Tingkat Nasional karena tidak adanya dosen yang mendampingi Mahasiswa pada Keikutsertaan Lomba Tingkat Nasional</t>
  </si>
  <si>
    <t>Karena Tidak ada Pendampingan Mahasiswa pada Keikutsertaan Lomba Tingkat Nasional yang siap mungkin karena tidak adanya dosen yang dapat memberikan Pendampingan Mahasiswa pada Keikutsertaan Lomba Tingkat Nasional sehingga Pendampingan Mahasiswa pada Keikutsertaan Lomba Tingkat Nasional Tidak Berjalan</t>
  </si>
  <si>
    <t>D-IV Pengelolaan Arsip dan Rekaman Informasi-6</t>
  </si>
  <si>
    <t>Penguatan Kerjasama Program Studi dengan Mitra Industri untuk Kegiatan Magang Mandiri MBKM - D-IV Pengelolaan Arsip dan Rekaman Informasi</t>
  </si>
  <si>
    <t>Mengganggu kegiatan pembelajaran di semester ganjil dan genap karena tidak adanya mitra industri untuk kegiatan magang mahasiswa</t>
  </si>
  <si>
    <t>Karena Tidak ada mitra yang siap mungkin karena tidak adanya mitra yang dapat diajak bekerjasama sehingga Penguatan Kerjasama dengan Mitra Industri untuk kegiatan Magang Mandiri Tidak Berjalan</t>
  </si>
  <si>
    <t>"Membuat database mitra industri
Menjalin kerjasama dengan praktisi narasumber"</t>
  </si>
  <si>
    <t>D-IV Sistem Informasi Bisnis-1</t>
  </si>
  <si>
    <t>Evaluasi Kurikulum - D-IV Sistem Informasi Bisnis</t>
  </si>
  <si>
    <t>1) ada keterlambatan dalam implementasi kurikulum baru 2) kurikulum tidak sesuai kebutuhan dunia usaha dan dunia industri terkini</t>
  </si>
  <si>
    <t>Karena adanya kesalahan perhitungan kebutuhan tenaga dan waktu untuk melakukan kajian kurikulum yang bersifat komprehensif, mungkin tim penyusun yang dibentuk memerlukan waktu lebih lama dari yang diperkirakan untuk melakukan rekontruksi kurikulum, sehingga rekontruksi kurikulum Program Studi D4 Sistem Informasi Bisnis tidak dapat dilaksanakan tepat waktu.</t>
  </si>
  <si>
    <t>solusi yang ditawarkan adalah mengatur waktu pelaksanaan dan mulai untuk mempersiapkan ide bagi kurikulum baru</t>
  </si>
  <si>
    <t>D-IV Sistem Informasi Bisnis-2</t>
  </si>
  <si>
    <t>Monitoring dan Evaluasi MBKM Industri dan Kewirausahaan - D-IV Sistem Informasi Bisnis</t>
  </si>
  <si>
    <t>Mengubah tempat tujuan yang memungkinkan penyesuaian biaya transportasi dan uang harian</t>
  </si>
  <si>
    <t>Karena tempat magang mahasiswa sulit untuk diprediksi, mungkin mahasiswa magang di kota-kota yang tidak direncanakan untuk dikunjungi, sehingga Monitoring dan Evaluasi MBKM Industri dan Kewirausahaan tidak dapat dilaksanakan sesuai rencana</t>
  </si>
  <si>
    <t>Memilih lokasi lokasi dan industri yang paling mungkin untuk dikunjungi dan mendekati dari tujuan awal yang telah direncanakan</t>
  </si>
  <si>
    <t>D-IV Sistem Kelistrikan-3</t>
  </si>
  <si>
    <t>KOLABORASI RISET MAHASISWA DAN DOSEN SERTA PEMBINAAN MAHASISWA BERPRESTASI - D-IV Sistem Kelistrikan</t>
  </si>
  <si>
    <t>D-IV Teknik Informatika-2</t>
  </si>
  <si>
    <t>Monitoring dan Evaluasi MBKM Industri dan Kewirausahaan - D-IV Teknik Informatika</t>
  </si>
  <si>
    <t>D-IV Teknik Kimia Industri-2</t>
  </si>
  <si>
    <t>Evaluasi dan Monitoring Kinerja Program Studi D-IV Teknologi Kimia Industri</t>
  </si>
  <si>
    <t>1. Hasil tracer study tidak mencerminkan kondisi aktual lulusan PS D-IV Teknologi Kimia Industri .</t>
  </si>
  <si>
    <t>Karena keterbatasan data kontak alumni 2024 atau kendala jaringan atau platform daring yang kurang stabil mungkin alumni yang hadir pada acara offline menjadi tidak representatif dan terjadi gangguan teknis selama sesi daring sehingga hasil tracer study tidak mencerminkan kondisi aktual lulusan PS D-IV Teknologi Kimia Industri .</t>
  </si>
  <si>
    <t>D-IV Teknik Kimia Industri-5</t>
  </si>
  <si>
    <t>Program Inkubasi Ide dan Kreatifitas untuk Mahasiswa di Prodi D-IV Teknologi Kimia Industri</t>
  </si>
  <si>
    <t>Jumlah mahasiswa yang mengikuti kompetisi tingkat nasional dan international minim; Prestasi mahasiswa dalam kompetisi nasional dan internasional minim</t>
  </si>
  <si>
    <t>Karena Tidak ada SDM untuk koordinasi info dan pembinaan berkala terkait kompetisi kepada mahasiswa mungkin Kurang minat mahasiswa untuk mengikuti kegiatan kompetisi di tingkat nasinal maupun international sehingga tidak terdapatnya peningkatan kualitas mahaiswa D4 TKI melalui keikutsertaan dalam lomba peningkatan kompetensi serta memperoleh penghargaan tingkat nasional</t>
  </si>
  <si>
    <t>1. Adanya SDM untuk koordinasi info dan pembinaan berkala terkait kompetisi kepada mahasiswa mungkin 
2. Meningkatkan minat mahasiswa untuk mengikuti kegiatan kompetisi di tingkat nasional maupun international melalui pembinaan yang intensif berdasarkan minat dan bakat
3. Adanya seleksi internal untuk memilih minat dan bakat mahaiswa baik di tingkat pusat maupun jurusan sehingga mudah untuk dilakukan pengembangan dan pembinaan ke kegiatan kompetisi baik nasional maupun international</t>
  </si>
  <si>
    <t>D-IV Teknik Mesin Produksi dan Perawatan PSDKU Kediri-1</t>
  </si>
  <si>
    <t>Pelaksanaan Kegiatan Skripsi Mahasiswa - D-IV Teknik Mesin Produksi dan Perawatan PSDKU Kediri</t>
  </si>
  <si>
    <t>1) Tidak terlaksananya Pelaksanaan Kegiatan Skripsi Mahasiswa. 
2) Tidak adanya hasil penelitian terapan/PKM dosen/mahasiswa yang dihilirisasi ke pasar/masyarakat/industri</t>
  </si>
  <si>
    <t>Karena tidak adanya SDM yang bertanggungjawab terhadap Pelaksanaan Kegiatan Skripsi Mahasiswa mungkin tidak adanya sosialisasi terkait Pelaksanaan Kegiatan Skripsi Mahasiswa sehingga Pelaksanaan Kegiatan Skripsi Mahasiswa tidak berjalan.</t>
  </si>
  <si>
    <t>Menugaskan SDM untuk melakukan sosialisasi dan bertanggungjawab terhadap Pelaksanaan Kegiatan Skripsi Mahasiswa</t>
  </si>
  <si>
    <t>D-IV Teknik Mesin Produksi dan Perawatan PSDKU Kediri-3</t>
  </si>
  <si>
    <t>Pengadaan Bahan Habis Pakai (BHP) Praktikum</t>
  </si>
  <si>
    <t>1. Tidak tersedianya jumlah bahan habis pakai (BHP)
2. Kegiatan praktikum tidak bisa berjalan</t>
  </si>
  <si>
    <t>Karena Tidak adanya SDM untuk Menyusun HPS di Prodi D4 TMPP PSDKU Kediri mungkin Proses Pengadaan Bahan Praktikum menjadi Terlambat sehingga Tidak tersedia Bahan Praktikum Penyelenggaraan Pendidikan di Prodi D4 TMPP PSDKU Kediri.</t>
  </si>
  <si>
    <t>Menugaskan SDM untuk Menyusun HPS dan segera melakukan pengadaan bahan habis pakai (BHP) di Prodi D4 TMPP PSDKU Kediri</t>
  </si>
  <si>
    <t>D-IV Teknik Mesin Produksi dan Perawatan PSDKU Kediri-4</t>
  </si>
  <si>
    <t>Pengadaan Peralatan Laboratorium CNC - D-IV Teknik Mesin Produksi dan Perawatan PSDKU Kediri</t>
  </si>
  <si>
    <t>1. Tidak tersedianya peralatan di Laboratorium CNC
2. Kegiatan praktikum tidak bisa berjalan</t>
  </si>
  <si>
    <t>Karena Tidak adanya SDM untuk Menyusun HPS di Prodi D4 TMPP PSDKU Kediri mungkin Proses Pengadaan Peralatan Bengkel Produksi dan Laboratorium Desain menjadi Terlambat sehingga Tidak tersedia Peralatan Bengkel Produksi dan Laboratorium Desain di Prodi D4 TMPP PSDKU Kediri.</t>
  </si>
  <si>
    <t>Menugaskan SDM untuk Menyusun HPS dan segera melakukan pengadaan Peralatan Laboratorium CNC di Prodi D4 TMPP PSDKU Kediri</t>
  </si>
  <si>
    <t>Jurusan Administrasi Niaga-2</t>
  </si>
  <si>
    <t>Peningkatan Kualitas Operasional Perkantoran - Jurusan Administrasi Niaga</t>
  </si>
  <si>
    <t>Alat perkantoran tidak dapat digunakan dalam pelayanan karena alat rusak.</t>
  </si>
  <si>
    <t>Karena tidak ada cukup dana untuk melakukan perawatan alat perkantoran secara reguler, maka perawatan tidak dilakukan sehingga alat perkantoran mengalami kerusakan dan pelayan pembelajaran di jurusan tidak dapat berjalan dengan baik.</t>
  </si>
  <si>
    <t>Menyusun jadwal perawatan alat perkantoran secara regular dan menyiapkan dana yang cukup.</t>
  </si>
  <si>
    <t>Jurusan Administrasi Niaga-3</t>
  </si>
  <si>
    <t>Peningkatan Kualitas Pembelajaran melaui Perawatan Alat Pembelajaran - Jurusan Administrasi Niaga</t>
  </si>
  <si>
    <t>Alat pembelajaran tidak dapat digunakan dalam pembelajaran karena alat rusak.</t>
  </si>
  <si>
    <t>Karena tidak ada cukup dana untuk melakukan perawatan alat pembelajaran secara reguler, maka perawatan tidak dilakukan sehingga alat pembelajaran mengalami kerusakan dan pembelajaran di laboratorium/studio atau di kelas tidak dapat berjalan dengan baik.</t>
  </si>
  <si>
    <t>Menyusun jadwal perawatan alat pembelajaran secara regular dan menyiapkan dana yang cukup.</t>
  </si>
  <si>
    <t>Jurusan Akuntansi-3</t>
  </si>
  <si>
    <t>PENGADAAN BHP PENYELENGGARAAN PENDIDIKAN JURUSAN AKUNTANSI PADA TAHUN 2025 - Jurusan Akuntansi</t>
  </si>
  <si>
    <t>Terhambatnya proses pembelajaran</t>
  </si>
  <si>
    <t>Karena Tidak adanya SDM untuk Menyusun HPS diJurusan Akuntansi mungkin Proses Pengadaan Bahan Praktikum di Kantor Pusat menjadi Terlambat sehingga Tidak tersedia Bahan Praktikum Penyelenggaraan Pendidikan Semester Genap dan ganjil</t>
  </si>
  <si>
    <t>Perencanaan pengadaan BHP secara akurat dan dilakukan di awal tahun Melakukan koordinasi dengan pihak-pihak terkait dalam pengadaan BHP (monitoring, perbendaharaan, pengadaan, dan tim teknis)</t>
  </si>
  <si>
    <t>Jurusan Akuntansi-12</t>
  </si>
  <si>
    <t>PEMELIHARAAN PERALATAN JURUSAN AKUNTANSI TAHUN 2025 - JURUSAN AKUNTANSI</t>
  </si>
  <si>
    <t>Karena tidak terdapat data kepastian peralatan dan mesin yang akan mengalami kerusakan MUNGKIN pengadaan akan terhambat sehingga terlambatnya proses kegiatan pemeliharaan peralatan dan mesin tahun 2024</t>
  </si>
  <si>
    <t>Pengecekan peralatan dan mesin secara rutin Melaksanakan koordinasi degan pihak-pihak yang terlibat (bagian monitoring anggaran, perbendaharaan, pengadaan, dan tim teknis dalam pelaksanaan pemeliharaan peralatan) pengajuan proposal dilakukan di awal tahun</t>
  </si>
  <si>
    <t>Jurusan Akuntansi-14</t>
  </si>
  <si>
    <t>PENGADAAN MEBEULAIR DAN PERALATAN MULTIMEDIA UNTUK JURUSAN AKUNTANSI</t>
  </si>
  <si>
    <t>Karena keterbatasan peralatan yang sesuai dengan TKDN mungkin penyusunan BA HPS akan terhambat sehingga proses pengadaan peralatan jurusan akuntansi tidak berjalan.</t>
  </si>
  <si>
    <t>Melakukan survey secara menyeluruh, memonitoring pengadaan peralatan dan meubelair di ULP</t>
  </si>
  <si>
    <t>Jurusan Akuntansi-15</t>
  </si>
  <si>
    <t>RENOVASI GEDUNG JURUSAN AKUNTANSI TAHUN 2025</t>
  </si>
  <si>
    <t>Karena keterbatasan peralatan yang sesuai dengan TKDN mungkin penyusunan BA HPS akan terhambatsehingga proses renovasi terhambat.</t>
  </si>
  <si>
    <t>Jurusan Teknik Elektro-2</t>
  </si>
  <si>
    <t>PEMELIHARAAN INVENTARIS DAN PERALATAN PERKANTORAN DI JURUSAN TEKNIK ELEKTRO</t>
  </si>
  <si>
    <t>Menurunnya jumlah alat/fasilitas/sarpras yang telah dipelihara dan berfungsi dengan baik</t>
  </si>
  <si>
    <t>Karena tidak ada data base penyedia jasa pemeliharaan dan perawatan sarana prasarana pembelajaran, mungkin tidak adanya pemetaan penyedia jasa pemeliharaan dan perawatan sarana prasarana yang baik, sehingga tidak terlaksana pemeliharaan dan perawatan sarana dan prasarana pembelajaran</t>
  </si>
  <si>
    <t>Dengan cara membuat:
1. Membuat database penyedia jasa perawatan
2. Pemilihan penyedia jasa yang sesuai
3. Koordinasi dengan penyedia jasa untuk jadwal pelaksanaan perawatan
4. Melakukan pemantauan, perawatan dan perbaikan alat dan mesin secara rutin</t>
  </si>
  <si>
    <t>Jurusan Teknik Elektro-7</t>
  </si>
  <si>
    <t>Workshop Keamanan siber untuk infrastruktur teknik elektro di era digital - Jurusan Teknik Elektro</t>
  </si>
  <si>
    <t>Para peserta workshop akan mendapatkan pemahaman yang lebih baik tentang pentingnya keamanan siber dalam infrastruktur teknik elektro. Kesadaran ini akan membantu mencegah dan mengatasi potensi serangan siber yang dapat mengancam sistem.
Workshop ini akan memberikan keterampilan praktis dan pengetahuan terbaru tentang teknik-teknik keamanan siber. Peserta akan lebih siap untuk mengenali, menganalisis, dan merespons ancaman siber dengan efektif.
Dengan pengetahuan yang didapatkan dari workshop, peserta dapat menerapkan langkah-langkah keamanan yang lebih kuat dan efisien untuk melindungi infrastruktur teknik elektro dari berbagai ancaman siber.</t>
  </si>
  <si>
    <t>Infrastructure teknik elektro mungkin memiliki kelemahan yang dapat dieksploitasi oleh serangan siber, seperti malware atau ransomware.
Keterbatasan pengetahuan dan keterampilan anggota tim dalam mengenali dan menangani ancaman siber dapat meningkatkan risiko insiden.
Penggunaan perangkat yang tidak memiliki perlindungan keamanan yang memadai dapat menyebabkan data sensitif menjadi rentan terhadap pencurian atau manipulasi.
Semakin tingginya ketergantungan pada teknologi digital, semakin besar pula risiko terhadap serangan siber yang dapat mengganggu operasional dan keamanan infrastruktur.
Tidak adanya kebijakan keamanan yang jelas dan terimplementasi dengan baik dapat menyebabkan ketidaksesuaian dalam upaya mitigasi risiko.
Kurangnya sistem pemantauan dan deteksi awal ancaman dapat menyebabkan serangan siber berlangsung lama sebelum ditemukan dan diatasi.
Sulitnya mencari narasumber tentang perkembangan teknologi siber untuk infrastruktur teknik elektro</t>
  </si>
  <si>
    <t>Pastikan bahwa kegiatan workshop direncanakan dengan baik, termasuk penentuan jadwal, materi, dan narasumber yang berkompeten dalam bidang keamanan siber.
Membentuk Tim untuk mencari narasumber yang kompeten di bidang teknologi Siber</t>
  </si>
  <si>
    <t>Jurusan Teknik Elektro-9</t>
  </si>
  <si>
    <t>Pengembangan Apilkasi Digitalisasi dan Publikasi Peralatan Laboratorium di Jurusan Teknik Elektro</t>
  </si>
  <si>
    <t>tidak adanya database atau narasumber, sehingga pengenalan atau kerjasama tentang Workshop Digitalisasi dan Publikasi Peralatan Laboratorium di Jurusan Teknik Elektro tidak berjalan</t>
  </si>
  <si>
    <t>Karena tidak adanya database narasumber/industri untuk mendukung kegiatan Workshop Digitalisasi dan Publikasi Peralatan Laboratorium di Jurusan Teknik Elektrodengan tema yang di tentukani mungkin kurangnya informasi untuk menyusun narasumber/industri yang relevan sehingga sehingga kegiatan tidak berjalan.</t>
  </si>
  <si>
    <t>Dengan membentuk TIM untuk membuat Digitalisasi dan Publikasi Peralatan Laboratorium di Jurusan Teknik Elektro yang akan di hasilkan atau di kenalkan ke khalayak umum.</t>
  </si>
  <si>
    <t>Jurusan Teknik Mesin-6</t>
  </si>
  <si>
    <t>Kuliah Tamu Luar Negeri - Jurusan Teknik Mesin</t>
  </si>
  <si>
    <t>1. Tidak ada kerjasama Mitra PT dan Industri LN 
2. Waktu Pelaksanaan Tertunda</t>
  </si>
  <si>
    <t>Karena Tidak memiliki data base Industri dan PT Luar Negeri Sasaran yang sesuai mungkin Tidak ada Pemetaan Industri dan PT Sasaran yang sesuai untuk Pengembangan Kerjasama dan Tidak ada Koordinasi dengan Industri sehingga Pengembangan dan Penguatan Jaringan Kerjasama Tidak Berjalan</t>
  </si>
  <si>
    <t>Komunikasi intensif dengan pihak mitra LN di awal tahun</t>
  </si>
  <si>
    <t>Jurusan Teknik Sipil-6</t>
  </si>
  <si>
    <t>Pengelolaan Sistem Informasi TA/LA berkelanjutan</t>
  </si>
  <si>
    <t>Tidak terlaksananya Pengembangan Sistem Informasi Tugas Akhir akan berdampak : 1. Terganggunya proses Tugas Akhir Mahasiswa, 2. Waktu tahapan proses tugas akhir kurang efektif, 3. Kurangnya database penyimpanan proses&amp;hasil tugas akhir mahasiswa</t>
  </si>
  <si>
    <t>Karena tidak memiliki sistem informasi ( website) yang dapat mempermudah mahasiswa dan dosen dalam proses pelaksanaan Tugas akhir</t>
  </si>
  <si>
    <t>Menyediakan Sistem informasi yang dapat mempermudah akses mahasiswa dan dosen</t>
  </si>
  <si>
    <t>Jurusan Teknologi Informasi-2</t>
  </si>
  <si>
    <t>Inisiasi Pembelajaran Laboratorium - Jurusan Teknologi Informasi - Jurusan Teknologi Informasi</t>
  </si>
  <si>
    <t>Perubahan anggaran untuk menyesuaikan harga pasar</t>
  </si>
  <si>
    <t>Karena keterlambatan dan proses yang lama saat pengadaan, mungkin harga yang berada di pasar berubah dan tidak sesuai dengan harga yang ada saat perencanaan sehingga perlu melakukan perubahan anggaran</t>
  </si>
  <si>
    <t>melakukan pengadaan di awal tahun atau secepatnya serta perlu mencari jenis barang lain namun dengan spek yang sama.</t>
  </si>
  <si>
    <t>Jurusan Teknologi Informasi-5</t>
  </si>
  <si>
    <t>Peningkatan Pembelajaran Laboratorium - Jurusan Teknologi Informasi</t>
  </si>
  <si>
    <t>melakukan pemeliharaan di awal tahun atau secepatnya serta perlu mencari layanan pemeliharaan serupa</t>
  </si>
  <si>
    <t>Jurusan Teknologi Informasi-7</t>
  </si>
  <si>
    <t>Inisiasi Pembelajaran Laboratorium BHP Praktikum - Jurusan Teknologi Informasi</t>
  </si>
  <si>
    <t>Karena keterlambatan dan lamanya proses pengadaan, harga pasar mungkin berubah dan tidak lagi sesuai dengan harga yang direncanakan, sehingga perlu dilakukan perubahan anggaran. Hal ini berdampak pada terganggunya pelaksanaan kegiatan praktikum dalam pembelajaran</t>
  </si>
  <si>
    <t>P2MPP-2</t>
  </si>
  <si>
    <t>Evaluasi Pedoman Kurikulum PTV yang berbasis OBE</t>
  </si>
  <si>
    <t>tidak dapat mengajukan akreditasi internasional</t>
  </si>
  <si>
    <t>Karena belum adanya SDM sebagai penyusun pedoman kurikulum PTV yang mengikutkan MBKM dan OBE, mungkin tidak ada yang bertanggung jawab menyusun pedoman tersebut, sehingga kegiatan penyusunan pedoman kurikulum PTV berbasis OBE tidak terlaksana dengan baik</t>
  </si>
  <si>
    <t>Membentuk tim penyusun Pedoman Kurikulum PTV yang mengikutkan MBKM dan OBE serta timeline pengerjaan</t>
  </si>
  <si>
    <t>P2MPP-5</t>
  </si>
  <si>
    <t>PELATIHAN APPLIED APPROACH (AA) BAGI DOSEN TAHUN 2025 - P2MPP</t>
  </si>
  <si>
    <t>Dosen baru tidak bisa mengajukan sertifikasi dosen karena belum mengikuti pelatihan AA/Pekerti</t>
  </si>
  <si>
    <t>Karena motivasi dosen dalam mengikuti pelatihan AA rendah mungkin peserta pelatihan Applied Approach dosen baru tidak akan memenuhi kuota yang ditentukan sehingga kegiatan pelatihan Applied Approach tidak terlaksana</t>
  </si>
  <si>
    <t>memberikan motivasi kepada dosen baru untuk mengikuti pelatihan applied approach dengan cara memberikan benefit yang didapatkan jika mengikuti pelatihan</t>
  </si>
  <si>
    <t>P2MPP-6</t>
  </si>
  <si>
    <t>Pelatihan dan sertifikasi auditor mutu internal - P2MPP</t>
  </si>
  <si>
    <t>beban auditor terlalu besar, proses AMI tidak efektif
jika AMI tidak efektif maka proses PBM tidak bermutu</t>
  </si>
  <si>
    <t>Karena jumlah auditor yang memiliki sertifikat pelatihan auditor mutu internal masih kurang mungkin jumlah auditor lebih sedikit dari program studi yang diaudit sehingga kegiatan AMI bisa tidak terlaksana dengan efektif</t>
  </si>
  <si>
    <t>membuat jadwal AMI yang sesuai dengan jumlah dan beban auditor</t>
  </si>
  <si>
    <t>P2MPP-7</t>
  </si>
  <si>
    <t>Pelatihan Manajemen Risiko - P2MPP</t>
  </si>
  <si>
    <t>Manajemen institusi menjadi kurang sesuai dengan ISO 21001:2018 dan kriteria tata pamong akreditasi</t>
  </si>
  <si>
    <t>Karena kurangnya auditor/personil yang memiliki sertifikat manajemen risiko mungkin auditor kurang bisa memahami bagaimana cara mengaudit berbasis risiko sehingga penerapan audit berbasis manajemen risiko di Polinema menjadi tidak terlaksana</t>
  </si>
  <si>
    <t>Mengadakan pelatihan dan sertifikasi manajemen risiko untuk auditor mutu internal</t>
  </si>
  <si>
    <t>P2MPP-8</t>
  </si>
  <si>
    <t>PELATIHAN PEKERTI TAHAP 1 DAN 2 BAGI DOSEN TAHUN 2025 - P2MPP</t>
  </si>
  <si>
    <t>Karena motivasi dosen dalam mengikuti pelatihan PEKERTI rendah mungkin peserta pelatihan PEKERTI dosen baru tidak akan memenuhi kuota yang ditentukan sehingga kegiatan pelatihan PEKERTI tidak terlaksana</t>
  </si>
  <si>
    <t>memberikan motivasi kepada dosen baru untuk mengikuti pelatihan pekerti dengan cara memberikan benefit yang didapatkan jika mengikuti pelatihan</t>
  </si>
  <si>
    <t>P2MPP-9</t>
  </si>
  <si>
    <t>Pemeringkatan Internasional Applied HE - P2MPP</t>
  </si>
  <si>
    <t>Peringkat internasional AppliedHE tidak meningkat</t>
  </si>
  <si>
    <t>Karena belum adanya tim untuk memperbarui dan melaporkan data pada platform AppliedHE mungkin pembaruan data tidak dapat direkap oleh sistem sehingga institusi terancam tidak mendapatkan peringkat internasional</t>
  </si>
  <si>
    <t>Menugaskan tim untuk update data dan melaporkan ke sistem AppliedHE</t>
  </si>
  <si>
    <t>P2MPP-10</t>
  </si>
  <si>
    <t>Pemeringkatan Internasional Institusi UI Greenmetrics - P2MPP</t>
  </si>
  <si>
    <t>Peringkat UIGM tidak meningkat sehingga institusi kurang direkognisi di tingkat internasional</t>
  </si>
  <si>
    <t>Karena belum adanya tim untuk memperbarui dan melaporkan data pada platform UI GreenMetric mungkin pembaruan data tidak dapat direkap oleh sistem sehingga institusi terancam tidak mendapatkan peringkat internasional</t>
  </si>
  <si>
    <t>Membentuk tim untuk mengupdate dan mengupload data untuk pemeringkatan UIGM</t>
  </si>
  <si>
    <t>P2MPP-11</t>
  </si>
  <si>
    <t>Pemeringkatan Internasional Webometrics - P2MPP</t>
  </si>
  <si>
    <t>Peringkat Webometric Polinema turun
Institusi tidak terekognisi secara internasional</t>
  </si>
  <si>
    <t>Karena belum adanya tim untuk pengoptimalisasian website mungkin pembaruan data tidak dapat direkap oleh sistem sehingga institusi terancam tidak mendapatkan peringkat internasional webometric</t>
  </si>
  <si>
    <t>membentuk tim dan melaksanakan pengoptimalisasian website institusi</t>
  </si>
  <si>
    <t>P2MPP-13</t>
  </si>
  <si>
    <t>Pengukuran Kepuasan Mahasiswa Semester Genap dan Semester Ganjil</t>
  </si>
  <si>
    <t>peningkatan kualitas tidak dapat dilaksanakanv</t>
  </si>
  <si>
    <t>Karena belum terbentuknya tim penyusun kuesioner dan merekap data, mungkin tidak ada yang bertanggung jawab menyusun dan membuat laporan kepuasan mahasiswa, sehingga kegiatan survei kepuasan tidak terlaksana dengan baik.</t>
  </si>
  <si>
    <t>Membentuk tim pengukuran kepuasan pengguna dan menyusun jadwal untuk menghitung kepuasan sesuai dengan data yang ada.</t>
  </si>
  <si>
    <t>P2MPP-14</t>
  </si>
  <si>
    <t>Pengukuran Kepuasan Pelanggan Lulusan, Orang Tua, Industri, Dosen dan Tendik - P2MPP</t>
  </si>
  <si>
    <t>peningkatan kualitas tidak dapat dilaksanakan</t>
  </si>
  <si>
    <t>Karena belum adanya SDM sebagai penyusun kuesioner dan merekap data, mungkin tidak ada yang bertanggung jawab menyusun dan membuat laporan kepuasan pihak eksternal, sehingga kegiatan survei kepuasan tidak terlaksana dengan baik.</t>
  </si>
  <si>
    <t>P2MPP-15</t>
  </si>
  <si>
    <t>PENYEMPURNAAN PEDOMAN MBKM BERDASARKAN PERMENDIKBUD 53 TAHUN 2023</t>
  </si>
  <si>
    <t>kualitas penyelenggaraan MBKM tidak sama antara prodi</t>
  </si>
  <si>
    <t>Karena belum adanya SDM sebagai penyusun pedoman pelaksanaan MBKM, mungkin tidak ada yang bertanggung jawab menyusun pedoman tersebut, sehingga kegiatanpenyusunan pedoman MBKM tidak terlaksana dengan baik</t>
  </si>
  <si>
    <t>Membentuk tim penyusun pedoman MBKM sesuai dengan kebutuhan</t>
  </si>
  <si>
    <t>P2MPP-16</t>
  </si>
  <si>
    <t>Penyempurnaan Pedoman PBL dan Case Method</t>
  </si>
  <si>
    <t>Karena belum terbentuknya tim penyusun pedoman kurikulum PBL dan Case Method, mungkin tidak ada yang bertanggung jawab menyusun pedoman, sehingga kegiatan tidak terlaksana</t>
  </si>
  <si>
    <t>Membentuk tim penyusun pedoman PBL dan Case Method sesuai dengan kebutuhan</t>
  </si>
  <si>
    <t>P2MPP-17</t>
  </si>
  <si>
    <t>PENYEMPURNAAN STANDAR SPMI POLINEMA BERDASARKAN PERMENDIKBUDRISTEK 53 TAHUN 2023</t>
  </si>
  <si>
    <t>evaluasi atau pengukuran standar menjadi tidak efektif</t>
  </si>
  <si>
    <t>Karena belum adanya SDM untuk penyempurnaan standar SPMI sesuai peraturan menteri terbaru di Polinema, mungkin standar SPMI tidak dapat diperbarui sesuai dengan peraturan menteri terbaru, sehingga kegiatan penyempurnaan standar SPMI tidak berjalan maksimal.</t>
  </si>
  <si>
    <t>Membentuk tim yang melibatkan unit terkait dan menyesuaikan dengan peraturan pemerintah terbaru sehingga SPMI dapat diterapkan untuk semua unit di Polinema</t>
  </si>
  <si>
    <t>P2MPP-20</t>
  </si>
  <si>
    <t>Persiapan untuk Akreditasi Internasional IABEE, IACBE, dan ASIC</t>
  </si>
  <si>
    <t>ketercapaian IKU terkait akreditasi internasional terhambat</t>
  </si>
  <si>
    <t>Karena belum adanya timeline khusus untuk mendaftar akreditasi internasional yang diakui oleh pemerintah, mungkin tim akreditasi tidak siap untuk mengisi dan instrumen akreditasi, sehingga persiapan akreditasi internasional bisa terhambat.</t>
  </si>
  <si>
    <t>Membuat timeline pengajuan akreditasi IABEE dan IACBE untuk prodi yang mengajukan</t>
  </si>
  <si>
    <t>P2MPP-21</t>
  </si>
  <si>
    <t>Resertifikasi auditor mutu internal - P2MPP</t>
  </si>
  <si>
    <t>Karena jumlah auditor yang memiliki sertifikat pelatihan auditor mutu internal masih kurang mungkin jumlahauditor lebih sedikit dari program studi yang diaudit sehingga kegiatan AMI bisa tidak terlaksana dengan efektif</t>
  </si>
  <si>
    <t>Menyusun dan menyinkronkan jadwal auditor dan auditee untuk kegiatan AMI dan Monev Pembelajaran</t>
  </si>
  <si>
    <t>P2MPP-22</t>
  </si>
  <si>
    <t>Surveillance ISO 21001:2018 - P2MPP</t>
  </si>
  <si>
    <t>Sertifikan ISO 21001:2018 tidak dapat dilanjutkan
standar mutu pelaksanaan / operasional menjadi tidak terkendali</t>
  </si>
  <si>
    <t>Karena belum adanya perencanaan kegiatan yang matang, mungkin SDM P2MPP tidak bisa menyiapkan kebutuhan untuk surveillance sertifikasi ISO 21001:2018, sehingga sertifikasi ISO 21001:2018 akan terjadi Ketidaksesuaian, Temuan Mayor dan atau Temuan Minor</t>
  </si>
  <si>
    <t>Membuat perencanaan kegiatan serta jadwal pelaksanaan secara terperinci</t>
  </si>
  <si>
    <t>P2MPP-23</t>
  </si>
  <si>
    <t>TINJAUAN MANAJEMEN</t>
  </si>
  <si>
    <t>Pembahasan tinjauan Manajemen tidak efektif dan tidak jelas tindakan perbaikan dari temuan audit</t>
  </si>
  <si>
    <t>Pelaksanaan Tinjauan Manajemen tidak dapat terlaksana dikarenakan belum siapnya materi Tinjauan Manajemen yang berasal dari hasil audit internal dan survey kepuasan konsumen yang disebabkan jadwal audit dan survey kepuasan tidak berjalan sesuai jadwal</t>
  </si>
  <si>
    <t>Melakukan sinkronisasi perencanaan dan pelaksanaan kegiatan audit internal dan survey kepuasan konsumen yang disesuaikan dengan jadwal pelaksanaan yang telah ditetapkan dan tercantum dalam Kalender akademik Polinema
Membuat rincian isian instrumen monev prodi dan juga tim penyusun</t>
  </si>
  <si>
    <t>P2MPP-24</t>
  </si>
  <si>
    <t>Workshop Pemeringkatan Internasional UI Greenmetrics</t>
  </si>
  <si>
    <t>Peringkat UI Green Metric Polinema turun sehingga Institusi tidak direkognisi secara internasional</t>
  </si>
  <si>
    <t>Karena belum adanya tim untuk menangani kegiatan Pemeringkatan Internasional UI Greenmetrics sehingga tidak ada yang membuat rancangan kegiatan dengan baik sehingga kegiatan tidak berjalan dengan lancar</t>
  </si>
  <si>
    <t>Membentuk tim khusus untuk pelaksanaan kegiatan workshop Pemeringkatan Internasional UI Greenmetrics</t>
  </si>
  <si>
    <t>P2MPP-25</t>
  </si>
  <si>
    <t>Workshop Penyempurnaan SOP P2MPP</t>
  </si>
  <si>
    <t>Institusi tidak terakreditasi dan tersertifikasi internasional</t>
  </si>
  <si>
    <t>Karena belum sempurnanya SOP yang sesuai dengan proses bisnis terbaru mungkin prosedur-prosedur penjaminan mutu yang dilakukan masih belum sesuai sehingga mutu institusi menjadi kurang baik</t>
  </si>
  <si>
    <t>Pengadaan kegiatan penyempurnaan SOP sesuai dengan proses bisnis yang berjalan</t>
  </si>
  <si>
    <t>P2MPP-26</t>
  </si>
  <si>
    <t>Workshop Penyusunan Pedoman Penerimaan&amp;#160;Mahasiswa&amp;#160;Asing</t>
  </si>
  <si>
    <t>Polinema tidak mendapatkan mahasiswa asing</t>
  </si>
  <si>
    <t>Karena belum sempurnanya pedoman penerimaan mahasiswa asing mungkin proses penerimaan mahasiswa tidak sesuai prosedur sehingga dapat menimbulkan masalah teknis dalam pelaksanaan kegiatan penerimaan mahasiswa asing</t>
  </si>
  <si>
    <t>Melaksanakan kegiatan penyempurnaan panduan penerimaan mahasiswa asing</t>
  </si>
  <si>
    <t>P2MPP-27</t>
  </si>
  <si>
    <t>Workshop Penyusunan Pedoman Penyelenggaraan Kelas Internasional</t>
  </si>
  <si>
    <t>Prodi tidak terakreditasi internasional</t>
  </si>
  <si>
    <t>Karena belum sempurnanya pedoman pelaksanaan kelas internasional mungkin proses pelaksanaan belajar mengajar di kelas internasional menjadi tidak sesuai prosedur sehingga dapat meurunkan mutu kelas internasional</t>
  </si>
  <si>
    <t>Menyelenggarakan penyempurnaan pedoman penyelenggaraan kelas internasional</t>
  </si>
  <si>
    <t>P2MPP-28</t>
  </si>
  <si>
    <t>Workshop Penyusunan Perangkat Ajar Elektronik/Digital (Open Course)</t>
  </si>
  <si>
    <t>tidak memiliki perangkat ajar digital untuk keperluan open course yang berkualitas</t>
  </si>
  <si>
    <t>Karena belum adanya SDM sebagai penyusun perangkat ajar digital, mungkin tidak ada yang bertanggung jawab menyusun perangkat ajar tersebut, sehingga kegiatan penyusunan perangkat bahan ajar digital untuk keperluan open course tidak terlaksana dengan baik</t>
  </si>
  <si>
    <t>Membentuk tim penyusun perangkat bahan ajar elektronik sesuai dengan kebutuhan</t>
  </si>
  <si>
    <t>P3M-7</t>
  </si>
  <si>
    <t>WORKSHOP PENDAMPINGAN KONSULTASI SPESIFIKASI TEKNIS PATEN</t>
  </si>
  <si>
    <t>Perolehan sertifikat paten/ paten sederhana membutuhkan waktu yang lama dan biaya perawatan semakin besar Keterkaitan dengan ([IKU 2.3] Jumlah keluaran penelitian dan pengabdian kepada masyarakat yang berhasil mendapat rekognisi internasional atau diterapkan oleh masyarakat per jumlah dosen)</t>
  </si>
  <si>
    <t>Karena diperlukan waktu dan proses yang panjang untuk mendapatkan sertifikat granted paten/ paten sederhana melalui DJKI Kemenkumham mungkin kurangnya komunikasi antara pemeriksa dengan inventor sehingga perolehan sertifikat paten/ paten sederhana dapat terhambat.</t>
  </si>
  <si>
    <t>Melakukan koordinasi dengan DJKI untuk dapat melakukan percepatan pemeriksaaan substansif pagi permohonan paten yang telah memenuhi persyaratan Melakukan komunikasi dengan pemeriksa dokumen paten/ paten sederhana dari polinema untuk mempercepat pemeriksaaan dan mediasi paten</t>
  </si>
  <si>
    <t>P3M-9</t>
  </si>
  <si>
    <t>WORKSHOP PENDAMPINGAN INDEKSASI GLOBAL DAN AKREDITASI JURNAL POLINEMA</t>
  </si>
  <si>
    <t>Indeksasi dan akreditasi tidak berjalan bisa merugikan institusi, tidak tercapinya IKU publikasi</t>
  </si>
  <si>
    <t>Karena tidak tersedia database narasumber mungkin narasumber kegiatan yang ekpert sulit dihadirkan sehingga Workshop Pendampingan Indeksasi Global dan Akreditasi Jurnal Polinema tidak berjalan dengan baik</t>
  </si>
  <si>
    <t>Menyediakan referensi database narasumber yang ekspert untuk menyediakan alternatif pilihan</t>
  </si>
  <si>
    <t>P3M-11</t>
  </si>
  <si>
    <t>SEMINAR HASIL PENELITIAN DAN PENGABDIAN KEPADA MASYARAKAT TAHUN 2025 - P3M</t>
  </si>
  <si>
    <t>pelaksanaan semhas terhambat dan tidak sesuai dengan penjadwalan sehingga proses evaluasi capaian penelitian dan PPM terhambat Keterkaitan dengan ([IKU 2.3] Jumlah keluaran penelitian dan pengabdian kepada masyarakat yang berhasil mendapat rekognisi internasional atau diterapkan oleh masyarakat per jumlah dosen)</t>
  </si>
  <si>
    <t>karena adanya kendala pada sistem informasi P2M untuk pengelolaan seinar hasil penelitian dan PPM, kerlambatan dalam menggunggah berkas seminar hasil, seeta kurangnya pemahaman reviewer dalam penilaian semhas dan penggunaan SIMP2M mungkin disebabkan kurangnya informasi sehingga pelaksanaan semhas terhambat dan tidak sesuai dengan penjadwalan</t>
  </si>
  <si>
    <t>Perlu dilakukan penyamaan persepsi reviewer yang melakukan semhas serta perlu dilakukan sosialisasi penggunaan SIMP2M untuk semhas</t>
  </si>
  <si>
    <t>P3M-12</t>
  </si>
  <si>
    <t>PPM DIPA KOMPETISI 2025 - P3M</t>
  </si>
  <si>
    <t>KARENA padatnya agenda pada Unit P3M Polinema MUNGKIN sosialisasi kegiatan pengabdian pada masyarakat tidak berjalan efektif SEHINGGA kegiatan PPM DIPA Kompetisi 2025 - P3M tidak mencapai target</t>
  </si>
  <si>
    <t>Perlu dilakukan penyusunan panduan dan skema pengabdian sebagai petunjuk teknis pelaksanaan.
Perlu dilakukan sosialisasi panduan dan penentuan penjadwalan seleksi hingga pelaporan pelaksanaan kepada seluruh civitas akademika Polinema. Perlu dilakukannya monitoring dan koordinasi pelaksanaan kegiatan sehingga luaran pengabdian dapat tercapai</t>
  </si>
  <si>
    <t>P3M-13</t>
  </si>
  <si>
    <t>PERAWATAN PATEN/PATEN SEDERHANA POLINEMA - P3M</t>
  </si>
  <si>
    <t>paten/ peten sederhana yang tidak melakukan pembayaran biaya perawatan/ pemelirahaan akan dibatalkan kepemilikan KI oleh kemenkumham, yang akan menyebabkan berkurangnya jumlah KI Polinema dan mempengaruhi nilai IKU Keterkaitan dengan ([IKU 2.3] Jumlah keluaran penelitian dan pengabdian kepada masyarakat yang berhasil mendapat rekognisi internasional atau diterapkan oleh masyarakat per jumlah dosen)</t>
  </si>
  <si>
    <t>Karena belum adanya Sistem Informasi schedule pembayaran Biaya Perawatan Paten/Paten sederhana di P3M Mungkin tidak adanya jadwal atau schedule pembayaran biaya perawatan Paten/ Paten sederhana Sehingga kegiatan Perawatan PATEN/PATEN Sederhana tidak terbayar</t>
  </si>
  <si>
    <t>Melakukan koordinasi dan komunikasi dengan DJKI terkait kebijakan dan peraturan mengenai biaya perawatan KI ini</t>
  </si>
  <si>
    <t>P3M-16</t>
  </si>
  <si>
    <t>MONITORING DAN EVALUASI DANA PADANAN 2024 - P3M</t>
  </si>
  <si>
    <t>ketercapaian luaran program dana padanan tidak optimal sesuai dengan target yang direncanakan</t>
  </si>
  <si>
    <t>KARENA kurangnya pengetahuan tentang mekanisme untuk monitoring dan evaluasi pelaksanaan program MUNGKIN adanya kendala terkait jadwal reviewer monitoring dan evaluasi serta laporan kegiatan yang terlambat SEHINGGA program monitoring dan evaluasi serta ketercapaian luaran yang telah ditargetkan di awal akan terhambat</t>
  </si>
  <si>
    <t>Perlu adanya penjadwalan yang jelas untuk pelaksanaan monitoring dan evaluasi kegiatan program dana padanan
Melibatkan reviewer program eksternal dan internal polinema dengan kualifikasi sebagai reviewer nasional</t>
  </si>
  <si>
    <t>P3M-20</t>
  </si>
  <si>
    <t>EXHIBITION HASIL PENELITIAN DAN PPM POLINEMA - P3M</t>
  </si>
  <si>
    <t>Komunikasi dan kemitraan industri untuk dapat mendukung hilirisasi/ komersialisasi hasil penelitian dapat terhambat Keterkaitan dengan ([IKU 2.3] Jumlah keluaran penelitian dan pengabdian kepada masyarakat yang berhasil mendapat rekognisi internasional atau diterapkan oleh masyarakat per jumlah dosen)</t>
  </si>
  <si>
    <t>KARENA kurangnya informasi dan data base industri maupun peneliti yang bersedia untuk mengisi stand dan berpartisipasi dalam kegiatan exhibition ini MUNGKIN disebabkan kurangnya kemitraan dan informasi diseminasi hasil penelitian SEHINGGA tujuan exhibition untuk dapat menampilkan dan menghubungkan peneliti dan industri untuk dapat memanfaatkan hasil penelitian Polinema terhambat</t>
  </si>
  <si>
    <t>Membuat data base industri yang memiliki peluang dan dapat bekerjasama dalam hilirisasi/ komersialisasi hasil penelitian bekoordinasi dengan bidang 4 untuk mengundang mitra industri yang dapat berpartisipasi dalam exhibition</t>
  </si>
  <si>
    <t>P3M-22</t>
  </si>
  <si>
    <t>BIMTEK DAN PENDAMPINGAN PENYUSUNAN PROPOSAL DANA PADANAN - P3M</t>
  </si>
  <si>
    <t>Jumlah proposal yang dapat didanai dari skema dana padanan Dirjen Diksi tidak banyak</t>
  </si>
  <si>
    <t>KARENA kurangnya pemahaman dalam penyusunan proposal dana padanan yang sesuai MUNGKIN pemahaman terkait dengan panduan dan aturan yang ada kurang SEHINGGA proposal yang diajukan pada skema dana padanan gagal mendapatkan pendanaan</t>
  </si>
  <si>
    <t>Memberikan pemahaman pentingnya bimbingan teknis dan pendampingan dalam penyusunan proposal dana padanan</t>
  </si>
  <si>
    <t>P3M-23</t>
  </si>
  <si>
    <t>BANTUAN TATA KELOLA DAN AKREDITASI JURNAL - P3M</t>
  </si>
  <si>
    <t>Peningkatan kualitas jurnal dan akreditasi jurnal polinema dapat terhambat Keterkaitan dengan ([IKU 2.3] Jumlah keluaran penelitian dan pengabdian kepada masyarakat yang berhasil mendapat rekognisi internasional atau diterapkan oleh masyarakat per jumlah dosen)</t>
  </si>
  <si>
    <t>KARENA pemahaman pengelola jurnal di Polinema kurang MUNGKIN terkait pemahaman mengenai tata kelola jurnal dan peningkatan kualitas jurnal yang ada di Polinema SEHINGGA proses akreditasi dan indexing jurnal yang ada di Polinema terhambat</t>
  </si>
  <si>
    <t>Memberikan pelatihan dan pendampingan kepada pengelola jurnal untuk perbaikan tata kelola dan pengajuan proses akreditasi jurnal pada Arjuna</t>
  </si>
  <si>
    <t>P3M-24</t>
  </si>
  <si>
    <t>BANTUAN PENGELOLAAN PUSAT RISET</t>
  </si>
  <si>
    <t>Mengganggu kegiatan operasional pusat riset untuk penyusunan kegiatan dan aktivitas yang dapat mendukung penelitian untuk mempercepat pencapaian produk inovasi Keterkaitan dengan ([IKU 2.3] Jumlah keluaran penelitian dan pengabdian kepada masyarakat yang berhasil mendapat rekognisi internasional atau diterapkan oleh masyarakat per jumlah dosen)</t>
  </si>
  <si>
    <t>Karena tida adanya staf yng secara khusus mengurus Pengelolaan Pusat Riset Mungkin tidak ada perencanaan yang baik Sehingga Bantuan Pengelolaan Pusat Riset Tidak terlaksana</t>
  </si>
  <si>
    <t>Perlu staf khusus yang mengurusi Pengelolaan Pusat Riset. Dilakukan koordinasi antar pusat riset untuk penyelarasan tema riset yang akan dilakukan dan road map penelitian di setiap pusat riset perlu adanya panduan pengelolaan pusat riset dan penilaian kinerja pusat riset</t>
  </si>
  <si>
    <t>P3M-26</t>
  </si>
  <si>
    <t>Workshop Penyusunan Renstra Penelitian dan Pengabdian Masyarakat</t>
  </si>
  <si>
    <t>Renstra penelitian dan pengabdian kepada masyarakat Polinema berakhir pada tahun 2025 dan adanya kebijakan Renstra Polinema maupun Kemendiktisaintek terbaru yang belum tersosialisasi</t>
  </si>
  <si>
    <t>KARENA kurangnya pemahaman mengenai penyusunan renstra penelitian dan pengabdian masyarakat MUNGKIN pemahaman SDM mengenai kebijakan yang terkait dalam penyusunan renstra penelitian dan pengabdian yang kurang SEHINGGA kegiatan workshop penyusunan renstra PPM dapat terhambat</t>
  </si>
  <si>
    <t>Perlu adanya diskusi antara pimpinan, P3M, dan perwakilan masing-masing jurusan dalam menentukan arah penelitian dan pengabdian kepada masyarakat dalam 5 tahun mendatang yang harus dituangkan dalam Renstra PPM Polinema.</t>
  </si>
  <si>
    <t>P3M-27</t>
  </si>
  <si>
    <t>WORKSHOP PENDAMPINGAN PENULISAN DESKRIPSI PATEN - P3M</t>
  </si>
  <si>
    <t>Kurangnya pendaftaran kekayaan intelektual berupa paten/ paten sederhana dari hasil penelitian Keterkaitan dengan ([IKU 2.3] Jumlah keluaran penelitian dan pengabdian kepada masyarakat yang berhasil mendapat rekognisi internasional atau diterapkan oleh masyarakat per jumlah dosen kurang</t>
  </si>
  <si>
    <t>KARENA tidak adanya pendampingan mengenai penulisan deskripsi paten MUNGKIN karena tidak ada kerjasama dengan instansi terkait (DJKI) SEHINGGA Pendampingan Penulisan Deskripsi Paten tidak dapat dilaksanakan</t>
  </si>
  <si>
    <t>Melakukan kemitraan dan koordinasi dengan DJKI Kemenkumham untuk melaksanakan pendampingan draftang paten/ paten sederhana yang didapatkan dari hasil penelitian dan PPM.</t>
  </si>
  <si>
    <t>PSDKU Kota Kediri-1</t>
  </si>
  <si>
    <t>Bahan Habis Pakai Perbaikan dan Perawatan Sarana Prasarana - PSDKU Kota Kediri</t>
  </si>
  <si>
    <t>Peralatan perkantoran dan kendaraan dinas mengalami kerusakan sehingga tidak optimal dalam penggunaannya</t>
  </si>
  <si>
    <t>Karena tidak ada nya SDM untuk menyusun HPS di PSDKU Kediri mungkin menyebabkan proses pengadaan Bahan Habis Pakai Perbaikan dan Perawatan Sarana Prasarana menjadi terlambat sehingga tidak tersedia bahan habis pakai untuk perbaikan dan perawatan sarana prasarana di PSDKU Kediri</t>
  </si>
  <si>
    <t>Untuk mengatasi risiko yang mungkin terjadi maka cara mengendalikan dampaknya adalah melaksanakan pemeliharaan dan perawatan sesuai dengan jadwal untuk meminimalisir kerusakan yang lebih parah pada sarana dan prasarana perkantoran</t>
  </si>
  <si>
    <t>PSDKU Kota Kediri-16</t>
  </si>
  <si>
    <t>BELANJA PERAWATAN DAN PEMELIHARAAN SARANA DAN PRASARANA PERKANTORAN - PSDKU Kota Kediri</t>
  </si>
  <si>
    <t>Karena intensitas pemakaian sarana dan prasarana perkantoran yang sangat tinggi dan mungkin adanya keterlambatan dalam melaksanakan perawatan dan pemeliharaan sarana dan prasana perkantoran sehingga menyebabkan terjadinya penurunan fungsi dari sarana dan prasarana perkantoran</t>
  </si>
  <si>
    <t>PSDKU Kota Pamekasan-1</t>
  </si>
  <si>
    <t>Pemeliharaan dan Perawatan Peralatan Barang PSDKU Polinema Kabupaten Pamekasan - PSDKU Kota Pamekasan</t>
  </si>
  <si>
    <t>Berdampak pada kualitas peralatan yang tidak prima dan siap pakai secara optimal sehingga menghambat kegiatan perkantoran dan pembelajaran</t>
  </si>
  <si>
    <t>Karena lamanya dalam pengumpulan data pendukung perhitungan pemeliharaan dan perawatan Air Conditioner (AC) mungkin tidak tersedianya SDM dalam menyusun HPS di PSDKU Pamekasan sehingga tidak terlaksananya kegiatan pemeliharaan dan perawatan Air Conditioner (AC) di PSDKU Pamekasan</t>
  </si>
  <si>
    <t>Melakukan pembentukan SDM dalam pelatihan penyusunan HPS hingga mahir sampai proses pelaksanaan kegiatan berjalan dengan baik</t>
  </si>
  <si>
    <t>PSDKU Kota Pamekasan-3</t>
  </si>
  <si>
    <t>Honorarium Pegawai PSDKU Polinema Kabupaten Pamekasan</t>
  </si>
  <si>
    <t>Berdampak buruk pada pegawai diantaranya menurunnya semangat kerja sehingga mempengaruhi kredibilitas institusi</t>
  </si>
  <si>
    <t>Karena di PSDKU Pamekasan belum menerima SK yang baru mungkin lamanya proses pengumpulan data pendukung di kantor pusat sehingga pembayaran honorarium diawal tahun terlambat</t>
  </si>
  <si>
    <t>Melaksanakan koordinasi dengan kantor pusat di akhir tahun agar pembayaran gaji rutin diawal tahun sesuai tepat waktu</t>
  </si>
  <si>
    <t>PSDKU Kota Pamekasan-5</t>
  </si>
  <si>
    <t>Belanja Langganan Daya Listrik dan Internet PSDKU Polinema Kabupaten Pamekasan</t>
  </si>
  <si>
    <t>Keterlambatan pembayaran mengakibatkan pemutusan sementara daya listrik atau akses internet sehingga terganggunya kegiatan operasional dan PBM</t>
  </si>
  <si>
    <t>Karena tidak teridentifikasi dengan baik banyaknya item yang diajukan untuk realisasi pembayaran rutin, mungkin menyebabkan lamanya penyesuaian perhitungan pengajuan banyaknya item realisasi/pembayaran, sehingga tidak terealisasinya kegiatan atau terhambatnya belanja langganan daya listrik dan internet</t>
  </si>
  <si>
    <t>Melakukan pembayaran tagihan rutin setiap bulan sesuai waktu sebelum masa tenggang berakhir</t>
  </si>
  <si>
    <t>PSDKU Kota Pamekasan-6</t>
  </si>
  <si>
    <t>Belanja Jasa Penyedia Keamanan (Outsorcing) PSDKU Polinema Kabupaten Pamekasan</t>
  </si>
  <si>
    <t>Aset negara dan kegiatan institusi tidak terjaga dengan baik</t>
  </si>
  <si>
    <t>Karena Tidak terdapatnya Penyedia jasa yang sesuai ketentuan untuk melaksanakan Pengadaan Jasa Keamanan di Daerah Pamekasan, mungkin menyebabkan Lamanya Penetapan/penunjukan penyedia untuk kontrak jasa keamanan , sehingga Tidak terealisasinya kegiatan / Terhambatnya Belanja Honorarium Satuan Petugas Keamanan (Outsorcing) PSDKU Pamekasan</t>
  </si>
  <si>
    <t>Melaksanakan tender jasa penyedia keamanan (outsorcing) sesuai waktu yang direncanakan</t>
  </si>
  <si>
    <t>PSDKU Kota Pamekasan-7</t>
  </si>
  <si>
    <t>Belanja Jasa Penyedia Kebersihan (Outsorcing) PSDKU Polinema Kabupaten Pamekasan</t>
  </si>
  <si>
    <t>Aset negara dan kegiatan institusi tidak terawat dengan baik</t>
  </si>
  <si>
    <t>Karena tidak terdapatnya penyedia jasa yang sesuai ketentuan untuk melaksanakan pengadaan jasa kebersihan di daerah Pamekasan, mungkin menyebabkan lamanya penetapan/penunjukan penyedia untuk kontrak jasa kebersihan , sehingga tidak terealisasinya kegiatan / terhambatnya belanja honorarium satuan petugas kebersihan (outsorcing) PSDKU Pamekasan</t>
  </si>
  <si>
    <t>Melaksanakan tender jasa penyedia kebersihan (outsorcing) sesuai waktu yang direncanakan</t>
  </si>
  <si>
    <t>PSDKU Kota Pamekasan-11</t>
  </si>
  <si>
    <t>Pengadaan ATK dan BHP PSDKU Polinema Kabupaten Pamekasan</t>
  </si>
  <si>
    <t>Keterlambatan pengadaan dapat menghambat kelancaran pekerjaan perkantoran dan PBM</t>
  </si>
  <si>
    <t>Karena tidak ada SDM untuk menyusun HPS di PSDKU Pamekasan yang memahami kesesuaian data pendukung pengadaan ATK dan BHP, mungkin menyebabkan lamanya penyusunan HPS di PSDKU Pamekasan akibat lambatnya pengumpulan data pendukung pengadaan ATK dan BHP, sehingga tidak terlaksananya kegiatan pembelanjaan ATK dan BHP di PSDKU Pamekasan</t>
  </si>
  <si>
    <t>Melakukan pembentukan SDM dan menyelenggarakan pelatihan penyusunan HPS hingga mahir sampai proses pelaksanaan kegiatan berjalan dengan baik</t>
  </si>
  <si>
    <t>SPI-4</t>
  </si>
  <si>
    <t>Monitoring Dan Evaluasi Tindak Lanjut Temuan Irjen, BPKP dan KAP</t>
  </si>
  <si>
    <t>1. Temuan yang tidak segera ditindaklanjuti dapat memperpanjang durasi penyelesaian, meningkatkan risiko terjadinya permasalahan yang lebih besar.
2. Penurunan Efektivitas Monitoring dan Evaluasi: Proses monitoring dan evaluasi tindak lanjut temuan serta rekomendasi menjadi tidak terlaksana dengan optimal, sehingga mengurangi kemampuan organisasi untuk memastikan penyelesaian yang sesuai terhadap setiap temuan.</t>
  </si>
  <si>
    <t>Karena beberapa temuan memerlukan penyelesaian lintas unit atau melibatkan proses yang kompleks mungkin membutuhkan waktu lebih lama untuk proses penyelesaian tindak lanjut sehingga monitoring dan evaluasi tinjut temuan dan rekomendasi tidak terlaksana</t>
  </si>
  <si>
    <t>1. Penetapan Batas Waktu yang Jelas: menetapkan tenggat waktu yang spesifik dan realistis untuk setiap tindak lanjut temuan berdasarkan tingkat urgensi dan kompleksitasnya.
2. Koordinasi Lintas Unit: membentuk tim kerja lintas unit yang bertanggung jawab untuk menindaklanjuti temuan secara kolaboratif. Memastikan adanya komunikasi yang intensif untuk menyelesaikan hambatan proses penyelesaian.
3. Evaluasi Berkala: melakukan rapat rutin untuk memantau perkembangan tindak lanjut temuan dan mengidentifikasi kendala sejak dini.</t>
  </si>
  <si>
    <t>SPI-8</t>
  </si>
  <si>
    <t>PENDAMPINGAN PENGENDALIAN INTERNAL UNIT DI POLITEKNIK NEGERI MALANG TAHUN 2025 - SPI</t>
  </si>
  <si>
    <t>1. Jika pengendalian internal tidak berfungsi dengan baik, terdapat risiko kesalahan atau kecurangan dalam pelaporan keuangan; 
2. Ketidakcapaian pengendalian internal dapat meningkatkan risiko penyalahgunaan aset, seperti penggunaan dana secara tidak benar atau pencurian;
3. Pengendalian internal yang tidak tercapai dapat mengakibatkan kesulitan dalam mengidentifikasi, menilai, dan mengelola risiko dengan baik</t>
  </si>
  <si>
    <t>Karena ketidaksesuaian antara rencana pengendalian internal dengan kondisi yang sebenarnya di lapangan mungkin keterbatasan SDM dalam melakukan kegiatan pendampingan sehingga Pendampingan Pengendalian Internal Unit di Politeknik Negeri Malang tidak tercapainya</t>
  </si>
  <si>
    <t>Untuk mengatasi dampak negatif ini, Politeknik Negeri Malang perlu melakukan evaluasi mendalam terhadap sistem pengendalian internal, memperbaiki kelemahan yang teridentifikasi, dan memastikan adanya pemantauan dan perbaikan berkelanjutan. Melibatkan dan melatih staf terkait dalam implementasi pengendalian internal juga penting untuk meningkatkan pemahaman dan keterlibatan mereka dalam mencapai sasaran organisasi.</t>
  </si>
  <si>
    <t>SPI-11</t>
  </si>
  <si>
    <t>Penyusunan Laporan Hasil Pengawasan Internal Triwulan I Politeknik Negeri Malang - SPI - SPI</t>
  </si>
  <si>
    <t>Tidak ada pelaksanaan pengawasan, tidak ada dokumen laporan pengawasan sehingga tidak terjadi tata kelola yang baik</t>
  </si>
  <si>
    <t>Karena ada keterlambatan masuknya data dan informasi yang diperlukan untuk pelaksanaan kegiatan, mungkin ada kegiatan pengawasan yang belum terlaksana sampai waktu penyusunan laporan, sehingga laporan hasil pengawasan tidak bisa diselesaikan tepat waktu</t>
  </si>
  <si>
    <t>1. Membuat jadwal yang sistematis dan detail: Buat jadwal yang sistematis dan detail yang mencakup semua kegiatan yang harus dilakukan dalam proses penyusunan laporan, mulai dari pengumpulan data hingga penyajian laporan. Pastikan jadwal tersebut realistis dan memperhitungkan waktu yang diperlukan untuk setiap kegiatan. 
2. Menyiapkan sumber daya yang cukup: Pastikan bahwa tim yang terlibat dalam proses penyusunan laporan memiliki sumber daya yang cukup, seperti akses ke informasi yang diperlukan, perangkat lunak yang dibutuhkan, dan bantuan teknis yang dibutuhkan.</t>
  </si>
  <si>
    <t>SPI-12</t>
  </si>
  <si>
    <t>Penyusunan Laporan Hasil Pengawasan Internal Triwulan II Politeknik Negeri Malang - SPI</t>
  </si>
  <si>
    <t>Karena ada keterlambatan masuknya data dan informasi yang diperlukan untuk pelaksanaan kegiatan, mungkin ada kegiatan pengawasan yang belum terlaksana sampai dengan waktu penyusunan laporan, sehingga laporan hasil pengawasan tidak bisa diselesaikan tepat waktu.</t>
  </si>
  <si>
    <t>SPI-13</t>
  </si>
  <si>
    <t>Penyusunan Laporan Hasil Pengawasan Internal Triwulan III Tahun 2025 di Politeknik Negeri Malang - SPI</t>
  </si>
  <si>
    <t>Karena ada keterlambatan masuknya data dan informasi yang diperlukan untuk pelaksanaan kegiatan, mungkin ada kegiatan pengawasan yang belum terlaksana samapai dengan waktu penyusunan laporan, sehingga laporan hasil pengawasan tidak bisa diselesaikan tepat waktu.</t>
  </si>
  <si>
    <t>SPI-17</t>
  </si>
  <si>
    <t>Penyusunan Laporan Hasil Pengawasan Internal Triwulan I Politeknik Negeri Malang - SPI</t>
  </si>
  <si>
    <t>UPA Bahasa-1</t>
  </si>
  <si>
    <t>PEMBEKALAN TOEIC MAHASISWA 2025 - UPA Bahasa</t>
  </si>
  <si>
    <t>1. Kegiatan tidak terlaksana sehingga menyebabkan kerugian baik moril maupun materiil.</t>
  </si>
  <si>
    <t>Karena tidak ada SDM yang menyusun materi dan menerapkan metode pembekalan TOEIC yang tepat, dan belum ada materi TOEIC yang tepat serta mahasiswa tidak mengikuti pembekalan sehingga Skor TOEIC mahasiswa masih di bawah target.</t>
  </si>
  <si>
    <t>Untuk mengatasi resiko yang mungkin terjadi maka cara mengendalikan dampaknya adalah :1)Bekerja sama dengan pihak ketiga untuk menyediakan materi. 2) Memberikan pelatihan pada dosen mengenai metode pengajaran terkini 3) melakukan sosialisasi mengenai kegiatan jauh-jauh hari melalui jurusan, program studi dan sosial media</t>
  </si>
  <si>
    <t>UPA Pengembangan Karir dan Kewirausahaan-1</t>
  </si>
  <si>
    <t>Bootcamp Kewirausahaan - UPA Pengembangan Karir dan Kewirausahaan</t>
  </si>
  <si>
    <t>program pendampingan kewirausahaan merupakan rangkaian kegiatan dari beberapa aktivitas program kewirausahaan yang harus dilaksanakan secara berurutan dan menyambung. 
sehingga jika terjadi keterlambatan pada pencairan modal usaha maka akan terjadi kemunduran jadwal pelaksanaan boothcamp ini. Karena kegiatan ini tidak bisa dilaksanakan jika kegiatan PMW belum berjalan. maka pelaksanaan jadwal kegiatan harus sesuai dengan yang dijadwalkan.</t>
  </si>
  <si>
    <t>Karena terjadi kemunduran pencairan modal usaha pada kegiatan PMW ( dari kegiatan sebelumnya) sehingga akan berdampak mundurnya jawal kegiatan boothcamp ini.</t>
  </si>
  <si>
    <t>1. Ketepatan waktu dan jadwal pelaksanaan kegiatan semua program kewirausahaan. 
2. memastikan pencairan bantuan modal usaha pada kegiatan PMW dibantu oleh bagian keuangan bisa dilaksanakan tepat waktu.
3. melakukan koordinasi secara efektif dengan tim kerja, koordinasi dengan jurusan, dan koordinasi dengan bagian keuangan.</t>
  </si>
  <si>
    <t>UPA Pengembangan Karir dan Kewirausahaan-5</t>
  </si>
  <si>
    <t>Magang Kewirausahaan - UPA Pengembangan Karir dan Kewirausahaan</t>
  </si>
  <si>
    <t>1. peserta lebih memilih MBKM
2. peserta sedikit</t>
  </si>
  <si>
    <t>karena adanya program MBKM dimana peserta berbarengan melaksanakan kegiatan MBKM dari jurusan, sehingga peserta lebih memilih melaksanakan MBKM lebih dulu dan pelaksanaan magang kewirausahaan terhambat</t>
  </si>
  <si>
    <t>mengupayakan kegiatan magang kewirausahaan mendapatkan dukungan dari institusi dan jurusan untuk mendapatkan konversi mata kuliah dan menjadi MBKM internal, sehingga pelaksanaan magang bisa dilaksanakan dengan baik.</t>
  </si>
  <si>
    <t>UPA Pengembangan Karir dan Kewirausahaan-7</t>
  </si>
  <si>
    <t>Pelatihan Persiapan memasuki Dunia Kerja untuk mahasiswa tingkat akhir Politeknik Negeri Malang - UPA Pengembangan Karir dan Kewirausahaan</t>
  </si>
  <si>
    <t>1. pendaftar kurang
2. sulit mengelola pelaksanaan kegiatan</t>
  </si>
  <si>
    <t>karena jadwal kuliah sangat padat sehingga mengakibatkan jumlah peserta pendaftar kurang.</t>
  </si>
  <si>
    <t>Memberikan informasi yang jelas terkait kegiatan ini, serta berkoordinasi debfab jurusan terkait pelaksanaan kegiatan agar target tercapai
publikasi</t>
  </si>
  <si>
    <t>UPA Pengembangan Karir dan Kewirausahaan-14</t>
  </si>
  <si>
    <t>Pemetaan Minat dan Bakat Mahasiswa Politeknik Negeri Malang 2025 - UPA Pengembangan Karir dan Kewirausahaan</t>
  </si>
  <si>
    <t>1. jumlah peserta terbatas</t>
  </si>
  <si>
    <t>karena keterbatasan dana kontribusi peserta , sehingga tidak bisa mengakomodir peserta dalam jumlah yang cukup banyak. 
sehingga UPA PKK berupaya sebaik mungkin dalam pelaksanaan agar menapatkan hasil lebih besar dari target capaian.</t>
  </si>
  <si>
    <t>berkoordinasi dengan bagian keuangan terkait pelaporan keuangan.</t>
  </si>
  <si>
    <t>UPA Perawatan dan Perbaikan-1</t>
  </si>
  <si>
    <t>Perawatan dan Standarisasi Alat lab/bengkel - UPA Perawatan dan Perbaikan</t>
  </si>
  <si>
    <t>1). Tidak tercapainya IKU. 2). Tidak tercapainya sasaran strategis. 3). Menurunkan kualitas lulusan program studi. 4). Menurunnya layanan pembelajaran. 5). Kualitas pembelajaran menurun. 6). Kegiatan pembelajaran terganggu. 7) Menghalangi potensi income generating</t>
  </si>
  <si>
    <t>Karena Belum ada kesiapan di awal tahun untuk Pengadaan Pengadaan Perawatan dan Standarisasi Alat lab/bengkel pada kampus utama dan Kesulitan dalam mendapatkan rekanan profesional mungkin Perawatan dan Standarisasi Alat lab/bengkel pada kampus utama Terlambat sehingga Perawatan dan Standarisasi Alat lab/bengkel pada kampus utama Terlambat</t>
  </si>
  <si>
    <t>Kiranya pendanaan di awal tahun dapat dilakukan proses akselerasi, adanya nilai kecukupan pada kegiatan-kegiatan yang diajukan, adanya fleksibilitas pendanaan karena melibatkan banyak fokus pekerjaan yang berbeda-beda dan terspesialisasi dan adanya bank data dan sistem informasi untuk rekanan profesional.</t>
  </si>
  <si>
    <t>UPA Perawatan dan Perbaikan-2</t>
  </si>
  <si>
    <t>Perawatan Fasilitas Kelas, Lab, dan Bengkel - UPA Perawatan dan Perbaikan</t>
  </si>
  <si>
    <t>1). Tidak tercapainya IKU. 2). Tidak tercapainya sasaran strategis. 3). Menurunkan kualitas lulusan program studi. 4). Menurunnya layanan pembelajaran. 5). Kualitas pembelajaran menurun. 6). Kegiatan pembelajaran terganggu.</t>
  </si>
  <si>
    <t>Karena Belum ada pendanaan di awal tahun untuk Pengadaan Bahan Peralatan Penyelenggaraan Pendidikan (Kabel LCD) mungkin Proses Pengadaan Bahan Peralatan Penyelenggaraan Pendidikan (Kabel LCD) Terlambat sehingga Tidak tersedianya Peralatan Penyelenggaraan Pendidikan (kabel LCD) Semester Genap di Polinema</t>
  </si>
  <si>
    <t>Kiranya pendanaan di awal tahun dapat dilakukan proses akselerasi, dan adanya nilai kecukupan pada kegiatan-kegiatan yang diajukan.</t>
  </si>
  <si>
    <t>UPA Perawatan dan Perbaikan-3</t>
  </si>
  <si>
    <t>Peningkatan kualitas alat lab/bengkel - UPA Perawatan dan Perbaikan</t>
  </si>
  <si>
    <t>Karena Belum ada kesiapan di awal tahun untuk Pengadaan Perawatan Fasilitas Kelas Peralatan Penyelenggaraan Pendidikan (mesin CNC) di Polinema PSDKU Kediri dan Kesulitan dalam mendapatkan rekanan profesional mungkin Ketersediaan Peralatan Penyelenggaraan Pendidikan (mesin CNC) di Polinema PSDKU Kediri Terlambat sehingga Tidak tersedia Peralatan Penyelenggaraan Pendidikan (mesin CNC) di Polinema PSDKU Kediri</t>
  </si>
  <si>
    <t>UPA Percetakan dan Penerbitan-1</t>
  </si>
  <si>
    <t>BELANJA MODAL UNTUK PERALATAN DAN MESIN</t>
  </si>
  <si>
    <t>Tugas percetakan terhambat, sehingga juga menghambat aktivitas penggandaan buku ajar dan berbagai dokumen administrasi di Polinema.</t>
  </si>
  <si>
    <t>Karena waktu pembelian peralatan dan mesin mengalami keterlambatan, mungkin jumlah atau kualitas peralatan dan mesin yang tersedia tidak sesuai yang direncanakan, sehingga peralatan dan mesin tidak dapat disediakan sesuai kebutuhan.</t>
  </si>
  <si>
    <t>Pada kegiatan BELANJA MODAL UNTUK PERALATAN DAN MESIN, ada beberapa penyebab masalah (karena jumlah atau kualitas peralatan dan mesin yang tersedia tidak sesuai yang direncanakan, mungkin harga peralatan dan mesin lebih mahal dari yang direncanakan, dan waktu pembelian peralatan dan mesin mengalami keterlambatan), maka alternatif solusinya:
Memastikan panitia pengadaan memperoleh informasi tentang penyedia barang yang dibutuhkan beserta harganya sebulan sebelum pelaksanaan pengadaan.</t>
  </si>
  <si>
    <t>UPA Percetakan dan Penerbitan-2</t>
  </si>
  <si>
    <t>Pemeliharaan Peralatan dan Mesin - UPA Percetakan dan Penerbitan</t>
  </si>
  <si>
    <t>Tidak dapat melaksanakan pencetakan tepat waktu.</t>
  </si>
  <si>
    <t>Karena tidak memiliki informasi tentang penyedia jasa pemeliharaan yang sesuai , mungkin biaya pemeliharaan peralatan dan mesin tidak sesuai dengan yang direncanakan, sehingga pemeliharaan tidak dapat dilakukan sesuai kebutuhan.</t>
  </si>
  <si>
    <t>Pada kegiatan "Pemeliharaan Peralatan dan Mesin", ada beberapa penyebab masalah (karena biaya pemeliharaan peralatan dan mesin tidak sesuai dengan yang direncanakan, mungkin biaya pemeliharaan peralatan dan mesin mengalami kenaikan, dan tidak memiliki informasi tentang penyedia jasa pemeliharaan yang sesuai), maka alternatif solusinya:
Memastikan panitia pengadaan memperoleh informasi tentang penyedia jasa yang dibutuhkan beserta harganya sebulan sebelum pelaksanaan pemeliharaan.</t>
  </si>
  <si>
    <t>UPA Percetakan dan Penerbitan-3</t>
  </si>
  <si>
    <t>Belanja Sarana dan Prasarana Pendukung Kerja - UPA Percetakan dan Penerbitan</t>
  </si>
  <si>
    <t>Tugas percetakan terhambat, sehingga juga menghambat aktivitas penggandaan dan pencetakan buku ajar dan berbagai dokumen administrasi di Polinema.</t>
  </si>
  <si>
    <t>Karena waktu pembelian sarana dan prasarana mengalami keterlambatan, mungkin jumlah atau kualitas sarana dan prasarana yang tersedia tidak sesuai yang direncanakan, sehingga sarana dan prasarana tidak dapat disediakan sesuai kebutuhan.</t>
  </si>
  <si>
    <t>Pada kegiatan BELANJA SARANA DAN PRASARANA PENDUKUNG KERJA, ada beberapa penyebab masalah (karena jumlah atau kualitas sarana dan prasarana yang tersedia tidak sesuai yang direncanakan, mungkin harga sarana dan prasarana lebih mahal dari yang direncanakan, dan waktu pembelian sarana dan prasarana mengalami keterlambatan), maka alternatif solusinya:
Memastikan panitia pengadaan memperoleh informasi tentang penyedia barang yang dibutuhkan beserta harganya sebulan sebelum pelaksanaan pengadaan.</t>
  </si>
  <si>
    <t>UPA Percetakan dan Penerbitan-4</t>
  </si>
  <si>
    <t>Workshop Penyusunan SOP Layanan UPA Percetakan dan Penerbitan</t>
  </si>
  <si>
    <t>Tugas percetakan dan penerbitan terhambat, sehingga juga menghambat aktivitas produksi buku ajar dan berbagai dokumen administrasi di Polinema.</t>
  </si>
  <si>
    <t>Karena SOP yang tidak disusun tepat waktu, mungkin staf tidak memiliki acuan di dalam memberikan layanan, sehingga layanan percetakan dan penerbitan tidak dapat disediakan sesuai kebutuhan.</t>
  </si>
  <si>
    <t>Pada kegiatan Penyusunan SOP Layanan Percetakan dan Penerbitan, ada beberapa penyebab masalah (karena penyusun SOP tidak miliki banyak waktu, pekerjaan terlambat, dan tidak ada contoh SOP sejenis), maka alternatif solusinya:
Memastikan panitia workshop memperoleh informasi tentang ketersediaan waktu peserta workshop dan mencari SOP acuan sebelum pelaksanaan workshop.</t>
  </si>
  <si>
    <t>UPA Percetakan dan Penerbitan-5</t>
  </si>
  <si>
    <t>Belanja BHP untuk Percetakan - UPA Percetakan dan Penerbitan</t>
  </si>
  <si>
    <t>Karena waktu pembelian BHP mengalami keterlambatan, mungkin jumlah atau kualitas BHP yang tersedia tidak sesuai yang direncanakan, sehingga BHP tidak dapat disediakan sesuai kebutuhan.</t>
  </si>
  <si>
    <t>Pada kegiatan BELANJA BHP UNTUK PERCETAKAN, ada beberapa penyebab masalah (karena jumlah atau kualitas BHP yang tersedia tidak sesuai yang direncanakan, mungkin harga BHP lebih mahal dari yang direncanakan, dan waktu pembelian BHP mengalami keterlambatan), maka alternatif solusinya:
Memastikan panitia pengadaan memperoleh informasi tentang penyedia barang yang dibutuhkan beserta harganya sebulan sebelum pelaksanaan pengadaan.</t>
  </si>
  <si>
    <t>UPA Percetakan dan Penerbitan-6</t>
  </si>
  <si>
    <t>Penerbitan Buku Ber-ISBN Berbahasa Inggris - UPA Percetakan dan Penerbitan</t>
  </si>
  <si>
    <t>Tidak dapat memenuhi target penerbitan buku ajar berbahsa Inggris ber-ISBN dengan jumlah dan waktu yang telah ditentukan.</t>
  </si>
  <si>
    <t>Karena waktu yang singkat, mungkin jumlah penulis yang memiliki karya yang memenuhi syarat rendah, sehingga jumlah buku yang ditargetkan tidak dapat diterbitkan sesuai rencana.</t>
  </si>
  <si>
    <t>Pada kegiatan PROGRAM PENERBITAN BUKU AJAR BERBAHASA INGGRIS, ada beberapa penyebab masalah (karena waktu yang singkat, mungkin jumlah penulis yang memiliki karya yang memenuhi syarat rendah, dan penulis tidak tahu cara menulis buku yang baik), maka alternatif solusinya:
1. Melakukan sosialisasi lebih awal kepada para penulis (dosen Polinema).
2. Memberi pelatihan bagi calon penulis (dosen Polinema).</t>
  </si>
  <si>
    <t>UPA Percetakan dan Penerbitan-7</t>
  </si>
  <si>
    <t>PROGRAM PENERBITAN BUKU AJAR DAN REFERENSI - UPA Percetakan dan Penerbitan</t>
  </si>
  <si>
    <t>Tidak dapat memenuhi target penerbitan buku ajar ber-ISBN dengan jumlah dan waktu yang telah ditentukan.</t>
  </si>
  <si>
    <t>Karena tidak ada percetakan yang dapat mencetak buku dalam jumlah besar dan waktu yang singkat, mungkin jumlah penulis yang memiliki karya yang memenuhi syarat rendah, sehingga jumlah buku yang ditargetkan tidak dapat diterbitkan sesuai rencana.</t>
  </si>
  <si>
    <t>Pada kegiatan PROGRAM PENERBITAN BUKU AJAR, ada beberapa penyebab masalah (karena tidak ada percetakan yang dapat mencetak buku dalam jumlah besar dan waktu yang singkat, mungkin jumlah penulis yang memiliki karya yang memenuhi syarat rendah, dan penulis tidak tahu cara menulis buku yang baik), maka alternatif solusinya:
1. Mencari informasi tentang penyedia jasa percetakan yang dapat mencetak buku dalam jumlah besar dan waktu yang singkat.
2. Melakukan sosialisasi lebih awal kepada para penulis (dosen Polinema).
3. Memberi pelatihan bagi calon penulis (dosen Polinema).
4. Memberi pelatihan calon penyunting</t>
  </si>
  <si>
    <t>WADIR I-1</t>
  </si>
  <si>
    <t>Peningkatan Kualitas Pembelajaran melalui pengembangan Perangkat Metode Pembelajaran OBA OBE dan pengukuran CPL - WADIR I</t>
  </si>
  <si>
    <t>kurikulum yang tidak didesain sesuai perkembangan kebutuhan dunia industri akan menurunkan potensi kemampuan mahasiswa dalam persaingan di dunia kerja, selain itu, bisa jadi mahasiswa tidak memiliki rasa percara diri untuk terjun di masyarakat. Tidak berani mengambil keputusan untuk mengambil suatu pekerjaan yang sesuai dengan bidang ilmunya karena kompetensinya kurang.</t>
  </si>
  <si>
    <t>Karena hasil rekonstruksi kurikulum belum sempurna, mungkin prodi belum siap menjalankan Kurikulum terbaru sehingga kegiatan PENINGKATAN KUALITAS PEMBELAJARAN MELALUI UPDATING DAN UPGRADING KURIKULUM tidak bisa dijalankan</t>
  </si>
  <si>
    <t>melakukan penyempurnaan terhadap rekonstruksi kurikulum dan melakukan perencanaan yang akurat</t>
  </si>
  <si>
    <t>WADIR I-2</t>
  </si>
  <si>
    <t>Peningkatan Kualitas Lulusan melalui Kualitas Input (MABA) - WADIR I</t>
  </si>
  <si>
    <t>kebutuhan dalam penerimaan MABA tidak dapat terfasilitasi</t>
  </si>
  <si>
    <t>Karena terdapat perubahan sistem dalam penerimaan mahasiswa baru , mungkin hasil perencanaan pelaksanaan kegiatan menjadi tidak baik, sehingga kegiatan Peningkatan Kualitas Lulusan melalui Kualitas Input (MABA). - PEMBANTU DIREKTUR I tidak bisa dijalankan</t>
  </si>
  <si>
    <t>updating sistem penerimaan mahasiswa baru agar fit and proper</t>
  </si>
  <si>
    <t>WADIR I-4</t>
  </si>
  <si>
    <t>BEASISWA MAHASISWA S2, S3, KELAS INTERNASIONAL DAN BEASISWA PII LEVEL ADVANCE - WADIR I</t>
  </si>
  <si>
    <t>program profesi PII tidak dapat didirikan di Polinema</t>
  </si>
  <si>
    <t>Karena keterbatasan SDM dalam penyusunan borang pendirian PII mungkin tim penyusun yang menyelesaikan tidak bisa menyelesaikan tepat waktu dan terdapat syarat yang belum terpenuhi sehingga pendirian program profesi PII tidak dapat dilakukan dengan baik</t>
  </si>
  <si>
    <t>membentuk tim ad hoc yang solid untuk pendirian program profesi PII</t>
  </si>
  <si>
    <t>WADIR I-6</t>
  </si>
  <si>
    <t>Pendirian Program Profesi Baru PII - WADIR I</t>
  </si>
  <si>
    <t>WADIR I-11</t>
  </si>
  <si>
    <t>Mengikuti Conference dalam dan luar negeri dan delegasi lain - WADIR I - WADIR I - WADIR I</t>
  </si>
  <si>
    <t>IKU tidak tercapai</t>
  </si>
  <si>
    <t>Karena kurangnya sosialisasi kepada dosen, mungkin tidak ada dosen yang mendaftar , SEHINGGA pengiriman delegasi Polinema ke kegiatan pertemuan ilmiah lain - PEMBANTU DIREKTUR I tidak bisa dijalankan.</t>
  </si>
  <si>
    <t>Dengan berbagai tuntutan kualifikasi yang ada, polinema mendukung program percepatan doktor dan jabatan akademik lain.</t>
  </si>
  <si>
    <t>WADIR I-12</t>
  </si>
  <si>
    <t>BANTUAN DOSEN STUDI LANJUT DOKTORAL - WADIR I</t>
  </si>
  <si>
    <t>Peningkatan dosen dengan kualifikasi S3 serta jabatan akademik Lektor keplaa dan guru besar</t>
  </si>
  <si>
    <t>Karena kurangnya sosialisasi kepada dosen, mungkin tidak ada dosen yang mendaftar , SEHINGGA program pemberian bantuan studi lanjut doktoral tidak bisa dijalankan.</t>
  </si>
  <si>
    <t>Dengan berbagai tuntutan kualifikasi yang ada, polinema mendukung program percepatan doktor dan jabatan akad</t>
  </si>
  <si>
    <t>WADIR I-13</t>
  </si>
  <si>
    <t>Bantuan Magang Dosen BARU- WADIR I</t>
  </si>
  <si>
    <t>IKU tidak tercapai secara maksmial</t>
  </si>
  <si>
    <t>Karena kurangnya sosialisasi kepada dosen, mungkin tidak ada dosen yang mendaftar , sehingga program magang dosen tidak bisa dijalankan.</t>
  </si>
  <si>
    <t>melakukan sosialisasi dan monitoring berkala</t>
  </si>
  <si>
    <t>WADIR II-6</t>
  </si>
  <si>
    <t>DUKUNGAN OPERASIONAL LAYANAN PENDIDIKAN</t>
  </si>
  <si>
    <t>Biaya layanan pendidikan yang dibutuhkan tidak dapat cair pada saat pelaksanaan kegiatan, sehingga pembayarannya akan tertunda.</t>
  </si>
  <si>
    <t>Karena Tidak adanya kepastian jadwal pelaksanaan kegiatan yang dilakukan oleh unit kerja mungkin pengajuan biaya layanan pendidikan terlambat sehingga pencairan biaya layanan pendidikan terlambat.</t>
  </si>
  <si>
    <t>Memasukan pengajuan pencairan dana pada timeline jauh hari sebelum pelaksanaan kegiatan sehingga pada saat pelaksanan kegiatan biaya layanan pendidikan sudah siap untuk digunakan.</t>
  </si>
  <si>
    <t>WADIR II-8</t>
  </si>
  <si>
    <t>BELANJA PEGAWAI : Honorarium Kelebihan Jam Mengajar Tenaga Pendidik Non-PNS</t>
  </si>
  <si>
    <t>kepuasan layanan pembayaran honor tugas tambahan dan kelebihan jam mengajar rendah</t>
  </si>
  <si>
    <t>Karena Kurang tertib kinerja dari staff kepegawaian menyerahkan data kehadiran dan data dukung individu terbaru mungkin penyerahan/pemutahiran data dukung dalam sistem pembayaran honor Tugas tambahan dan kelebihan jam mengajar menjadi terlambat sehingga Pembayarannya tidak tepat waktu.</t>
  </si>
  <si>
    <t>Agar tidak terlambat, dilakukan prosedur supervisi berkala/rutin dalam pemutakhiran basis data kepegawaian</t>
  </si>
  <si>
    <t>WADIR II-9</t>
  </si>
  <si>
    <t>MAGANG/SERTIFIKASI KOMPETENSI DOSEN/DOSEN INDUSTRI/PROFESOR&amp;LEKTOR; KEPALA - WADIR II</t>
  </si>
  <si>
    <t>Petunjuk teknis kegiatan pengembangan staff dan penjadualan kegiatan ditetapkan secara pasti pada tahun 2025,</t>
  </si>
  <si>
    <t>Karena Supervisi dan dukungan kegiatan dari Bidang Keuangan dan umum kepada Pokja Kepegawaian belum optimal mungkin Pokja Kepegawaian belum memliliki panduan teknis untuk kegiatan magang/sertifikasi dosen/dosen industri/ dan percepatan professor dan lektor kepala sehingga Kegiatan pengembangan dosen untuk aktivitas magang/sertifikasi dosen/dosen industri dan percepatan professor dan lektor kepala tidak meningkatkan kualifikasi dosen.</t>
  </si>
  <si>
    <t>Pemberian informasi yang lengkap dan detil secara periodik kepada tenaga Pendidik agar dapat mengikuti MAGANG/SERTIFIKASI KOMPETENSI DOSEN/DOSEN INDUSTRI/PROFESOR&amp;LEKTOR KEPALA</t>
  </si>
  <si>
    <t>WADIR II-18</t>
  </si>
  <si>
    <t>BELANJA PEGAWAI : Remunerasi Dewas</t>
  </si>
  <si>
    <t>kepuasan layanan pembayaran remunerasi rendah</t>
  </si>
  <si>
    <t>arena Kurang tertib kinerja dari staff kepegawaian menyerahkan data kehadiran dan data dukung individu terbaru mungkin penyerahan/pemutahiran data dukung dalam sistem pembayaran remunerasi terlambat dilakukan sehingga Pembayaran Remunerasi Dewas dan Tenaga Pendidik tidak dibayarkan tepat waktu.</t>
  </si>
  <si>
    <t>WADIR II-19</t>
  </si>
  <si>
    <t>BELANJA PEGAWAI : Remunerasi Tenaga Kependidikan</t>
  </si>
  <si>
    <t>Karena Kurang tertib kinerja dari staff kepegawaian menyerahkan data kehadiran dan data dukung individu terbaru mungkin penyerahan/pemutahiran data dukung dalam sistem pembayaran remunerasi terlambat dilakukan sehingga Pembayaran Remunerasi Tenaga Kependidikan tidak dibayarkan tepat waktu.</t>
  </si>
  <si>
    <t>WADIR II-20</t>
  </si>
  <si>
    <t>BELANJA PEGAWAI : Remunerasi Tenaga Pendidik</t>
  </si>
  <si>
    <t>Karena Kurang tertib kinerja dari staff kepegawaian menyerahkan data kehadiran dan data dukung individu terbaru mungkin penyerahan/pemutahiran data dukung dalam sistem pembayaran remunerasi terlambat dilakukan sehingga Pembayaran Remunerasi Tenaga Pendidik tidak dibayarkan tepat waktu.</t>
  </si>
  <si>
    <t>WADIR II-23</t>
  </si>
  <si>
    <t>PENGADAAN ALAT PENGOLAH DATA DAN INFORMASI PENDUKUNG PERKANTORAN</t>
  </si>
  <si>
    <t>Melakukan analisis kebutuhan pengembangan sistem dengan personil yang mempunyai kualifikasi yang memadahi</t>
  </si>
  <si>
    <t>Karena kurangnya pengembangan staff yang cukup untuk kepentingan kajian aplikasi yang tepat mungkin analisis Sistem dan infrastruktur tidak direncanakan secara baik sehingga Pengadaan Alat pengolah data dan informasi pendukung perkantoran tidak berfungsi secara efektif.</t>
  </si>
  <si>
    <t>membuat rekapan hasil analis kebutuhan dan membuat daftar pekerjaan yang disesuaikan dengan tenaga yang kualified dan kompeten agar pelaksanaan Pengadaan Alat Pengolah Data dan Informasi Pendukung Perkantoran dapat berjalan dengan efektif dan efisien</t>
  </si>
  <si>
    <t>WADIR II-24</t>
  </si>
  <si>
    <t>PEMELIHARAAN DAN PERAWATAN JARINGAN - WADIR II</t>
  </si>
  <si>
    <t>Melakukan pemantauan melalui daftar permintaan dan tindakan pemeliharaan dan perawatan jaringan</t>
  </si>
  <si>
    <t>Karena Rapat koordinasi antara user, rumah tangga dan PPK tidak dilakukan pada awal tahun anggaran mungkin Analisis kebutuhan perbaikan dan perawatan jaringan tidak mempertimbangkan identifikasi sehingga Pemeliharaan dan perawatan jaringan dilakukan tidak sesuai dengan prioritas.</t>
  </si>
  <si>
    <t>Selalu menyiapkan daftar perawatan dari user dan menyusun time line agar pelaksanaan pemeliharaan dan perawatan jaringan tidak sampai terlewatkan</t>
  </si>
  <si>
    <t>WADIR II-28</t>
  </si>
  <si>
    <t>PEMELIHARAAN PERALATAN PENDUKUNG PEMBELAJARAN</t>
  </si>
  <si>
    <t>Melakukan pengembangan dan implementasi SOP dan Aplikasi Maintenance Management System.</t>
  </si>
  <si>
    <t>Karena Rapat koordinasi antara user, rumah tanggal dan UPA PP tidak dilakukan pada awal tahun anggaran mungkin Analisis kebutuhan pemeliharaan peralatan pendukung pembelajaran tidak mempertimbangkan identifikasi terkini sehingga pemeliharaan peralatan pendukung pembelajaran dilakukan tidak sesuai dengan prioritas.</t>
  </si>
  <si>
    <t>melakukan pengawasan pada implementasi SOP dan Aplikasi Maintenance Management System agar pelaksanan Pemeliharaan Peralatan Pendukung Pembelajaran dapat menjadi prioritas.</t>
  </si>
  <si>
    <t>WADIR II-29</t>
  </si>
  <si>
    <t>SEMINAR DAN PELATIHAN SERTA WORKSHOP PENJAMINAN MUTU KELEMBAGAAN DAN ORGANISASI - WADIR II - WADIR II</t>
  </si>
  <si>
    <t>FGD di lingkungan Bidang II dan BPKU untuk menentukan kebutuhan pelatihan tendik dan dokumen wajib organisasi dan mapping untuk pemenuhan dan perbaikannya</t>
  </si>
  <si>
    <t>Karena Telaah atas kebutuhan pelatihan tendik dan kebutuhan dokumen wajib organisasi belum tersedia mungkin Institusi belum menetapkan gap atas kebutuhan pelatihan tendik dan pemenuhan dokumen wajib untuk meningkatkan mutu kelembagaan dan organisasi sehingga Kegiatan Seminar/Pelatihan</t>
  </si>
  <si>
    <t>Pemberian informasi yang lengkap dan detil secara periodik kepada tenaga kependidikan untuk mengikuti seminar/sertifikasi/workshop yang dapat meningkatkan performa kerjanya</t>
  </si>
  <si>
    <t>WADIR II-30</t>
  </si>
  <si>
    <t>PENGADAAN PERALATAN PENDUKUNG PERKANTORAN - WADIR II - WADIR II</t>
  </si>
  <si>
    <t>Melakukan koordinasi persiapan data dukung berupa KAK, RAB dan HPS secara lengkap dan lebih awal, dan tim teknis melakukan pengecekan kesesuaian barang datang.</t>
  </si>
  <si>
    <t>Karena kurangnya koordinasi antara RT dan tim teknis mungkin tidak ada koordinasi awal untuk dasar pemesanan alat pendukung perkantoran sehingga pengadaan peralatan perkantoran yang datang tidak sesuai TKDN dan kebutuhan.</t>
  </si>
  <si>
    <t>kontrol kesiapan KAK, RAB, HPS, dan pengajuan usulan TKDN agar proses pelaksanaan Pengadaan Peralatan Perkantoran (Umum dan TIK) dapat berjalan lancar dan segera terealisasi</t>
  </si>
  <si>
    <t>WADIR II-42</t>
  </si>
  <si>
    <t>Honorarium Kelebihan Jam Mengajar Tenaga Pendidik Non-PNS</t>
  </si>
  <si>
    <t>WADIR II-43</t>
  </si>
  <si>
    <t>Remunerasi Tenaga Kependidikan</t>
  </si>
  <si>
    <t>WADIR II-44</t>
  </si>
  <si>
    <t>Remunerasi Tenaga Pendidik</t>
  </si>
  <si>
    <t>WADIR II-45</t>
  </si>
  <si>
    <t>PENGADAAN ALAT PENGOLAH DATA DAN INFORMASI PENDUKUNG PEMBELAJARAN - WADIR II</t>
  </si>
  <si>
    <t>Karena kurangnya pengembangan staff yang cukup untuk kepentingan kajian aplikasi yang tepat mungkin analisis Sistem dan infrastruktur tidak direncanakan secara baik sehingga Pengadaan Alat pengolah data dan informasi pendukung pembelajaran tidak berfungsi secara efektif.</t>
  </si>
  <si>
    <t>Membuat hasil analisis kebutuhan pengembangan sistem dan menyiapkan personil yang kualified dan kompeten</t>
  </si>
  <si>
    <t>WADIR II-50</t>
  </si>
  <si>
    <t>Remunerasi Dewas</t>
  </si>
  <si>
    <t>WADIR II-51</t>
  </si>
  <si>
    <t>Pengembangan tata Kelola IT Polinema - WADIR II</t>
  </si>
  <si>
    <t>Karena kurangnya pengembangan staff yang cukup untuk kepentingan kajian aplikasi yang tepat mungkin analisis Sistem dan infrastruktur tidak direncanakan secara baik sehingga Pengembangan tata Kelola IT Polinema belum terlaksana dengan baik</t>
  </si>
  <si>
    <t>Menyiapkan analisis kebutuhan pengembangan sistem agar Pengembangan tata Kelola IT Polinema dapat berjalan dengan baik</t>
  </si>
  <si>
    <t>WADIR II-56</t>
  </si>
  <si>
    <t>Biaya Pengelolaan Kegiatan PBJ</t>
  </si>
  <si>
    <t>Pencairan biaya untuk pelaksanaan pengelolaan kegiatan PBJ membutuhkan waktu yang lama</t>
  </si>
  <si>
    <t>Karena belum adanya pos khusus untuk pagu biaya pengelolaan kegiatan PBJ mungkin belum adanya juga penganggaran untuk pagu pengelolaan kegiatan PBJ sehingga biaya pelaksanaan pengelolaan kegiatan PBJ diambilkan dari pagu kegiatan lain yang membuat pelaksanaan kegiatan tidak dapat berjalan dengan lancar</t>
  </si>
  <si>
    <t>Menyiapkan pagu dan pos khusus untuk biaya pengelolaan kegiatan PBJ sehingga akan memperlancar pencairan dana yang akan dibutuhkan</t>
  </si>
  <si>
    <t>WADIR III-5</t>
  </si>
  <si>
    <t>Program Bantuan Penyelenggaraan Lomba-lomba Tingkat Nasional dan Internasional di Polinema - WADIR III</t>
  </si>
  <si>
    <t>1. Target kinerja mahasiswa berprestasi tingkat nasional yang berasal dari kegiatan lomba internal tidak tercapai. 
2. Kontribusi terhadap IKU 2 dan 3 kurang maksimal</t>
  </si>
  <si>
    <t>KARENA belum semua jurusan menyelenggarakan lomba tingkat nasional MUNGKIN program kerja Program Bantuan Penyelenggaraan Lomba-lomba (internal) Tingkat Nasional tidak dapat berjalan dengan maksimal SEHINGGA target kinerja mahasiswa berprestasi tingkat nasional yang berasal dari kegiatan lomba internal tidak tercapai.</t>
  </si>
  <si>
    <t>KARENA belum semua jurusan menyelenggarakan lomba tingkat nasional, MAKA ALTERNATIF SOLUSINYA ADALAH: 
1. Mendorong jurusan-jurusan untuk menyelenggarakan event lomba berlevel nasional atau internasional 
2. Mengikutsertakan mahasiswa dan pembimbing lebih banyak untuk mngikuti lomba-lomba tingkat nasional yg diselenggarakan oleh internal Polinema</t>
  </si>
  <si>
    <t>WADIR III-9</t>
  </si>
  <si>
    <t>Pelaksanaan Tracer Study dan Portal Karir - WADIR III - WADIR III</t>
  </si>
  <si>
    <t>1. IKU 1 tidak tercapai 
2. Data status alumni yang valid tidak lengkap 
3. Tidak cukup dasar yang jelas untuk mengambil langkah strategis selanjutnya terkait serapan alumni pada dunia kerja</t>
  </si>
  <si>
    <t>KARENA Kurangnya informasi tentang pentingnya program tracer study, MUNGKIN Kurangnya kepedulian alumni untuk mengisi data melalui sistem tracer study, SEHINGGA Data Sistem Tracer Study tidak dapat memenuhi target responden yang mengisi lengkap minimal 80% dari jumlah alumni</t>
  </si>
  <si>
    <t>1. Melakukan SMS/WA blasting secara periodik 2-3 kali pada triwulan 1 
2. Memberdayakan dosen untuk memiinta para mantanbimbingannya untuk mengisi data pada sistem tracer studi 
3. Memberdayaka admin akademik prodi untk memiinta para mantanbimbingannya untuk mengisi data pada sistem tracer studi 
4. Bekerjasama dengan penyedia jasa surveyor untuk melakukan sensus kpd alumni</t>
  </si>
  <si>
    <t>WADIR III-13</t>
  </si>
  <si>
    <t>Peningkatan Prestasi Mahasiswa melalui Pembinaan Prestasi di Berbagai Bidang - WADIR III - WADIR III</t>
  </si>
  <si>
    <t>1. Jumlah mahasiswa berprestasi kurang maksimal (&lt;1%) 
2. Jumlah dosen yang membimbing mahasiswa berprestasi kurang maksimal 
3. Kontribusi terhadap IKU-1 dan 2 kurang maksimal</t>
  </si>
  <si>
    <t>KARENA jumlah mahasiswa yang mengikuti program pembinaan prestasi masih belum maksimal (&lt;1%) MUNGKIN program kerja Peningkatan Prestasi Mahasiswa Melalui Pembinaan Prestasi Dibidang Penalaran, Kreativitas, Kewirausahaan, Olah Raga, dan Seni (Minat dan Bakat) tidak dapat berjalan dengan maksimal SEHINGGA capaian jumlah mahasiswa berprestasi belum maksimal (&lt;1%).</t>
  </si>
  <si>
    <t>KARENA jumlah mahasiswa yang mengikuti program pembinaan prestasi masih belum maksimal (&lt;1%), MAKA ALTERNATIF SOLUSINYA ADALAH: 1. Sosialisasi yang lebih intensif kepada dosen dan mahasiswa tentang program pembinaan prestasi dan pengiriman ke perlombaan tingkat nasional/internasional 2. Sosialisasi yang lebih intensif kepada dosen dan mahasiswa tentang program penghargaan prestasi tingkat nasional/internsional 3. Melaksanakan penulusuran calon mahasiswa yg memiliki prestasi non akademik, khususnya olah raga. 4. Menyusun strategi kaderisasi bidang prestasi berkelompok agar prestasinya tetap berkesinambungan</t>
  </si>
  <si>
    <t>WADIR III-14</t>
  </si>
  <si>
    <t>Penyelenggaraan INHOUSE RECRUITMENT dan Campus-Company Fit and Hiring (JOB FAIR) - WADIR III</t>
  </si>
  <si>
    <t>1. Kurangnya peserta (mahasiswa atau alumni) yang menghadiri Campus-Company Fit and Hiring (JOB FAIR). 2. Kurang maksimalnya jumlah mahasiswa atau alumni yang diterima bekerja melalui Campus-Company Fit and Hiring (JOB FAIR)</t>
  </si>
  <si>
    <t>KARENA kurangnya sosialisasi Campus-Company Fit and Hiring (JOB FAIR) dan kurangnya kesiapan mahasiswa atau alumni dalam mengikuti rekrutmen, MUNGKIN program kerja penyelenggaraan Campus HIring tidak dapat berjalan dengan maksimal SEHINGGA mahasiswa atau alumni kurang menerima manfaat Campus-Company Fit and Hiring (JOB FAIR) untuk memperoleh pekerjaan.</t>
  </si>
  <si>
    <t>"KARENA kurangnya sosialisasi Campus-Company Fit and Hiring (JOB FAIR) dan kurangnya kesiapan mahasiswa atau alumni dalam mengikuti rekrutmen, MAKA ALTERNATIF SOLUSINYA ADALAH: 
1. Melakukan sosialisasi Campus-Company Fit and Hiring (JOB FAIR) secara intensif kepada mahasiswa tingkat akhir dan alumni 
2. Memberikan pembekalan kesiapan rekrutmen kepada mahasiswa tingkat akhir dan alumni"</t>
  </si>
  <si>
    <t>WADIR III-15</t>
  </si>
  <si>
    <t>Program Pengiriman Mahasiswa ke Perlombaan - WADIR III - WADIR III - WADIR III</t>
  </si>
  <si>
    <t>1. Kontribusi ke IKU 2 sedikit (&lt;1%) (jumlah mahasiswa berprestasi tingkat nasional atau internasional) 
2. Kontribusi ke IKU 3 belum maksimal, masih bisa ditingkatkan (jumlah pembimbing mahasiswa berprestasi tingkat nasional atau internasional)</t>
  </si>
  <si>
    <t>KARENA Tidak memiliki data base Mahasiswa yang kompenten sesuai dengan jenis lomba dan data jenis lomba yang akan dilesenggarakan oleh Penyelenggara, MUNGKIN Tidak ada Pemetaan kompetensi mahasiswa yang sesuai dengan jenis lomba yang akan diikuti dan Tidak ada data jenis lomba yang akan diselenggarakan oleh pihak Penyelengara, SEHINGGA Pengiriman Mahasiswa Ke Perlombaan tidak berjalan optimal</t>
  </si>
  <si>
    <t>KARENA belum maksimalnya (&lt; 1%) jumlah mahasiswa yang mengikuti ajang perlombaan tingkat nasional atau internasional, MAKA ALTERNATIF SOLUSINYA ADALAH: 
1. Sosialisasi secara lebih intensif dan menyeluruh kepada mahasiswa dan dosen (calon pembimbing) tentang program pengiriman mahasiswa ke ajang perlombaan tingkat nasional dan internasional 
2. Sosialisasi secara lebih intensif dan menyeluruh kepada mahasiswa dan dosen (calon pembimbing) tentang program rewards terhadap prestasi mahasiswa dan pembimbingnya tingkat nasional dan internasional 
3. Meningkatkan intensitas pencarian informasi tentang lomba dan menyebarluaskan kepada mahasiswa dan dosen calon pembimbing 
4. Meningkatkan intensitas kegiatan penulusuran calon mahasiswa berprestasi ke sekolah-sekolah 
5. Meningkatkan pembinaan kemampuan mahasiswa yang berbakat untuk berprestasi lebih tinggi</t>
  </si>
  <si>
    <t>BAK-5</t>
  </si>
  <si>
    <t>Sosialisasi dan Workshop Peningkatan Kualitas Layanan Akademik melalui Penerapan Fitur Survey kepuasan pelanggan untuk Menunjang ZI WBK - BAK</t>
  </si>
  <si>
    <t>MIDDLE</t>
  </si>
  <si>
    <t>Validitas dokumen layanan akademik akan seringkali mengalami perubahan/penyempurnaan seiring perubahan proses bisnis termasuk di dalamnya penyesuaian dalam modul aplikasi yang digunakan</t>
  </si>
  <si>
    <t>Karena proses bisnis akademik seringkali harus mengikuti kondisi perubahan secara dinamis/fleksibel dan mungkin hal ini yang menyebabkan pemenuhan dokumen pelayanan belum dapat tersedia serta perlu penyesuaian sehingga pencapaian status Zi-WBK di institusi belum dapat dicapai maksimal</t>
  </si>
  <si>
    <t>Mendokumentasikan setiap dokumen layanan yang mengalami penyempurnaan untuk mengetahui rekam jejak perubahan dari tahap ke tahap</t>
  </si>
  <si>
    <t>BAK-6</t>
  </si>
  <si>
    <t>Workshop Tata Kelola Operasional dan Maintenance Aplikasi Help Akademik - BAK</t>
  </si>
  <si>
    <t>Terbengkalainya layanan kepada mahasiswa melalui aplikasi help akademik; Memperlambat layanan kepada mahasiswa dengan offline</t>
  </si>
  <si>
    <t>Karena pelayanan akademik dilakukan offline mengingat aplikasi yang dioperasikan mungkin belum mendapat kepastian untuk dapat dilaksanakan sesuai kebijakan SI terbaru sehingga operasional dan maintenance aplikasi help akademik belum dapat dilanjutkan</t>
  </si>
  <si>
    <t>Kebijakan sistem informasi institusi diharapkan dapat mengakomodir sistem lain yang sudah berjalan dengan baik untuk efektivitas pelayanan kepada mahasiswa</t>
  </si>
  <si>
    <t>BPKU-4</t>
  </si>
  <si>
    <t>Digitalisasi Arsip Surat Keputusan dan Peraturan DIrektur</t>
  </si>
  <si>
    <t>BPKU-7</t>
  </si>
  <si>
    <t>Pelatihan Keselamatan, Kesehatan Kerja &amp; Lingkungan (K3L) Politeknik Negeri Malang</t>
  </si>
  <si>
    <t>Risiko kecelakaan kerja dapat terjadi apabila para pegawai yang bertanggungjawab di bidang K3L tidak memahami prinsip-prinsip dan tata cara pelaksanaan Keselamatan, Kesehatan Kerja dan Lingkungan.</t>
  </si>
  <si>
    <t>Melaksanakan pelatihan K3L dan melengkapi sarana prasarana penunjang K3L</t>
  </si>
  <si>
    <t>BPKU-16</t>
  </si>
  <si>
    <t>PERENCANAAN DAN MONEV: Rapat Kerja Program dan Anggaran Definitif 2025 - BPKU</t>
  </si>
  <si>
    <t>Rapat Kerja Penyusunan Program dan Anggaran Indikatif tahun 2025 POLINEMA yang tidak berjalan dengan baik dapat berpengaruh terhadap ketepatan waktu penetapan pagu definitif institusi</t>
  </si>
  <si>
    <t>Rapat Kerja Penyusunan Program dan Anggaran Indikatif tahun 2025 Polinema merupakan kegiatan rutin untuk memastikan kualitas perencanaan dan penganggaran di Polinema tersusun dengan baik. Tidak terlaksananya Rapat Kerja Penyusunan Program dan Anggaran Indikatif tahun 2025 Polinema dapat mempengaruhi kualitas perencanaan program dan anggaran tahun 2025 serta menghambat ketercapaian indikator Kinerja Utama dan target kinerja institusi.</t>
  </si>
  <si>
    <t>1) Meningkatkan kapasitas SDM; 2.) Menyusun perencanaan yang sesuai dengan prosedur dan kaidah keuangan negara; 3.) Penetapan pagu definitif tepat waktu sebagai acuan pelaksanaan program dan kegiatan</t>
  </si>
  <si>
    <t>BPKU-20</t>
  </si>
  <si>
    <t>Evaluasi Capaian Kinerja Program dan Anggaran Tahun Anggaran 2025</t>
  </si>
  <si>
    <t>Pelaksanaan kegiatan EPA tdk berjalan secara optimal</t>
  </si>
  <si>
    <t>Karena pelaksanaan kegiatan ini membutuhkan narasumber yang dari Kementerian mungkin akan terkendala pada jadwal narasumber yang kompeten dibiudang monev anggaran sehingga kegiatan EPA tdk berjalan dengan baik</t>
  </si>
  <si>
    <t>pelaksanaan kegiatan ini membutuhkan narasumber yang dari Kementerian Keuangan perlu adanya koordinasi yang baik agar pelaksanaan EPA dapat berjalan dengan baik</t>
  </si>
  <si>
    <t>BPKU-24</t>
  </si>
  <si>
    <t>Penyusunan Dokumen Pola Karir Pegawai Politeknik Negeri Malang untuk ASN Dosen dan Tenaga Kependidikan</t>
  </si>
  <si>
    <t>Jika Kegiatan Pola karir tidak terlaksana maka Dokumen Pola Karir tidak dapet terselesaikan, dan jika tidak ada dokumen Pola Karir maka penataan dan jenjang karir pegawai tidak memiliki pedoman</t>
  </si>
  <si>
    <t>Apabila dokumen pola karier tidak tersusun pada tahun 2025 maka urutan penempatan dan/atau perpindahan PNS dalam dan antar posisi di setiap jenis Jabatan di lingkungan Polinema akan terkendala dan tidak memiliki dasar acuan yang tepat.</t>
  </si>
  <si>
    <t>Melaksanakan koordinasi dan timeline penyusunan dokumen pola karier agar dokumen pol karier dapat terselesaikan tepat waktu pada tahun 2025</t>
  </si>
  <si>
    <t>BPKU-25</t>
  </si>
  <si>
    <t>Penyusunan Dokumen Peta Jalan Pengembangan Kompetensi Pegawai Tenaga Kependidikan yang disesuaikan dengan Renstra Polinema</t>
  </si>
  <si>
    <t>Kegiatan penyusunan Dokumen Peta Jalan tidak terlaksana, sehingga dapat menyebabkan penataan pegawai dan jenjang karir pegawai tidak memiliki pedoman</t>
  </si>
  <si>
    <t>Apabila kegiatan penyusunan Peta Jalan Pengembangan Kompetensi Pegawai Tenaga Kependidikan tidak terlksana, maka Polinema tidak memiliki dokumen Peta Jalan Pengembangan Kompetensi Pegawai Tenaga Kependidikan sebagai pedoman penataan jenjang karir pegawai.</t>
  </si>
  <si>
    <t>Melaksanakan koordinasi dan penyusunan timeline agar target penyusunan dokumen Peta Jalan Pengembangan Kompetensi Pegawai Tenaga Kependidikan dapat tercapai sesuai rencana</t>
  </si>
  <si>
    <t>BPKU-28</t>
  </si>
  <si>
    <t>Workshop Peningkatan Pengelolaan Kearsipan</t>
  </si>
  <si>
    <t>Dengan pelaksanaan workshop pengelolaan kearsipan di harapkan layanan surat menyurat di masing-masing jurusan, unit dan bagian dapat lebih berjalan dengan baik</t>
  </si>
  <si>
    <t>Karena kurangnya data nara sumber yang memiliki kompetensi sesuai dengan yang dibutuhkan mungkin Workshop pengelolaan kearsipan belum dapat dapat dilaksanakan dengan baik sehingga pengelolaan kearsipan belum dapat di laksanakan secara opti
mal</t>
  </si>
  <si>
    <t>Diperlukan layanan yang baik dalam surat menyurat dan pengarsipan</t>
  </si>
  <si>
    <t>BPKU-29</t>
  </si>
  <si>
    <t>Workshop Sinkronisasi Data di SIMPEG, SINTA, SINERJA dan SIDAKIN Politeknik Negeri Malang</t>
  </si>
  <si>
    <t>Dapat mengakibatkan tidak tercapainya kinerja Direktur yang telah di targetkan dalam masing-masing IKU sehingga tidak diterimanya reward anggaran kinerja</t>
  </si>
  <si>
    <t>Ketidaksesuaian data pada aplikasi SIMPEG, SINTA dan SISTER akan terintegrasi pada penilaian kinerja di aplikasi SIDAKIN yang dilaksanakan pada akhir tahun. Data pada aplikasi SIDAKIN yang tidak valid mengakibatkan tidak tercapainya kinerja Direktur yang telah di targetkan dalam masing-masing IKU</t>
  </si>
  <si>
    <t>pengisian dan update data secara rutin pada apliaksi SIMPEG dan SISTER sehingga data valid</t>
  </si>
  <si>
    <t>BPKU-30</t>
  </si>
  <si>
    <t>Pelatihan Peningkatan Layanan Prima Bagi Tenaga Kependidikan dalam upaya meningkatkan motivasi dan kualitas layanan di Jajaran BPKU Polinema - BPKU</t>
  </si>
  <si>
    <t>Tidak terlaksananya kegiatan pemberian motivasi untuk peningkatan kualitas layanan berdapak pada kurangnya motivali layanan prima yang berdampak pada kurang berkualitasnya layanan serta layanan tidak dapat dipercaya.</t>
  </si>
  <si>
    <t>Karena kurangnya data nara sumber yang memiliki kompetensi sesuai dengan yang dibutuhkan mungkin pelatihan peningkatan layanan prima bagi tenaga kependidikan tidak dapat dilaksanakan dengan baik sehingga layanan tidak dapat dipercaya dan kurang berkualitas.</t>
  </si>
  <si>
    <t>Diperlukan adanya motivasi dan kualitas layanan terbaik dalam menjalankan tugas di jajaran BPKU</t>
  </si>
  <si>
    <t>D-II Perangkat Piranti Lunak Situs-2</t>
  </si>
  <si>
    <t>Sinkronisasi Dokumen Kurikulum dengan Capaian - D-II Perangkat Piranti Lunak Situs - D-II Perangkat Piranti Lunak Situs</t>
  </si>
  <si>
    <t>1. Data yang diperoleh kurang sesuai 
2. Terhambatnya kegiatan penyusunan LKPS dan persiapan Akreditasi</t>
  </si>
  <si>
    <t>Karena adanya kekurangan data/sumber data yang dikumpulkan, mungkin data yang disampaikan kurang akurat/up to date, sehingga penyusunan LKPS dan persiapan Akreditasi D2 PLS menjadi terhambat.</t>
  </si>
  <si>
    <t>1. Memastikan bahwa petugas/tim yang menangani penyusunan LKPS dan persiapan Akreditasi D4 dapat mengumpulkan data sejak awal secara bertahap dan sistematis 
2. Memastikan data yang dikumpulkan sudah data terbaru/up to date</t>
  </si>
  <si>
    <t>D-III   Teknik Listrik-8</t>
  </si>
  <si>
    <t>Penyempurnaan Dokumen Kurikulum</t>
  </si>
  <si>
    <t>tidak adanya Prodi yang telah memiliki kurikulum berbasis DUDI yang telah disusun dan diimplementasikan di kampus</t>
  </si>
  <si>
    <t>Karena tidak ada acuan (SOP) untuk menyusun Kurikulum, Silabus Berbasis DUDI mungkin tidak ada SDM untuk menyusun Kurikulum, Silabus Berbasis DUDI sehingga Tidak tersedianya Kurikulum, Silabus dan penyusunan kurikulum berbasis DUDI</t>
  </si>
  <si>
    <t>melakukan workshop serta pendampingan pembuatan kurikulum yang sesuai dengan DUDI</t>
  </si>
  <si>
    <t>D-III  Teknik Mesin-3</t>
  </si>
  <si>
    <t>Monitoring dan Supervisi Pelaksanaan Magang Industri Mahasiswa Program Studi D3 Teknik Mesin</t>
  </si>
  <si>
    <t>Masukan terhadap perbaikan kurikulum serta rencana pelaksanaan magang/PKL mahasiswa dengan berlakunya kurikulum 4+1+1 (1 smstr PKL di industri) tidak maksimal tersampaikan.</t>
  </si>
  <si>
    <t>Karena kurangnya komunikasi dan perencanaan jadwal kunjungan yang sesuai mungkin tidak banyak perusahaan yang menerima mahasiswa PKL dapat dikunjungi untuk kegiatan monev sehingga masukan terkait pelaksanaan PKL dan masukan terhadap perbaikan kurikulum belum dapat memperoleh feedback.</t>
  </si>
  <si>
    <t>Perlu ditingkatkan komunikasi dan perencanaan yang matang terkait rencana monev, supervisi dan kunjungan ke industri tempat mahasiswa PKL sehingga target kegiatan dapat tercapai</t>
  </si>
  <si>
    <t>D-III  Teknik Telekomunikasi-7</t>
  </si>
  <si>
    <t>Pengadaan Alat Pendidikan Penunjang Pembelajaran - D-III Teknik Telekomunikasi</t>
  </si>
  <si>
    <t>Menurunnya jumlah alat/fasilitas/sarpra yang telah dipelihara dan berfungsi dengan baik</t>
  </si>
  <si>
    <t>Karena tidak adanya SDM yang dapat mencari alat praktikum dengan kandungan TKDN serta menyusun HPS ditingkat prodi mungkin lamanya waktu yang diperlukan untuk mencari alat praktikum dengan TKDN serta penyusunan HPS sehingga tidak tersedia alat praktikum yang memadai</t>
  </si>
  <si>
    <t>Menyertakan tim teknis perumus HPS dalam penyusunan HPS untuk memenuhi TKDN mengikuti database yang ada dan minimum 40% dan monitoring proses pengadaan</t>
  </si>
  <si>
    <t>D-III Akuntansi-1</t>
  </si>
  <si>
    <t>PENINGKATAN MAHASISWA BERPRESTASI TINGKAT NASIONAL DAN INTERNASIONAL - D-III AKUNTANSI</t>
  </si>
  <si>
    <t>IKU prestasi mahasiswa tidak tercapai</t>
  </si>
  <si>
    <t>Karena kurangnya partisipasi dari mahasiswa yang ikut penjaringan mahasiswa berprestasi mungkin mahasiswa tidak dimotivasi oleh dosen pembimbing di prodi sehingga kegiatan peningkatan mahasiswa berprestasi tidak berjalan dengan baik</t>
  </si>
  <si>
    <t>melakukan seleksi yang komperhensif dan instesif serta bimbingan sesuai dengan bidang yang akan dilombakan, melakukan pelatihan secara menyeluruh kepada mahaiswa yang terpilih</t>
  </si>
  <si>
    <t>D-III Akuntansi-2</t>
  </si>
  <si>
    <t>WORKSHOP PENYUSUNAN DKPS PRODI D III AKUNTANSI</t>
  </si>
  <si>
    <t>data DKPS tidak terkompilasi dengan baik</t>
  </si>
  <si>
    <t>KARENA tidak dimilikinya database terkait DKPS yang terkini, MUNGKIN data yang dikumpulkan tidak tersedia untuk dimutakhirkan SEHINGGA kegiatan penyusunan DKPS tidak bisa berjalan dengan baik.</t>
  </si>
  <si>
    <t>Membuat data base dan pembaruan data diperlukan untuk mendapatkan data DKPS terbaru. Pendataan ini terkait dengan visi misi tujuan strategi, tata kelola, kemahasiswaan, sumber daya manusia, keuangan sarana dan prasarana, penelitian, pengabdian serta luaran dan capaian program studi.</t>
  </si>
  <si>
    <t>D-III Manajemen Informatika PSDKU Kediri-5</t>
  </si>
  <si>
    <t>Laporan Akhir (LA), Praktik Kerja Lapangan (PKL)</t>
  </si>
  <si>
    <t>1. Jumlah mahasiswa yang tidak lulus TA bertambah
2. Jumlah mahasiswa yang tidak lulus PKL bertambah</t>
  </si>
  <si>
    <t>KARENA banyak mahasiswa yang tidak bisa mengerjakan laporan TA atau PKL, MUNGKIN banyak mahasiswa yang gagal mengumpulkan laporan, SEHINGGA Laporan Akhir (LA) dan Praktik Kerja Lapangan (PKL) Prodi D3 Manajemen Informatika Kampus Kediri tidak bisa dilaksanakan</t>
  </si>
  <si>
    <t>1. Bekerjasama dengan Dosen Pembimbing LA atau PKL untuk aktif memonitor kondisi mahasiswa
2. Bekerjasama dengan Dosen Pembina Akademik untuk aktif memonitor kondisi mahasiswa</t>
  </si>
  <si>
    <t>D-III Manajemen Informatika PSDKU Kediri-10</t>
  </si>
  <si>
    <t>Peninjauan, Evaluasi, dan Pengembangan Kurikulum - D-III Manajemen Informatika PSDKU Kediri</t>
  </si>
  <si>
    <t>1. Waktu bertambah dalam menyusun dokumen kurikulum 
2. Pengembangan kurikulum MBKM mengalami keterlambatan</t>
  </si>
  <si>
    <t>KARENA kurangnya pemahaman dosen dalam menerapkan kurikulum MBKM, MUNGKIN waktu penyusunan dokumen melebihi dari waktu yang direncanakan, SEHINGGA Peninjauan, Evaluasi, dan Pengembangan Kurikulum D3 Manajemen Informatika Kampus Kediri tidak bisa dilaksanakan.</t>
  </si>
  <si>
    <t>1. Memberikan batas waktu pengerjaan dokumen pengembangan kurikulum
2. Menyediakan narasumber terbaik tentang pengembangan kurikulum MBKM</t>
  </si>
  <si>
    <t>D-III Teknik Kimia-3</t>
  </si>
  <si>
    <t>Peningkatan Luaran Kegiatan MBKM di Prodi D-III Teknik Kimia</t>
  </si>
  <si>
    <t>1. Tujuan pembelajaran berbasis IKU 7 (Case Method dan PBL) tidak tercapai secara optimal.</t>
  </si>
  <si>
    <t>Karena adanya potensi keterbatasan koordinasi antara pihak program studi, dosen, teknisi, dan penyedia layanan transportasi, serta kendala administrasi diindustri yang dituju , mungkin pelaksanaan aplikasi untuk CS/PBL di industri yang dituju bisa ditunda/tidak bisa dilaksanakan oleh semua angkatan sehingga tujuan pembelajaran berbasis IKU 7 (Case Method dan PBL) tidak tercapai secara optimal.</t>
  </si>
  <si>
    <t>1. menyusun rencana dan sasaran kerjasama
2. menyusun daftar mitra strategis
3. monitoring dan evaluasi kinerja kemitraan</t>
  </si>
  <si>
    <t>D-III Teknik Kimia-5</t>
  </si>
  <si>
    <t>Workshop Persiapan Pembelajaran Tahun Ajaran 2025-2026 Kurikulum OBE &amp; OBA Prodi D-III Teknik Kimia</t>
  </si>
  <si>
    <t>Pelaksanaan pembelajaran Tahun Ajaran 2025-2026 belum sepenuhnya mengaplikasikan RPS berbasis OBE OBA</t>
  </si>
  <si>
    <t>Karena kurangnya koordinasi antara tim penyusun kurikulum dan tenaga pengajar di Prodi D-III Teknik Kimia, mungkin terjadi keterlambatan dalam penyelesaian dokumen RPS berbasis OBE &amp; OBA, sehingga pelaksanaan pembelajaran Tahun Ajaran 2025-2026 belum sepenuhnya mengaplikasikan RPS berbasis OBE OBA</t>
  </si>
  <si>
    <t>1. Koordinasi Rutin dan Monitoring Progres:
2.Penugasan Koordinator Kurikulum:
3.Penyediaan Sumber Daya Manusia (SDM) Tambahan
4.Pelatihan dan Workshop Penguatan Pemahaman OBE &amp; OBA</t>
  </si>
  <si>
    <t>D-III Teknik Mesin PSDKU Kediri-8</t>
  </si>
  <si>
    <t>PENGADAAN BHP PRAKTIKUM-PRODI D3 TEKNIK MESIN KAMPUS KEDIRI</t>
  </si>
  <si>
    <t>1) Kegiatan tidak terlaksana sehingga menyebabkan kerugian baik moril maupun materiil. 2) Tidak tersedia Bahan Praktikum Penyelenggaraan Pendidikan Semester Genap di PS D-3 Teknik Mesin Kampus kediri. 3) Kegiatan praktikum tidak berjalan</t>
  </si>
  <si>
    <t>Karena Tidak adanya SDM untuk Menyusun HPS di Program Studi D-III Teknik Mesin mungkin Proses Pengadaan Bahan Praktikum di Kantor Pusat menjadi Terlambat sehingga Tidak tersedia Bahan Praktikum Penyelenggaraan Pendidikan Semester Genap di PS D-III Teknik Mesin</t>
  </si>
  <si>
    <t>Untuk mengatasi resiko yang mungkin terjadi, maka cara mengendalikan dampaknya adalah: 1) melakukan koordinasi yang baik dengan bagian pengadaan BHP dan bagian keuangan untuk mengantisipasi ketidak tersedin BHP.</t>
  </si>
  <si>
    <t>D-III Teknik Mesin PSDKU Kediri-11</t>
  </si>
  <si>
    <t>SOSIALISASI DAN UJIAN-PELAKSANAAN KEGIATAN MAGANG/PKL TAHUN 2025</t>
  </si>
  <si>
    <t>.
Karena Tidak memiliki data base Industri Sasaran dan Industri tempat PKL/ Magang mungkin Industri Sasaran yang sesuai untuk Pengembangan Kerjasama tidak ada dan Industri tempat pelaksanaan PKL/Magang tidak siap sehingga Sosialisasi Kegiatan PKL/Magang D3 Teknik Mesin Kampus Kediri - Tidak Berjalan Kegiatan tidak terlaksana sehingga menyebabkan kerugian baik moril maupun materiil.</t>
  </si>
  <si>
    <t>Karena Tidak memiliki data base Industri Sasaran dan Industri tempat PKL/ Magang mungkin Industri Sasaran yang sesuai untuk Pengembangan Kerjasama tidak ada dan Industri tempat pelaksanaan PKL/Magang tidak siap sehingga Sosialisasi Kegiatan PKL/Magang D3 Teknik Mesin Kampus Kediri - Tidak Berjalan.</t>
  </si>
  <si>
    <t>Untuk mengatasi resiko yang mungkin terjadi, maka cara mengendalikan dampaknya adalah: 1) Membuat database yang relevan/sesuai dengan kebutuhan terkait DUDI yang menjadi tujuan PKL/Magang Baik sosialisaasi maupun ujian Pelaksanaan Magang/PKL.</t>
  </si>
  <si>
    <t>D-IV Akuntansi Manajemen-1</t>
  </si>
  <si>
    <t>PENDAMPINGAN MAHASISWA BERKOMPETISI DAN MERAIH PRESTASI PRODI D-IV AKUNTANSI MANAJEMEN</t>
  </si>
  <si>
    <t>D-IV Akuntansi Manajemen-2</t>
  </si>
  <si>
    <t>PENINGKATAN KERJASAMA MELALUI PARTISIPASI MENJADI CO HOST PADA SIMPOSIUM NASIONAL AKUNTANSI VOKASI (SNAV) 2025 - D-IV Akuntansi Manajemen</t>
  </si>
  <si>
    <t>-Gangguan dalam teknis acara, seperti keterlambatan agenda, kendala jaringan dalam sesi daring, atau kurangnya koordinasi dengan pembicara dan peserta.
-Ketidakseimbangan dalam pembagian peran antara penyelenggara utama dan Co-Host, menyebabkan ketidakjelasan tanggung jawab dan tugas.</t>
  </si>
  <si>
    <t>Karena keterbatasan sumber daya manusia, kendala teknis dalam pelaksanaan acara, serta kurangnya koordinasi dengan penyelenggara utama, mungkin peran sebagai Co-Host pada Simposium Nasional Akuntansi Vokasi (SNAV) 2025 tidak berjalan optimal, sehingga efektivitas kerja sama yang diharapkan menjadi kurang maksimal.</t>
  </si>
  <si>
    <t>-Mendelegasikan tugas secara jelas kepada tim yang terdiri dari dosen, tenaga kependidikan, dan mahasiswa untuk memastikan kelancaran acara.
-Memanfaatkan platform teknologi yang andal untuk mendukung pelaksanaan acara, terutama untuk sesi daring atau hybrid.</t>
  </si>
  <si>
    <t>D-IV Akuntansi Manajemen-5</t>
  </si>
  <si>
    <t>WORKSHOP PENYUSUNAN DKPS PRODI D-IV AKUNTANSI MANAJEMEN</t>
  </si>
  <si>
    <t>D-IV Bahasa Inggris untuk Industri Pariwisata-2</t>
  </si>
  <si>
    <t>KUNJUNGAN INDUSTRI DAN MAHASISWA MAGANG / PKL DI JAWA TIMUR UNTUK PROGRAM STUDI D4 BAHASA INGGRIS UNTUK INDUSTRI PARIWISATA TAHUN 2024 - D-IV Bahasa Inggris untuk Industri Pariwisata</t>
  </si>
  <si>
    <t>1. Prodi tidak dapat memperoleh masukan terkait kompetensi mahasiswa selama melaksanakan kegiatan PKL
2. Prodi tidak mempunyai mitra industri untuk tempat magang/PKL mahasiswa</t>
  </si>
  <si>
    <t>Karena tidak ada database industri atau mitra kerja yang sesuai dengan yang dibutuhkan Prodi D4 Bahasa Inggris untuk Industri Pariwisata yang dapat dikunjungi, tidak ada pemetaan industri atau mitra kerja yang sesuai dengan kebutuhan Prodi D4 Bahasa Inggris Komunikasi Bisnis dan Profesional yang dapat dikunjungi, dan mungkin tidak ada industri atau mitra kerja yang sesuai dengan kebutuhan Prodi D4 Bahasa Inggris untuk Industri Pariwisatayang dapat dikunjungi, sehingga kunjungan Industri tidak terlaksana.</t>
  </si>
  <si>
    <t>(1) Membuat basis data (database) industri dan mitra kerja yang sesuai dengan profil lulusan prodi
(2) Melakukan komunikasi dengan pihak industri (tempat PKL mahasiswa) dengan baik untuk memastikan waktu kunjungan yang paling baik untuk kedua belah pihak.</t>
  </si>
  <si>
    <t>D-IV Bahasa Inggris untuk Industri Pariwisata-4</t>
  </si>
  <si>
    <t>PENINGKATAN PRAKTIK LAPANGAN "TOURIST GUIDING" PROGRAM STUDI BIIP 2024</t>
  </si>
  <si>
    <t>1. Mahasiswa tidak dapat melakukan praktik tourist guiding secara optimum
2. Kompetensi mahasiswa dalam bidang tourist guiding tidak sesuai standar industri</t>
  </si>
  <si>
    <t>Karena tidak memiliki basis data destinasi wisata yang lengkap, mungkin destinasi wisata yang sesuai kriteria sebagai tempat praktik tourist guiding tidak ditemukan, sehingga pelaksanaan kegiatan Peningkatan Praktik Lapangan Tourist Guiding Prodi BIIP 2025 dapat berjalan dengan baik.</t>
  </si>
  <si>
    <t>1. Membuat basis data (database) destinasi wisata yang lengkap, dengan mempertimbangkan aspek biaya dan tuntutan kompetensi yang dipraktikkan.
2. Mengomunikasikan pilihan destinasi wisata dengan dosen pengampu mata kuliah untuk memastikan bahwa destinasi wisata yang nantinya dipilih sudah sesuai kriteria.</t>
  </si>
  <si>
    <t>D-IV Bahasa Inggris untuk KomBis &amp; Profesional-1</t>
  </si>
  <si>
    <t>IMPLEMENTASI PROJECT BASED LEARNING BERBASIS CDIO DALAM BENTUK EXHIBITIONS ''''EBA &amp; EMCE'''' - D-IV Bahasa Inggris untuk KomBis &amp; Profesional</t>
  </si>
  <si>
    <t>1. Mahasiswa tidak memperoleh kesempatan meningkatan kompetensi di bidang Bahasa Inggris melalui praktik marketing dan komunikasi.
2. Kompetensi bahasa Inggris mahasiswa tidak maksimal</t>
  </si>
  <si>
    <t>Karena keterlambatan booking venue ke Pokja Rumah Tangga, mungkin tempat pelaksanaan kegiatan di dalam Polinema yang dapat menampung seluruh peserta sudah tidak tersedia, sehingga kegiatan EBA dan EMCE sebagai implementasi project-based learning berbasis CDIO dalam bentuk exhibitions tidak dapat dilaksanakan.</t>
  </si>
  <si>
    <t>1. PIC kegiatan mem-booking tempat kegiatan jauh hari sebelumnya.
2. PIC kegiatan melakukan koordinasi dengan Pokja Rumah Tangga sesegera mungkin, bila terdapat perubahan jadwal penggunaan tempat kegiatan.</t>
  </si>
  <si>
    <t>D-IV Bahasa Inggris untuk KomBis &amp; Profesional-7</t>
  </si>
  <si>
    <t>PERSIAPAN KOMPETENSI IPEC (INDONESIAN POLYTECHNIC ENGLISH CHAMPIONSHIP) 2025 - D-IV Bahasa Inggris untuk KomBis &amp; Profesional</t>
  </si>
  <si>
    <t>- Tidak ada pemetaan pelatih yang kompeten dan relevan sesuai dengan yang dibutuhkan untuk pelaksanaan lomba di Prodi D4 Bahasa Inggris untuk Komunukasi Bisnis dan Professional.
- Pelatihan dan kompetisi tidak terlaksana.</t>
  </si>
  <si>
    <t>Karena tidak ada database pelatih yang kompeten untuk lomba-lomba yang diadakan di Prodi D4 Bahasa Inggris Komunikasi Bisnis dan Profesional, mungkin tidak ada pemetaan pelatih yang kompeten yang relevan dan tidak ada pelatih yang kompeten yang sesuai dengan kebutuhan lomba di Prodi D4 Bahasa Inggris Komunikasi Bisnis, sehingga Pelatihan dan Kompetisi Bidang Bahasa Inggris (Essay Writing, Speech, Storytelling, Master of Ceremony (MC), Newscasting, Interview, Biz-Tech Education Talk, dan Pitching Competition) tidak terlaksana</t>
  </si>
  <si>
    <t>Menyediakan database pelatih yang kompeten untuk lomba-lomba yang diadakan prodi D4 Bahasa Inggris dan Komunikasi Bisnis dan Profesional, membuat pemetaan pelatih yang kompeten sekaligus relevan, mengundang pelatih yang kompeten yang sesuai dengan kebutuhan lomba di Prodi D4 Bahasa Inggris Komunikasi Bisnis untuk mengadakan Pelatihan dan Kompetisi Bidang Bahasa Inggris (Essay Writing, Speech, Storytelling, Master of Ceremony (MC), Newscasting, Interview, Biz-Tech Education Talk, dan Pitching Competition).</t>
  </si>
  <si>
    <t>D-IV Bahasa Inggris untuk KomBis &amp; Profesional-9</t>
  </si>
  <si>
    <t>PENERAPAN CASE STUDY DAN PROJECT BASED LEARNING MELALUI PENINGKATAN KAPABILITAS DOSEN TAHUN 2025 - D-IV Bahasa Inggris untuk KomBis &amp; Profesional</t>
  </si>
  <si>
    <t>- Tidak ada pemetaan penyedia workshop bidang public relation yang relevan yang sesuai dengan yg dibutuhkan Prodi D4 Bahasa Inggris Komunikasi Bisnis dan Profesional
- Workshop bidang public relation tidak terlaksana
- Tidak ada penyedia workshop bidang public relation yang sesuai dengan kebutuhan Prodi D4 Bahasa Inggris Komunikasi Bisnis
- Workshop bidang public relation tidak terlaksana</t>
  </si>
  <si>
    <t>Karena tidak ada SDM yang ditugaskan khusus untuk memetakan penyedia workshop bidang public relation yang relevan yang dibutuhkan Prodi D4 Bahasa Inggris Komunikasi bisnis dan Profesional, tidak ada pemetaan penyedia workshop bidang public relation yang relevan yang sesuai dengan yg dibutuhkan Prodi D4 Bahasa Inggris Komunikasi Bisnis dan Profesional, dan tidak ada penyedia workshop bidang public relation yang sesuai dengan kebutuhan Prodi D4 Bahasa Inggris Komunikasi Bisnis, maka workshop bidang public relation tidak terlaksana</t>
  </si>
  <si>
    <t>Memastikan ketersediaan data yang diperlukan untuk pemetaan industri dan pelaksanaan benchmarking. Menetapkan lokasi dan industri yang sesuai untuk pelaksanaan benchmarking. Mendeteksi dan mengatasi potensi risiko sejak dini serta meningkatkan program berdasarkan hasil evaluasi.</t>
  </si>
  <si>
    <t>D-IV Bahasa Inggris untuk KomBis &amp; Profesional-10</t>
  </si>
  <si>
    <t>PENYELENGGARAAN INTERNATIONAL CONFERENCE ICALCOM 2025 - D-IV Bahasa Inggris untuk KomBis &amp; Profesional - D-IV Bahasa Inggris untuk KomBis &amp; Profesional - D-IV Bahasa Inggris untuk KomBis &amp; Profesional</t>
  </si>
  <si>
    <t>- Keterbatasan narasumber dengan kepakaran yang sesuai
- Kendala komunikasi dan ketepatan waktu pengumpulan artikel dari peserta seminar
- Kendala penyesuaian waktu seminar dengan perbedaan zona waktu peserta dan pemateri</t>
  </si>
  <si>
    <t>Karena keterbatasan SDM dengan kepakaran tertentu yang sesuai dengan tema seminar dan berada di zona waktu yang sama, mungkin narasumber yang dapat hadir secara offline tidak dapat ditemukan, sehingga kegiatan seminar ini tidak dapat terlaksana berdasarkan rencana.</t>
  </si>
  <si>
    <t>Membuat pemetaan narasumber/pemateri dengan kepakaran yang sesuai dengan tema besar seminar internasional. Mengundang dan berkolaborasi dengan pakar baik dari dalam negeri maupun luar negeri. Melakukan penelitian bersama dengan pakar bahasa. Melakukan pendekatan komunikasi dengan baik.</t>
  </si>
  <si>
    <t>D-IV Bahasa Inggris untuk KomBis &amp; Profesional-11</t>
  </si>
  <si>
    <t>PENERAPAN CASE STUDY DAN PROJECT BASED LEARNING MELALUI PENINGKATAN KAPABILITAS DOSEN TAHUN 2025 - D-IV Bahasa Inggris untuk KomBis &amp; Profesional - D-IV Bahasa Inggris untuk KomBis &amp; Profesional - D-IV Bahasa Inggris untuk KomBis &amp; Profesional - D-IV Bahasa Inggris untuk KomBis &amp; Profesional</t>
  </si>
  <si>
    <t>D-IV Jaringan Telekomunikasi Digital-5</t>
  </si>
  <si>
    <t>Pengandaan Alat Pendidikan Penunjang Pembelajaran</t>
  </si>
  <si>
    <t>D-IV Jaringan Telekomunikasi Digital-7</t>
  </si>
  <si>
    <t>FGD dan Inisiasi Kerjasama dengan Kampus LN - D-IV Jaringan Telekomunikasi Digital</t>
  </si>
  <si>
    <t>Karena Tidak memiliki database PT yang sesuai untuk dilaksanakan kerjasama mungkin Tidak MoU/SPK dengan PT yang sesuai untuk dilaksanakan kerjasama sehingga Tidak adanya Inisiasi kerjasama dengan PT lain</t>
  </si>
  <si>
    <t>membuat database PT sehingga dapat memetakan mana yang belum MoU dan yang sudah selain itu membuat perjanjian ditambahkan dengan penelitian dosen dan mahasiswa</t>
  </si>
  <si>
    <t>D-IV Keuangan-2</t>
  </si>
  <si>
    <t>PENINGKATAN KUALITAS DOSEN MELALUI PARTISIPASI PADA KEGIATAN ISEI 2025 - D-IV Keuangan</t>
  </si>
  <si>
    <t>dampak kegiatan terhadap peningkatan kualitas dosen dan penguatan jejaring akademik serta profesional menjadi kurang maksimal.</t>
  </si>
  <si>
    <t>Karena keterbatasan alokasi waktu dosen, kurangnya dukungan akademik, mungkin partisipasi dosen dari D-IV Keuangan tidak berjalan optimal, sehingga dampak kegiatan terhadap peningkatan kualitas dosen dan penguatan jejaring akademik serta profesional menjadi kurang maksimal.</t>
  </si>
  <si>
    <t>-Menyusun rencana kontribusi aktif, seperti menjadi pemakalah, moderator, atau panelis dalam diskusi ekonomi dan keuangan.
-Mendorong dosen untuk mengajukan makalah penelitian atau artikel agar bisa dipresentasikan dan dipublikasikan.</t>
  </si>
  <si>
    <t>D-IV Keuangan-5</t>
  </si>
  <si>
    <t>PENINGKATAN MAHASISWA BERPRESTASI TINGKAT NASIONAL DAN INTERNASIONAL MELALUI BIMBINGAN DAN PELATIHAN PADA MAHASISWA PRODI D-IV KEUANGAN</t>
  </si>
  <si>
    <t>IKU prestasi mahasiswa tidak tercapa</t>
  </si>
  <si>
    <t>D-IV Keuangan PSDKU Kediri-2</t>
  </si>
  <si>
    <t>Visitasi dan Monitoring PKL dan Penjaringan Kerjasama Dunia Industri D-IV kKeuangan PSDKU Kediri - D-IV Keuangan PSDKU Kediri</t>
  </si>
  <si>
    <t>visitasi dan monitoring dan penjaringan kerjasama dengan dunia industri tidak terlaksana</t>
  </si>
  <si>
    <t>Karena kurangnya relasi antara prodi D4 Keuangan Kampus Kediri dengan perusahaan dan industri, mungkin menyebabkan tidak tersedianya MoU antara prodi D4 Keuangan dengan industri, sehingga visitasi dan monitoring serta penjaringan kerjasama mungkin tidak terlaksana</t>
  </si>
  <si>
    <t>Untuk mengatasi risiko yang mungkin terjadi maka cara yang bisa dilakukan adalah: Melakukan komunikasi kepada tempat magang industri mahasiswa sebelum melakukan visitasi dan monitoring dan penjaringan kerjasama</t>
  </si>
  <si>
    <t>D-IV Keuangan PSDKU Kediri-3</t>
  </si>
  <si>
    <t>Sosialisasi Magang Industri dan Penulisan Skripsi - D-IV Keuangan PSDKU Kediri</t>
  </si>
  <si>
    <t>Mahasiswa tidak dapat melaksanakan PKL dan skripsi</t>
  </si>
  <si>
    <t>Karena terbatasnya jumlah SDM untuk menyusun pedoman Magang Industri dan Penulisan Skripsi, mungkin megakibatkan terhambatnya proses penyusunan pedoman Magang Industri dan Penulisan Skripsi, sehingga kegiatan sosialisasi tidak berjalan dengan baik.</t>
  </si>
  <si>
    <t>Kegiatan ini harus dijalankan sebagai bentuk pembekalan kepada mahasiswa sebelum melaksanakan magang dan menulis skripsi</t>
  </si>
  <si>
    <t>D-IV Keuangan PSDKU Kediri-5</t>
  </si>
  <si>
    <t>Monev Proses Pembelajaran D-IV Keuangan Kampus Kediri</t>
  </si>
  <si>
    <t>Monev Proses Pembelajaran Program Studi D-IV Keuangan tidak berjalan</t>
  </si>
  <si>
    <t>Karena terbatasnya jumlah SDM dan waktu untuk membuat perencanaan, mungkin perencanaan pelaksanaan kegiatan berjalan kurang baik, sehingga Monev Proses Pembelajaran Program Studi D-IV Keuangan tidak berjalan</t>
  </si>
  <si>
    <t>Memastikan PIC dan panitia pelaksanaan UTS dan UAS melaksanakan tugas sesuai kapasitas yang diberikan</t>
  </si>
  <si>
    <t>D-IV Manajemen Pemasaran-1</t>
  </si>
  <si>
    <t>Kerjasama Mitra Dunia Usaha Dunia Industri dan Pelaksanaan Magang/PKL - D-IV Manajemen Pemasaran</t>
  </si>
  <si>
    <t>1. Mahasiswa tidak memiliki kesempatan untuk mengembangkan pembelajaran di luar kampus. 2. Tidak ada DUDI yang berkerjasama dalam mendukung pelaksanaan Magang/PIL</t>
  </si>
  <si>
    <t>Karena tidak memiliki data base industri sasaran dan industri tempat PKL mungkin tidak ada pemetaan industri sasaran dan industri tempat PKL dalam mendukung kurikulum MBKM DIV Manajemen Pemasaran sehingga Kunjungan Industri Dan Monitoring PKL Untuk Mendukung Kurikulum MBKM - D-IV Manajemen Pemasaran tidak berjalan</t>
  </si>
  <si>
    <t>Menyusun data base industri sasaran dan tempat magang/PKL. Melakukan pemetaan industri sesuai kurikulum yang telah disusun.</t>
  </si>
  <si>
    <t>D-IV Manajemen Pemasaran-2</t>
  </si>
  <si>
    <t>Monitoring Evaluasi Hasil Pembelajaran dan Kinerja Prodi D-IV Manajemen Pemasaran</t>
  </si>
  <si>
    <t>Tidak terlaksananya kegiatan monitoring evaluasi hasil pembelajaran dan kinerja prodi; 2. Pembelajaran yang direncanakan tidak berjalan optimal</t>
  </si>
  <si>
    <t>Karena tidak memiliki data hasil evaluasi PBM dari dosen tepat waktu dan kinerja Prodi, mungkin tidak terdapat dokumentansi proses PBM dan kinerja prodi secara lengkap, sehingga kurangnya data hasil evaluasi PBM dari dosen tepat waktu dan kinerja Prodi D-IV Manajemen Pemasaran</t>
  </si>
  <si>
    <t>Menetapkan tim evaluasi dan kinerja program studi. Menyusun jadwal monitoring evaluasi dan kinerja prodi. Mendokumentasikan proses dan hasil pembelajaran dengan baik.</t>
  </si>
  <si>
    <t>D-IV Sistem Kelistrikan-1</t>
  </si>
  <si>
    <t>evaluasi Kelas Internasional - D-IV Sistem Kelistrikan</t>
  </si>
  <si>
    <t>menurunnya : (1) Persentase mata kuliah yang menggunakan metode Team-Based Project; (2) Persentase mata kuliah yang menggunakan metode Case Method</t>
  </si>
  <si>
    <t>Karena tidak adanya koordinasi untuk menyusun panduan monitoring pelaksanaan belajar mengajar kelas internasional mungkin karena tidak ada panduan dalam melakukan monitoring proses belajar mengajar pada kelas internasional sehingga tidak terdapatnya monitoring pelaksanaan belajar mengajar.</t>
  </si>
  <si>
    <t>D-IV Sistem Kelistrikan-2</t>
  </si>
  <si>
    <t>FGD dan Inisiasi kerja sama dalam pelaksanaan MBKM - D-IV Sistem Kelistrikan</t>
  </si>
  <si>
    <t>D-IV Sistem Kelistrikan-8</t>
  </si>
  <si>
    <t>PEMBUATAN DAN PEMBAHARUAN RPS - D-IV Sistem Kelistrikan</t>
  </si>
  <si>
    <t>Karena tidak ada acuan RPS dengan metode pembelajaran CM dan PBL, sehingga mungkin tidak ada SDM untuk menyusun RPS mengakibatkan tidak tersedianya RPS dengan metode pembelajaran CM dan PBL</t>
  </si>
  <si>
    <t>melakukan workshop serta pendampingan pembuatan RPS berbasis PBL atau CM yang sesuai dengan kegiatan kurikulum MBKM</t>
  </si>
  <si>
    <t>D-IV Sistem Kelistrikan-10</t>
  </si>
  <si>
    <t>Penyempurnaan Dokumen Kurikulum - D-IV Sistem Kelistrikan</t>
  </si>
  <si>
    <t>D-IV Sistem Kelistrikan-11</t>
  </si>
  <si>
    <t>Pesiapan Proses Audit Mutu Internal (AMI) - D-IV Sistem Kelistrikan</t>
  </si>
  <si>
    <t>Karena Tidak adanya database untuk mendukung penyusunan laporan kinerja prodi mungkin tidak ada SDM untuk menyusun laporan kinerja prodi sehingga tidak tersedianya laporan kinerja prodi</t>
  </si>
  <si>
    <t>Dengan meunjuk tim khusus untuk melakukan pengumpulan data dukung secara terorganisir dan termonitor sehingga memudahkan penyusunan laporan kinerja prodi serta memberikan workshop dan pendampingan pembuatan LKPS</t>
  </si>
  <si>
    <t>D-IV Teknik Elektronika-3</t>
  </si>
  <si>
    <t>Inisiasi riset grup dan pendampingan mahasiswa berkompetisi - D-IV Teknik Elektronika</t>
  </si>
  <si>
    <t>tidak ada riset grup dan menurunya persentase mahasiswa yang meraih prestasi</t>
  </si>
  <si>
    <t>Karena Tidak ada SDM untuk koordinasi info berkala terkait riset grup kepada dosen dan terkait lomba kepada mahasiswa mungkin kurangnya sosialisai dan informasi terkait grup riset dan lomba mahasiswa sehingga Tidak terdapatnya riset grup dan peningkatan kualitas mahasiswa melalui keikutsertaan dalam lomba</t>
  </si>
  <si>
    <t>Memberikan informasi-informasi tentang riset grup kepada dosen dan pendampingan ke mahasiswa berkaitan dengan lomba-lomba</t>
  </si>
  <si>
    <t>D-IV Teknik Elektronika-8</t>
  </si>
  <si>
    <t>Peningkatan Mutu Pembelajaran dengan sinkronisasi perangkat kurikukum - D-IV Teknik Elektronika - D-IV Teknik Elektronika - D-IV Teknik Elektronika</t>
  </si>
  <si>
    <t>Tidak adanya Prodi yang telah memiliki perangkat kurikulum yang telah disusun dan diimplementasikan di kampus</t>
  </si>
  <si>
    <t>Karena tidak ada acuan (SOP) untuk menyusun/penyesuaian perangkat Kurikulum, mungkin tidak adanya koordinasi untuk penyusunan perangkat Kurikulum, sehingga Tidak tersedianya perangkat Kurikulum sesuai dengan kurikulum yang berlaku</t>
  </si>
  <si>
    <t>Melakukan FGD serta pendampingan penyusunan dan sinkronisasi perangkat kutrikulum sesuai dengan kurikulum dan ketentuan yang berlaku</t>
  </si>
  <si>
    <t>D-IV Teknik Elektronika PSDKU Kediri-8</t>
  </si>
  <si>
    <t>Workshop Implementasi Kurikulum MBKM Prodi D4 Teknik Elektronika Kampus Kediri</t>
  </si>
  <si>
    <t>1. Waktu bertambah dalam penyusunan dokumen pendukung kurikulum 
2. Implementasi kurikulum MBKM mengalami hambatan</t>
  </si>
  <si>
    <t>KARENA kurangnya pemahaman dosen dalam menerapkan kurikulum MBKM, MUNGKIN waktu penyusunan dokumen melebihi dari waktu yang direncanakan, SEHINGGA Implementasi Kurikulum MBKM D4 Teknik Elektronika Kampus Kediri tidak bisa dilaksanakan.</t>
  </si>
  <si>
    <t>1. Memberikan batas waktu pengerjaan dokumen pendukung kurikulum
2. Menyediakan narasumber yang tepat tentang implementasi kurikulum MBKM</t>
  </si>
  <si>
    <t>D-IV Teknik Kimia Industri-1</t>
  </si>
  <si>
    <t>Workshop Penyesuaian Perangkat Pembelajaran Berdasarkan Kurikulum OBE &amp; OBA Prodi D-IV Teknologi Kimia Industri</t>
  </si>
  <si>
    <t>Karena kurangnya koordinasi antara tim penyusun kurikulum dan tenaga pengajar di Prodi D-IIV Teknologi Kimia Industri, mungkin terjadi keterlambatan dalam penyelesaian dokumen RPS berbasis OBE &amp; OBA, sehingga pelaksanaan pembelajaran Tahun Ajaran 2025-2026 belum sepenuhnya mengaplikasikan RPS berbasis OBE OBA</t>
  </si>
  <si>
    <t>D-IV Teknik Kimia Industri-3</t>
  </si>
  <si>
    <t>Peningkatan Luaran Kegiatan MBKM di Prodi D-IV Teknologi Kimia Industri</t>
  </si>
  <si>
    <t>Tujuan pembelajaran berbasis IKU 7 (Case Method dan PBL) tidak tercapai secara optimal.</t>
  </si>
  <si>
    <t>D-IV Teknik Kimia Industri-4</t>
  </si>
  <si>
    <t>Persiapan dan Implementasi Kelas Internasional di Prodi D-IV Teknologi Kimia Industri</t>
  </si>
  <si>
    <t>1. Keterlambatan pelaksanaan kelas internasional sesuai jadwal yang telah direncanakan</t>
  </si>
  <si>
    <t>Karena tidak tersedianya SDM yang memiliki kompetensi khusus dalam menyusun perangkat perkuliahan kelas internasional, mungkin proses penyusunan perangkat perkuliahan menjadi terhambat, sehingga dapat mengakibatkan keterlambatan pelaksanaan kelas internasional sesuai jadwal yang telah direncanakan</t>
  </si>
  <si>
    <t>1. Koordinasi Antar Pihak PS, dosen , teknisi, penyedia trasnportasi dan pihak industri
2. Penyusunan Jadwal Fleksibel
3. Penyusunan Panduan Administrasi
4. Evaluasi dan Monitoring kegiatan</t>
  </si>
  <si>
    <t>D-IV Teknik Mesin Produksi dan Perawatan PSDKU Kediri-2</t>
  </si>
  <si>
    <t>Pembekalan, Monitoring Magang Mahasiswa dan Pengembangan Kerjasama - D-IV Teknik Mesin Produksi dan Perawatan PSDKU Kediri</t>
  </si>
  <si>
    <t>1. Pembekalan, Monitoring Magang Mahasiswa dan Pengembangan Kerjasama tidak bisa berjalan.
2. Tidak ada mahasiswa mahasiswa yang menempuh minimal 10 sks untuk mahasiswa D4/D3 dan 5 sks untuk mahasiswa D2 di luar program studi</t>
  </si>
  <si>
    <t>Karena tidak adanya SDM yang bertanggungjawab dalam pembekalan, monitoring magang mahasiswa dan pengembangan kerjasama, mungkin tidak adanya sosialisasi terkait pembekalan, monitoring magang mahasiswa dan pengembangan kerjasama sehingga pembekalan, monitoring magang mahasiswa dan pengembangan kerjasama tidak bisa berjalan.</t>
  </si>
  <si>
    <t>Menugaskan SDM untuk mensosialisasikan dan bertanggungjawab dalam Pembekalan, Monitoring Magang Mahasiswa dan Pengembangan Kerjasama</t>
  </si>
  <si>
    <t>D-IV Teknik Mesin Produksi dan Perawatan PSDKU Kediri-6</t>
  </si>
  <si>
    <t>Monitoring dan Evaluasi Proses Belajar Mengajar Semester Ganjil 2025/2026</t>
  </si>
  <si>
    <t>1) Tidak terlaksananya Monitoring dan Evaluasi Proses Belajar Mengajar Semester Ganjil 2025/2026. 
2) Tidak ada mata kuliah D4/D3/D2 yang menggunakan metode pembelajaran pemecahan kasus atau pembelajaran kelompok berbasis project sebagai bagian dari bobot evaluasi.</t>
  </si>
  <si>
    <t>Karena tidak adanya SDM yang bertanggungjawab terhadap Monitoring dan Evaluasi Proses Pembelajaran semester Ganjil 2025/2026, mungkin Tidak adanya sosialisasi terkait Monitoring dan Evaluasi Proses Pembelajaran Semester Ganjil 2025/2026 sehingga Monitoring dan Evaluasi Proses Pembelajaran semester Ganjil 2025/2026 tidak berjalan</t>
  </si>
  <si>
    <t>Menugaskan SDM untuk melakukan sosialisasi dan bertanggungjawab terhadap Monitoring dan Evaluasi Proses Pembelajaran semester Ganjil 2025/2026</t>
  </si>
  <si>
    <t>D-IV Teknik Mesin Produksi dan Perawatan PSDKU Kediri-7</t>
  </si>
  <si>
    <t>Monitoring dan Evaluasi Proses Belajar Mengajar Semester Genap 2024/2025</t>
  </si>
  <si>
    <t>1. Tidak terlaksananya Monitoring dan Evaluasi Proses Pembelajaran Semester Genap 2024/2025
2. Mahasiswa tidak lulus tepat waktu dan Keberhasilan studi mahasiswa terhambat</t>
  </si>
  <si>
    <t>Karena tidak adanya SDM yang bertanggungjawab terhadap Monitoring dan Evaluasi Proses Pembelajaran Semester Genap 2024/2025 mungkin Tidak adanya sosialisasi terkait Monitoring dan Evaluasi Proses Pembelajaran SEMESTER GENAP 2024/2025 sehingga Monitoring dan Evaluasi Proses Pembelajaran Semester Genap 2024/2025 tidak berjalan</t>
  </si>
  <si>
    <t>Menugaskan SDM untuk melakukan sosialisasi dan bertanggungjawab terhadap Monitoring dan Evaluasi Proses Pembelajaran Semester Genap 2024/2025</t>
  </si>
  <si>
    <t>D-IV Usaha Perjalanan Wisata-2</t>
  </si>
  <si>
    <t>Pengadaan BHP Praktikum-Prodi D-IV Usaha Perjalanan Wisata</t>
  </si>
  <si>
    <t>Karena tidak adanya SDM untuk menyusun HPS di Prodi D4 UPW mungkin proses pengadaan bahan praktikum di kantor pusat menjadi terlambat sehingga tidak tersedia bahan praktikum saat penyelenggaraan pendidikan semester genap di PS D4 UPW</t>
  </si>
  <si>
    <t>Karena tidak adanya SDM untuk menyusun HPS di Prodi D4 UPW, mungkin proses pengadaan BHP di kantor pusat menjadi terhambat sehingga tidak tersedia BHP pada saat penyelenggaraan pendidikan semester Genap di PS D4 UPW. Proses pengadaan BHP yang tidak lancar sehingga memperlambat kegiatan yang ada di Prodi D4 UPW</t>
  </si>
  <si>
    <t>1. Menyiapkan SDM yang handal untuk menyusun HPS BHP, 2. Menentukan item BHP sesuai kebutuhan dengan cermat, 3. Memonitor dalam rangka memastikan BHP pada saat sebelum PBM dimulai</t>
  </si>
  <si>
    <t>DEWAS-1</t>
  </si>
  <si>
    <t>Penyempurnaan dan Penguatan SOP Aspek Tata Kelola Dewas - DEWAS</t>
  </si>
  <si>
    <t>Keterlambatan Penyajian Laporan Dewas Tersebut Dapat Menyebabkan Keterlambatan Penyajian Informasi Tentang Penilaian Kinerja Akademik dan Non-Akademik yang Digunakan sebagai Dasar untuk Memberikan Rekomendasi Perbaikan dan Peningkatan Kualitas yang Harus Dilakukan oleh Direktur dan Jajarannya</t>
  </si>
  <si>
    <t>Karena Keterlambatan Sumber Data dari Unit Kerja, Akademik, dan Non Akdemik yang Belum Siap, Mungkin Penyajian Laporan Dewas Mengenai Informasi Tentang Penilaian Kinerja Akademik dan Non-Akademik yang Digunakan Sebagai Dasar untuk Memberikan Rekomendasi Tersebut Menjadi Terlambat, Sehingga Penyampaian dan Pelaporan untuk Laporan Dewas ke Kementerian Keuangan dalam Aplikasi BIOS G2 (BLU Integrated Online System) Akan Mundur dari Jadwal dan Batas Waktu yang Sudah Ditentukan</t>
  </si>
  <si>
    <t>Pengumpulan Data dari Seluruh Unit Kerja (Akademik dan Non Akademik) Harus Dilakukan Secara Lebih Dini</t>
  </si>
  <si>
    <t>DEWAS-4</t>
  </si>
  <si>
    <t>Pertemuan Dewan Pengawas Bulan Agustus Tahun 2025 - DEWAS</t>
  </si>
  <si>
    <t>Tidak Terpenuhinya Frekuensi Pertemuan Dewas Beserta Direktur dan jajarannya Tersebut Dapat Menyebabkan Tidak Terlaksananya Monitoring dan Pengawasan terhadap pengelolaan BLU terhadap pelaksanaan Rencana Bisnis dan Anggaran (RBA), kepatuhan terhadap peraturan perundang-undangan, dan kinerja hasil penyelenggaraan pendidikan Secara Periodik dan Jadwal Pertemuan yang Sudah Ditentukan.</t>
  </si>
  <si>
    <t>Karena Keterbatasan Waktu oleh Ketua Dewas dan Anggota Dewas untuk Melakukan Monitoring dan Pengawasan yang Tidak Terpenuhi, Mungkin Pelaksanaan Kegiatan Pertemuan Dewan Pengawas Beserta Direktur dan Jajarannya Menjadi tidak terlaksana, Sehingga Tidak Terpenuhinya Frekuensi Pertemuan Dewas Tersebut Dapat Menyebabkan Tidak Berjalannya Monitoring dan Pengawasan Secara Periodik.</t>
  </si>
  <si>
    <t>Koordinasi oleh Ketua Dewas dan Anggota Dewas untuk Pelaksanaan Pertemuan Dewas Harus Dilakukan Secara Intensif</t>
  </si>
  <si>
    <t>DEWAS-9</t>
  </si>
  <si>
    <t>Pertemuan Dewan Pengawas Bulan Mei Tahun 2025 - DEWAS</t>
  </si>
  <si>
    <t>DEWAS-11</t>
  </si>
  <si>
    <t>Pertemuan Dewan Pengawas Bulan Oktober Tahun 2025</t>
  </si>
  <si>
    <t>Jurusan Akuntansi-2</t>
  </si>
  <si>
    <t>MONITORING DAN EVALUASI PEMBELAJARAN MAHASISWA JURUSAN AKUNTANSI</t>
  </si>
  <si>
    <t>kegiatan monev tidak berjalan dengan baik dan keberhasilan studi tidak tercapai</t>
  </si>
  <si>
    <t>Karena kurangnya koordinasi tim monev pembelajaran mungkin soal-soal ujian belum tepat dan tidak terkumpul sehingga kegiatan monev pembelajaran mahasiswa tidak berjalan dengan baik.</t>
  </si>
  <si>
    <t>Sebagai bagian dari evaluasi dan monitoring hasil pembelajaran dalam satu semester, diperlukan pengukuran yang tepat yang tervalidasi dalam ukuran nilai indeks prestasi kumulatif.</t>
  </si>
  <si>
    <t>Jurusan Akuntansi-16</t>
  </si>
  <si>
    <t>PENGADAAN LISENSI SOFTWARE SAP UNIVERSITY PARTNERSHIP PROGRAM (LISENSI DAN SERTIFIKASI) - Jurusan Akuntansi</t>
  </si>
  <si>
    <t>Karena SAP Edugate ini merupakan perpanjangan kerjasama dengan pihak ketiga dan nilai transaksi diatas Rp 100.000.000 dan mungkin proses pengadaan peralatan lisensi SAP edugate jurusan akuntansi tidak berjalan lancar sesuai harapan, sehingga perpanjangan tidak berjalan langsung setelah expired</t>
  </si>
  <si>
    <t>1) Berkomunikasi dengan pihak sap edugate untuk memenuhi dokumen yang dibutuhkan terkait pengadaan
2) Mengupdate proses perpanjangan kerjasama</t>
  </si>
  <si>
    <t>Jurusan Teknik Elektro-1</t>
  </si>
  <si>
    <t>Gelar Ilmiah dan Lomba Gagasan dan Kreatifitas (LoGrak) 2025 - Jurusan Teknik Elektro</t>
  </si>
  <si>
    <t>menurunnya persentase mahasiswa yang meraih prestasi</t>
  </si>
  <si>
    <t>Karena tidak adanya SDM yang melaksanakan koordinasi dan memberikan informasi secara berkala terkait lomba kepada mahasiswa mungkin tidak adanya sosialisasi dan informasi terkait lomba sehingga kurangnya capaian prestasi mahasiswa tingkat nasional melalui keikutsertaan dalam lomba yang berkaitan dengan kompetensi</t>
  </si>
  <si>
    <t>Menyebarluaskan informasi ke mahasiswa berkaitan dengan lomba-lomba dan memberikan pendampangan untuk meningkatkan kesiapan mahasiswa</t>
  </si>
  <si>
    <t>Jurusan Teknik Elektro-4</t>
  </si>
  <si>
    <t>Pengadaan Modal Alat Penunjang Pelayanan di Jurusan Teknik Elektro</t>
  </si>
  <si>
    <t>Menyertakan tim teknis perumus HPS dalam penyusunan HPS, untuk memenuhi TKDN mengikuti data base yang ada dan minimum 40 % , dan monitoring proses pengadaan</t>
  </si>
  <si>
    <t>Jurusan Teknik Kimia-4</t>
  </si>
  <si>
    <t>Perawatan alat di Laboratorium Jurusan Teknik Kimia - Jurusan Teknik Kimia</t>
  </si>
  <si>
    <t>1. Kerusakan alat yang tidak terdeteksi
2. Penurusan efisiensi operasional
3. Potensi kecelakaan kerja
4. Peningkatan biaya operasional
5. Kesulitan dalam akreditasi dan penilaian eksternal</t>
  </si>
  <si>
    <t>Karena keterbatasan SDM yang kompeten dalam perawatan alat laboratorium, mungkin jadwal perawatan rutin tidak terlaksana secara optimal sehingga alat-alat laboratorium mengalami kerusakan atau tidak dapat digunakan, yang berdampak pada terganggunya kegiatan praktikum dan penelitian.</t>
  </si>
  <si>
    <t>1. membuat jadwal dan SOP perawatan berkala
2. mengadakan pelatihan dan pengembangan kompetensi SDM
3. melakukan monitoring dan evaluasi berkala</t>
  </si>
  <si>
    <t>Jurusan Teknik Mesin-3</t>
  </si>
  <si>
    <t>Pengadaan Bahan Praktikum Program Studi D-III TPPU Semester Ganjil - Jurusan Teknik Mesin</t>
  </si>
  <si>
    <t>1. Waktu realisasi BHP terlambat 
2. Spesifikasi BHP kurang sesuai</t>
  </si>
  <si>
    <t>Karena Tidak adanya SDM untuk Menyusun HPS di Program Studi D-III Teknik Pemeliharaan Pesawat Udara mungkin Proses Pengadaan Bahan Praktikum di Kantor Pusat menjadi Terlambat sehingga Tidak tersedia Bahan Praktikum Penyelenggaraan Pendidikan Semester Genap di PS D-III Teknik Pemeliharaan Pesawat Udara</t>
  </si>
  <si>
    <t>1. Membentuk tim BHP di setiap prodi 
2. Pengecekan rutin BHP yang dieksekusi</t>
  </si>
  <si>
    <t>Jurusan Teknik Mesin-4</t>
  </si>
  <si>
    <t>Pengadaan Bahan Praktikum Program Studi D-III TPPU Semester Genap - Jurusan Teknik Mesin</t>
  </si>
  <si>
    <t>Jurusan Teknik Mesin-8</t>
  </si>
  <si>
    <t>Penguatan dan Pengembangan Kerja Sama Dunia Usaha Dunia Industri - Jurusan Teknik Mesin</t>
  </si>
  <si>
    <t>1. Ada mahasiswa tidak ada tempat magang wajib
2. Ada alumni yang tidak segera mendapat pekerjaan</t>
  </si>
  <si>
    <t>Karena masih banyaknya kebutuhan kerja sama dengan industri mungkin beberapa kegiatan magang, RPL2, beasiswa dan rekruitmen akan terhambat sehingga ada mahaiswa yang tidak mendapat tempat magang dan lambat menerima kerja.</t>
  </si>
  <si>
    <t>1. Monitoring dan evaluasi secara online</t>
  </si>
  <si>
    <t>Jurusan Teknik Mesin-12</t>
  </si>
  <si>
    <t>Pengadaan Bahan Praktikum Program Studi D-III Teknik Mesin Semester Genap - Jurusan Teknik Mesin</t>
  </si>
  <si>
    <t>Jurusan Teknik Mesin-13</t>
  </si>
  <si>
    <t>Pengadaan Bahan Praktikum Prodi D-IV TMPP Semester Ganjil - Jurusan Teknik Mesin</t>
  </si>
  <si>
    <t>Karena Tidak adanya SDM untuk Menyusun HPS di Program Studi D-IV TMPP mungkin Proses Pengadaan Bahan Praktikum di Kantor Pusat menjadi Terlambat sehingga Tidak tersedia Bahan Praktikum Penyelenggaraan Pendidikan Semester Ganjil di PS D-IV TMPP</t>
  </si>
  <si>
    <t>Jurusan Teknik Mesin-14</t>
  </si>
  <si>
    <t>Pengadaan Bahan Praktikum Prodi D-IV TMPP Semester Genap - Jurusan Teknik Mesin</t>
  </si>
  <si>
    <t>Karena Tidak adanya SDM untuk Menyusun HPS di Program Studi D-IV TMPP mungkin Proses Pengadaan Bahan Praktikum di Kantor Pusat menjadi Terlambat sehingga Tidak tersedia Bahan Praktikum Penyelenggaraan Pendidikan Semester Genap di PS D-IV TMPP</t>
  </si>
  <si>
    <t>Jurusan Teknik Mesin-15</t>
  </si>
  <si>
    <t>Pengadaan Bahan Praktikum Prodi D-IV TOE Semester Ganjil</t>
  </si>
  <si>
    <t>Karena Tidak adanya SDM untuk Menyusun HPS di Program Studi D-IV TOE mungkin Proses Pengadaan Bahan Praktikum di Kantor Pusat menjadi Terlambat sehingga Tidak tersedia Bahan Praktikum Penyelenggaraan Pendidikan Semester Ganjil di PS D-IV TOE</t>
  </si>
  <si>
    <t>Jurusan Teknik Mesin-16</t>
  </si>
  <si>
    <t>Pengadaan Bahan Praktikum Prodi D-IV TOE Semester Genap</t>
  </si>
  <si>
    <t>Karena Tidak adanya SDM untuk Menyusun HPS di Program Studi D-IV TOE mungkin Proses Pengadaan Bahan Praktikum di Kantor Pusat menjadi Terlambat sehingga Tidak tersedia Bahan Praktikum Penyelenggaraan Pendidikan Semester Genap di PS D-IV TOE</t>
  </si>
  <si>
    <t>Jurusan Teknik Mesin-17</t>
  </si>
  <si>
    <t>Pengadaan Bahan Praktikum Program Studi D-III Teknik Mesin Semester Ganjil - Jurusan Teknik Mesin</t>
  </si>
  <si>
    <t>Karena Tidak adanya SDM untuk Menyusun HPS di Program Studi D-III Teknik Mesin mungkin Proses Pengadaan Bahan Praktikum di Kantor Pusat menjadi Terlambat sehingga Tidak tersedia Bahan Praktikum Penyelenggaraan Pendidikan Semester Ganjil di PS D-III Teknik Mesin</t>
  </si>
  <si>
    <t>Jurusan Teknologi Informasi-1</t>
  </si>
  <si>
    <t>Administrasi Dokumen Kegiatan</t>
  </si>
  <si>
    <t>Perubahan anggaran, jumlah, atau spesifikasi barang untuk menyesuaikan harga pasar</t>
  </si>
  <si>
    <t>Karena keterlambatan dan proses yang lama saat pengadaan, mungkin harga yang berada di pasar berubah dan tidak sesuai dengan harga yang ada saat perencanaan sehingga jumlah atau spesifikasi barang tidak sesuai yang direncanakan</t>
  </si>
  <si>
    <t>Melakukan pengadaan di awal tahun atau secepatnya serta perlu mencari jenis barang lain namun dengan spek yang sama.</t>
  </si>
  <si>
    <t>Jurusan Teknologi Informasi-4</t>
  </si>
  <si>
    <t>Pembinaan Mahasiswa untuk Peningkatan Prestasi - Jurusan Teknologi Informasi</t>
  </si>
  <si>
    <t>Jumlah mahasiswa yang mendapatkan juara pada kompetisi-kompetesi tidak memenuhi target</t>
  </si>
  <si>
    <t>Karena kegiatan ini merupakan bentuk kegiatan pendukung dan pemicu untuk meningkatkan kreativitas, kemampuan, dan persiapan mahasiswa agar dapat bersaing dengan peserta lain pada kompetisi-kompetisi nasional, mungkin terkait hasil sebagai juara sebagai bentuk berprestasi tidak dapat dijamin dengan pasti sehingga IKU tidak tercapai</t>
  </si>
  <si>
    <t>Monitoring karya dan kinerja dari mahasiswa dalam pengembangan karya serta pemerataan pembekalan, informasi terhadap seluruh mahasiswa.</t>
  </si>
  <si>
    <t>P2MPP-1</t>
  </si>
  <si>
    <t>BIMTEK AMI PT</t>
  </si>
  <si>
    <t>Karena jumlah auditor yang memiliki sertifikat pelatihan auditor mutu internal masih kurang mungkin jumlahauditor lebih sedikit dari program studi yang diaudit sehingga kegiatan AMI bisa tidak terlaksana</t>
  </si>
  <si>
    <t>Menambah jumlah auditor internal yang tersertifikasi</t>
  </si>
  <si>
    <t>P2MPP-3</t>
  </si>
  <si>
    <t>Monev dan AMI Semester genap dan ganjil</t>
  </si>
  <si>
    <t>Program studi dianggap tidak patuh dalam menjalankan siklus PPEPP sehingga menyebabkan prodi tidak dapat dievaluasi kepatuhan dan ketercapaian standar sehingga berdampak pada tidak terakreditasi program studi serta tidak mendapat sertifikat ISO.
Ketidak tercapaian jumlah prodi yang unggul akan berdampak pada kinerja pencapaian visi polinema</t>
  </si>
  <si>
    <t>Auditi / unit yang diaudit tidak dapat dilaksanakan proses audit</t>
  </si>
  <si>
    <t>Menyusun dan menyinkronkan jadwal auditor dan auditee untuk kegiatan AMI. 
Membuat jadwal pelaksanaan audit mutu internal dan monev pembelajaran serta melaksanakannya dengan baik.</t>
  </si>
  <si>
    <t>P2MPP-4</t>
  </si>
  <si>
    <t>Monev dan Audit SPMI untuk PSDKU Kediri</t>
  </si>
  <si>
    <t>Menyusun dan menyinkronkan jadwal auditor dan auditee untuk kegiatan AMI. 
Membuat jadwal pelaksanaan audit mutu internal dan monev pembelajaran serta melaksanakannya dengan baik.
Melakukan Monev dan Audit SPMI untuk PSDKU Kediri secara luring</t>
  </si>
  <si>
    <t>P2MPP-12</t>
  </si>
  <si>
    <t>Pendampingan Akreditasi Prodi - P2MPP</t>
  </si>
  <si>
    <t>Penurunan Peringkat Akreditasi Institusi
Berkurangnya minat pendaftar di prodi</t>
  </si>
  <si>
    <t>Target peringkat Akreditasi Prodi (Unggul) tidak dapat tercapai disebabkan kurang maksimalnya proses pendampingan akreditasi karena belum terpetakannya program studi yang harus mengajukan re akreditasi</t>
  </si>
  <si>
    <t>Memetakan program studi yang harus mengajukan reakreditasi dan membuatkan jadwal sesuai dengan rentang waktu sebelum pelaksanaan visitasi</t>
  </si>
  <si>
    <t>P2MPP-18</t>
  </si>
  <si>
    <t>Penyusunan Pedoman Pembelajaran dan Pengembangan SDM</t>
  </si>
  <si>
    <t>Kualitas dan kuantitas penyelenggaraan kegiatan pembelajaran dan pengembangan SDM khususnya Dosen tidak sama antara prodi</t>
  </si>
  <si>
    <t>Karena belum adanya Pedoman terkait Pembelajaran dan Pedoman terkait Pengembangan SDM, mungkin disebabkan tidak ada yang bertanggung jawab menyusun pedoman tersebut, sehingga kegiatan Pembelajaran terkait pencapaian IKU serta program pengembangan SDM tidak terlaksana dengan baik</t>
  </si>
  <si>
    <t>Membentuk tim penyusun pedoman Pembelajaran dan Pedoman Pengembangan SDM sesuai dengan kebutuhan</t>
  </si>
  <si>
    <t>P2MPP-19</t>
  </si>
  <si>
    <t>Persiapan Pelatihan (Pekerti, AA, SPMI, dan AMI) untuk Eksternal</t>
  </si>
  <si>
    <t>Pelatihan Pekerti AA untuk eksternal tidak terlaksana
Target perolehan Pendapatan Institusi tidak tercapai</t>
  </si>
  <si>
    <t>Karena penyiapan program pelatihan Pekerti AA untuk eksternal tidak terencana dengan baik maka pelaksanaan Pelatihan Pekerti AA untuk pihak eksternal akan berjalan tidak efektif</t>
  </si>
  <si>
    <t>Melaksanakan kegiatan Persiapan Pelatihan (Pekerti, AA, SPMI, dan AMI) untuk Eksternal</t>
  </si>
  <si>
    <t>P3M-1</t>
  </si>
  <si>
    <t>Workshop Penyusunan Prosedur Pelayanan Sentra KI, Proses Penelitian dan Pengabdian Masyarakat</t>
  </si>
  <si>
    <t>Belum adanya prosedur pelayanan sentra KI dan PPM yang terstandart di Polinema</t>
  </si>
  <si>
    <t>KARENA belum adanya prosedur pelayanan dan proses bisnis sentra KI dan PPM yang standar MUNGKIN pemahaman SDM mengenai prosedur pelayanan sentra KI dan PPM yang kurang SEHINGGA workshop penyusunan prosedur layanan sentra KI dan PPM ini tidak berjalan dengan baik</t>
  </si>
  <si>
    <t>Perlu adanya diskusi antara pengelola sentra KI, P3M, pimpinan dan unit terkait mengenai prosedur pelayanan ini
Perlu benchmarking dengan pengelola sentra KI dan P3M dari perguruan tinggi lain untuk menggali informasi terkait</t>
  </si>
  <si>
    <t>P3M-2</t>
  </si>
  <si>
    <t>WORKSHOP PENYUSUNAN METODOLOGI RISET</t>
  </si>
  <si>
    <t>peserta workshop belum memiliki draft proposal yang dilengkapi dengan metodologi riset untuk didampingi dalam penyusunannya</t>
  </si>
  <si>
    <t>KARENA draft dokumen yang belum siap dari peserta MUNGKIN kurangnya pemahaman dari peserta mengenai metodologi riset SEHINGGA kegiatan workshop penyusunan metodologi riset tidak dapat berjalan dengan baik</t>
  </si>
  <si>
    <t>Memberikan sosialisasi pelaksananaan workshop pada dosen dan membuka pendaftaran peserta workshop</t>
  </si>
  <si>
    <t>P3M-3</t>
  </si>
  <si>
    <t>WORKSHOP PENYUSUNAN FEASIBILITY STUDY &amp; BUSINESS PLAN</t>
  </si>
  <si>
    <t>peserta workshop belum memiliki draft dokumen pra inkubasi untuk didampingi dalam penyusunannya</t>
  </si>
  <si>
    <t>KARENA draft dokumen yang belum siap dari peserta MUNGKIN kurangnya pemahaman dari peserta workshop mengenai feasibility study dan business plan SEHINGGA kegiatan workshop tidak dapat berjalan secara optimal</t>
  </si>
  <si>
    <t>1. Memberikan panduan dan template penyusunan dokumen FS dan business plan. 2. membuka pendaftaran kepada calon peserta workshop yang telah memiliki draft dokumen</t>
  </si>
  <si>
    <t>P3M-4</t>
  </si>
  <si>
    <t>WORKSHOP PENDAMPINGAN VALUASI HASIL RISET</t>
  </si>
  <si>
    <t>Penentuan valuasi hasil penelitian belum dilaksanakan secara berkelanjutan sehingga identifikasi hasil penelitian yang dapat dikomersialisasi dapat terhambat</t>
  </si>
  <si>
    <t>KARENA pemahaman yang kurang terhadap valuasi hasil penelitian MUNGKIN pemahaman mengenai valuasi hasil penelitian yang kurang SEHINGGA kegiatan workshop valuasi hasil penelitian dapat terhambat</t>
  </si>
  <si>
    <t>Perlu dilakukan kerjasama dengan pihak eksternal untuk dilakukan valuasi hasil penelitian
Perlu mendorong penelitian start of the end untuk percepatan produk inovasi</t>
  </si>
  <si>
    <t>P3M-5</t>
  </si>
  <si>
    <t>WORKSHOP PENDAMPINGAN PENYUSUNAN PROPOSAL HIBAH PENELITIAN DAN PENGABDIAN</t>
  </si>
  <si>
    <t>jumlah proposal hibah PPM dengan pendanaan eksternal polinema sangat kurang Keterkaitan dengan ([IKU 2.3] Jumlah keluaran penelitian dan pengabdian kepada masyarakat yang berhasil mendapat rekognisi internasional atau diterapkan oleh masyarakat per jumlah dosen)</t>
  </si>
  <si>
    <t>KARENA perlunya pengetahuan dosen terhadap penyusunan proposal hibah penelitian dan pengabdian MUNGKIN kurangnya dosen yang memahami penulisan proposal hibah penelitian dan pengabdian SEHINGGA kegiatan workshop dalam pendampingan penyusunan proposal hibah penelitian dan pengabdian tidak dapat tercapai</t>
  </si>
  <si>
    <t>Sosialisasi panduan hibah PPM dengan pendanaan eksternal Perlu adanya pendampingan untuk penyusunan proposal hibah</t>
  </si>
  <si>
    <t>P3M-6</t>
  </si>
  <si>
    <t>WORKSHOP PENDAMPINGAN PENULISAN ARTIKEL JURNAL INTERNASIONAL - P3M</t>
  </si>
  <si>
    <t>capaian publikasi pada jurnal internasional terhambat dan capaian kinerja IKU 5 yang berupa hasil penelitian yang mendapat rekognisi internasional akan berkurang juga</t>
  </si>
  <si>
    <t>KARENA perlunya pengetahuan SDM terhadap penulisan artikel jurnal internasional MUNGKIN kurangnya SDM yang memahami penulisan jurnal internasional SEHINGGA kegiatan workshop dalam pendampingan penulisan artikel internasional tidak dapat tercapai</t>
  </si>
  <si>
    <t>Mengundang narassumber yang dapat melakukan pendampingan dalam penulisan jurnal internasional. Melakukan sosialisasi dan pengarahan mengenai pemilihan jurnal yang bereputasi untuk meningkatkan capaian publikasi</t>
  </si>
  <si>
    <t>P3M-8</t>
  </si>
  <si>
    <t>VERIFIKASI LUARAN PENELITIAN DAN PENGABDIAN KEPADA MASYARAKAT - P3M</t>
  </si>
  <si>
    <t>proses verifikasi luaran yang digunakan sebagai dasar sebagai evaluasi capaian kinerja penelitian dan PPM dapat terhambat Keterkaitan dengan ([IKU 2.3] Jumlah keluaran penelitian dan pengabdian kepada masyarakat yang berhasil mendapat rekognisi internasional atau diterapkan oleh masyarakat per jumlah dosen)</t>
  </si>
  <si>
    <t>KARENA adanya kendala pada ketua penelitian dan pelaksana PPM serta adanya kendala pada sistem MUNGKIN kurangnya kepedulian ketua penelitian dan pelaksana PPM untuk mengupdate data capaian luaran penelitian dan PPM dan dikarenakan adanya penyesuaian pada sistem SEHINGGA proses verifikasi luaran yang digunakan sebagai dasar sebagai evaluasi capaian kinerja penelitian dan PPM dapat terhambat</t>
  </si>
  <si>
    <t>Perlu adanya sosialisasi dan penjadwalan untuk verifikasi dan update luaran kepada dosen polinema.</t>
  </si>
  <si>
    <t>P3M-10</t>
  </si>
  <si>
    <t>SEMINAR PROPOSAL PENELITIAN DAN PENGABDIAN KEPADA MASYARAKAT 2025 - P3M</t>
  </si>
  <si>
    <t>Proses seleksi proposal yang memenuhi persyaratan dan panduan menjadi terhambat</t>
  </si>
  <si>
    <t>KARENA adanya kendala pada sistem informasi P2M pengelolaan seleksi proposal penelitian dan PPM, kerlambatan dalam menggunggah proposal MUNGKIN kurangnya pemahaman reviewer dalam penilaian proposal dan penggunaan SIMP2M SEHINGGA seleksi proposal terhambat dan tidak sesuai dengan penjadwalan</t>
  </si>
  <si>
    <t>Perlu dilakukan penyamaan persepsi reviewer yang melakukan review proposal serta perlu dilakukan sosialisasi penggunaan SIMP2M untuk review proposal</t>
  </si>
  <si>
    <t>P3M-14</t>
  </si>
  <si>
    <t>PENINGKATAN KUALITAS PENELITIAN TERAPAN MELALUI KERJASAMA DUDI, PEMDA dan PT</t>
  </si>
  <si>
    <t>penentuan tempat industri yang akan di survei mengalami kesulitan dan dapat menghabat pelaksanaan dan tujuan kegiatan ini</t>
  </si>
  <si>
    <t>KARENA adanya permasalahan industri yang dapat diselesaikan melalui penelitian dan PPM polinema MUNGKIN data industri yang dapat bekerjasama yang kurang SEHINGGA penentuan tempat industri yang akan di survei mengalami kesulitan</t>
  </si>
  <si>
    <t>Perlunya koordinasi dengan bidang 4 untuk mendapatkan data industri yang telah memiliki kerjasama dengan Polinema dan memiliki potensi kerjasama dalam bidang PPM.
Membuat data base industri dan permasalahannya</t>
  </si>
  <si>
    <t>P3M-17</t>
  </si>
  <si>
    <t>MONITORING DAN EVALUASI PENELITIAN DAN PENGABDIAN KEPADA MASYARAKAT TAHUN 2025 - P3M</t>
  </si>
  <si>
    <t>ketercapaian luaran penelitian dan pengabdian kepada masyarakat tidak optimal sesuai dengan target yang direncanakan</t>
  </si>
  <si>
    <t>KARENA kendala yang dihadapi dalam pelaksanaan program penelitian dan pengabdian pada pasyarakat MUNGKIN diperlukan mekanisme untuk monitoring dan evaluasi pelaksanaan program tersebut SEHINGGA menghambat jalannya program dan ketercapaian luaran yang telah ditargetkan di awal</t>
  </si>
  <si>
    <t>Perlu adanya penjadwalan yang jelas untuk pelaksanaan monitoring dan evaluasi kegiatan penelitian dan PPM 
Melibatkan reviewer penelitian eksternal dan internal polinema dengan kualifikasi sebagai reviewer nasional</t>
  </si>
  <si>
    <t>P3M-18</t>
  </si>
  <si>
    <t>FORUM DAN CO HOST P2M/ P3M POLITEKNIK INDONESIA - P3M</t>
  </si>
  <si>
    <t>Waktu publish setelah dilaksanakan seminar/ simposium minimal 6 bulan Keterkaitan dengan ([IKU 2.3] Jumlah keluaran penelitian dan pengabdian kepada masyarakat yang berhasil mendapat rekognisi internasional atau diterapkan oleh masyarakat per jumlah dosen)</t>
  </si>
  <si>
    <t>KARENA ketidakpastian jadwal dan proses publikasi sampai dengan terbitnya artikel MUNGKIN mekanisme dan jadwal acara yang belum pasti dari FORUM P3M SEHINGGA kegiatan ini tidak dapat dilakukan dengan baik</t>
  </si>
  <si>
    <t>ikut berperan serta dalam memberikan dukungan untuk mempercepat proses publikasi</t>
  </si>
  <si>
    <t>P3M-19</t>
  </si>
  <si>
    <t>FGD PELAKSANAAN PENELITIAN DAN PPM DI DESA MITRA</t>
  </si>
  <si>
    <t>Permasalahan yang ada di desa mitra tidak dapat ditangkap dan diselesaikan melalui penelitian dan PPM polinema, Keterkaitan dengan ([IKU 2.3] Jumlah keluaran penelitian dan pengabdian kepada masyarakat yang berhasil mendapat rekognisi internasional atau diterapkan oleh masyarakat per jumlah dosen)</t>
  </si>
  <si>
    <t>KARENA dibutuhkan kesesuaian dalam penentuan desa mitra yang tepat sasaran MUNGKIN belum ada mekanisme penentuan terkait pemetaan desa mitra SEHINGGA FGD tidak dapat berjalan dengan desa mitra sesuai dan tepat sasaran</t>
  </si>
  <si>
    <t>Perlu adanya koordinasi dengan perangkat desa dan bappeda sebelum pelaksanaan FGD dilaksanakan</t>
  </si>
  <si>
    <t>P3M-21</t>
  </si>
  <si>
    <t>DESK EVALUASI PROPOSAL PENELITIAN DAN PENGABDIAN KEPADA MASYARAKAT - P3M</t>
  </si>
  <si>
    <t>Proses seleksi proposal yang memenuhi persyaratan dan panduan menjadi terhambat Keterkaitan dengan ([IKU 2.3] Jumlah keluaran penelitian dan pengabdian kepada masyarakat yang berhasil mendapat rekognisi internasional atau diterapkan oleh masyarakat per jumlah dosen)</t>
  </si>
  <si>
    <t>KARENA adanya kendala pada sistem informasi P3M untuk pengelolaan seleksi proposal penelitian dan PPM MUNGKIN ketidak sesuaian proposal yang diunggah di sistem dan kerlambatan dalam menggunggah proposal SEHINGGA seleksi proposal terhambat dan tidak sesuai dengan penjadwalan</t>
  </si>
  <si>
    <t>Perlu adanya SDM khusus yang mengelola dan mengembangkan SIMP2M Perlu adanya sosialisasi panduan penelitian dan PPM bagi seluruh dosen polinema</t>
  </si>
  <si>
    <t>P3M-25</t>
  </si>
  <si>
    <t>AKSELERASI KEKAYAAN INTELEKTUAL POLINEMA - P3M</t>
  </si>
  <si>
    <t>Kurangnya pemanfaatan dan perlindungan kekayaan intelektual yang dihasilkan dari tugas akhir/ skripsi mahasiswa dan dosen pembimbing dan kurangnya perolehan KI untuk pencapaian IKU Polinema</t>
  </si>
  <si>
    <t>KARENA kurangnya pendaftaran kekayaan intelektual baik berupa hak cipta maupun paten yang dapat dihasilkan dari tugas akhir maupun skripsi mahasiswa MUNGKIN pemahaman dan motivasi yang kurang dari mahasiswa dan dosen SEHINGGA perlindungan tehadap kekayaan intelektual tersebut kurang optimal</t>
  </si>
  <si>
    <t>Memberikan pendampingan dan sosialisasi pendaftaran KI melalui sentra KI Polinema</t>
  </si>
  <si>
    <t>PSDKU Kota Kediri-3</t>
  </si>
  <si>
    <t>BELANJA PENGADAAN ALAT TULIS KANTOR (ATK)</t>
  </si>
  <si>
    <t>Kebutuhan BHP ATK tidak terpenuhi dan menghambat kegiatan adminsitrasi perkantoran dan belajar mengajar</t>
  </si>
  <si>
    <t>Karena kurangnya komunikasi antara tim teknis PSDKU Kediri dengan tim teknis Kantor Pusat mungkin menyebabkan pengadaan BHP ATK tidak dapat direalisasikan sehingga tidak tersedianya BHP ATK untuk penyelenggaraan pendidikan dan perkantoran</t>
  </si>
  <si>
    <t>Untuk mengatasi resiko yang mungkin terjadi maka cara mengendalikan dampaknya adalah dengan menjalin komunikasi yang baik antara Tim Teknis yang ada di PSDKU Kediri dan Tim Teknis Kampus Pusat terkait pelaksanaan pengadaan agar biasa dilaksanakan langsung di PSDKU Kediri</t>
  </si>
  <si>
    <t>PSDKU Kota Kediri-6</t>
  </si>
  <si>
    <t>BIAYA OPERASIONAL DAN SEWA RUMAH DINAS</t>
  </si>
  <si>
    <t>1. Pemilik kontrakan rumah dinas tidak bersedia memperpanjang perjanjian sewa rumah
2. Rumah dinas baru yang kurang nyaman
3. Biaya sewa rumah dinas yang lebih tinggi</t>
  </si>
  <si>
    <t>karena rumah dinas yang ditempati menggunakan sistem kontrak per tahun dan mungkin pemiliknya menghendaki kenaikan biaya kontrak atau pemilik rumah tidak menghendaki perpanjangan kontrak. maka dari pengelola harus mencari rumah kontrakan baru dengan harga yang sesuai dengan PAGU yang di anggarkan</t>
  </si>
  <si>
    <t>Untuk mengatasi risiko yang mungkin terjadi maka dengan cara mengkontrak rumah dinas langsung dua tahun sekali untuk menghindari kenaikan harga sewa disetiap tahunnya.</t>
  </si>
  <si>
    <t>PSDKU Kota Kediri-10</t>
  </si>
  <si>
    <t>Kegiatan Latihan Keterampilan manajemen Mahasiswa (LKMM) PSDKU Kediri 2025</t>
  </si>
  <si>
    <t>Mengganggu kegiatan akademik peserta LKMM</t>
  </si>
  <si>
    <t>Karena kegiatan LKMM dilaksanakan pada hari efektif perkuliahan mungkin menyebabkan beberapa mahasiswa ketinggalan kelas sehinnga menggangu kegiatan akademik mahasiswa peserta kegiatan LKMM</t>
  </si>
  <si>
    <t>Berkoordinasi dengan Dosen Pembina Kemahasiswaan (DPK) dengan Prodi untuk terkait kurikulum dan mata kuliah serta serta menyesuaikan jadwal LKMM</t>
  </si>
  <si>
    <t>PSDKU Kota Kediri-13</t>
  </si>
  <si>
    <t>Pengadaan Peralatan Furniture - PSDKU Kota Kediri</t>
  </si>
  <si>
    <t>Kegiatan operasional dan penyediaan faislistas pendidikan untuk mahasiswa tidak telaksana tepat waktu</t>
  </si>
  <si>
    <t>Karena kurangnya komunikasi antara tim teknis PSDKU Kediri dengan tim teknis Kantor Pusat mungkin menyebabkan belanja modal furnitur perkantoran tidak dapat direalisasikan sehingga tidak tersedianya furnitur perkantoran untuk penyelanggaraan pendidikan dan perkantoran di PSDKU Kediri</t>
  </si>
  <si>
    <t>Untuk mengatasi resiko yang mungkin terjadi maka cara mengendalikan dampkanya adalah dengan menjalin komunikasi yang baik antara Tim Teknis yang ada di PSDKU Kediri dan Tim Teknis Kampus Pusat terkait pelaksanaan pengadaan agar biasa dilaksanakan langsung di PSDKU Kediri</t>
  </si>
  <si>
    <t>PSDKU Kota Kediri-14</t>
  </si>
  <si>
    <t>PENGADAAN PERALATAN PENDUKUNG PERKANTORAN - PSDKU Kota Kediri</t>
  </si>
  <si>
    <t>Karena tidak ada nya SDM untuk menyusun HPS di PSDKU Kediri mungkin menyebabkan proses pengadaan Peralatan pendukung Perkantoran menjadi terlambat sehingga tidak tersedia peralatan pendukung perkantoran untuk penyelanggaraan pendidikan dan perkantoran di PSDKU Kediri</t>
  </si>
  <si>
    <t>PSDKU Kota Pamekasan-2</t>
  </si>
  <si>
    <t>Promosi dan Sosialisasi Penerimaan Mahasiswa Baru PSDKU Polinema Kabupaten Pamekasan - PSDKU Kota Pamekasan</t>
  </si>
  <si>
    <t>Menurunnya minat pendaftar mahasiswa kuliah pada perguruan tinggi kita karena minimnya informasi yang diterima</t>
  </si>
  <si>
    <t>Karena tidak memiliki tim penggerak untuk memulai persiapan kegiatan promosi, mungkin menyebabkan lamanya tim pelaksana merumuskan bentuk promosi yang menyesuaikan dengan jadwal kegiatan siswa kelas XII SMA/SMK, sehingga kurang maksimalnya kegiatan promosi mahasiswa baru di PSDKU Pamekasan</t>
  </si>
  <si>
    <t>Melaksanakan pembentukan tim penggerak untuk kegiatan promosi penerimaan mahasiswa baru kepada sekolah-sekolah atau mengikuti kegiatan Kampus Expo dalam pengenalan kampus kepada masyarakat</t>
  </si>
  <si>
    <t>PSDKU Kota Pamekasan-4</t>
  </si>
  <si>
    <t>Operasional dan Manajerial Penyelenggaraan PSDKU Polinema Kabupaten Pamekasan - PSDKU Kota Pamekasan - PSDKU Kota Pamekasan - PSDKU Kota Pamekasan - PSDKU Kota Pamekasan</t>
  </si>
  <si>
    <t>Anggaran biaya rutin terserap untuk keperluan tak terduga</t>
  </si>
  <si>
    <t>Karena banyaknya biaya tak terduga yang tidak terindentifikasi, mungkin disebabkan keperluan yang urgent sehingga mengurangi biaya rutin yang tersedia</t>
  </si>
  <si>
    <t>Melakukan mitigasi awal terhadap aktifitas-aktifitas yang berpotensi menyebabkan munculnya biaya tak terduga</t>
  </si>
  <si>
    <t>PSDKU Kota Pamekasan-9</t>
  </si>
  <si>
    <t>Latihan Dasar Kedisiplinan (LDK) dan Sosialisasi Prastudi Mahasiswa Baru PSDKU Polinema Kabupaten Pamekasan - PSDKU Kota Pamekasan</t>
  </si>
  <si>
    <t>Tidak terdapatnya kegiatan kedisiplinan mahasiswa serta tidak terserapnya anggaran yang telah direncanakan</t>
  </si>
  <si>
    <t>Karena tidak memiliki kontrak kerjasama bidang pelatihan LDK dengan kesatuan TNI sekitar untuk kegiatan berkesinambungan / rutin tiap awal tahun akademik ini, mungkin menyebabkan Lamanya kesepakatan waktu pelaksanaan dan materi kegiatan LDK, sehingga tidak terlaksananya kegiatan latihan dasar kedisiplinan</t>
  </si>
  <si>
    <t>Mengingat pentingnya kegiatan ini maka perlu diadakannya MOU lebih awal dengan jangka waktu tertentu</t>
  </si>
  <si>
    <t>PSDKU Kota Pamekasan-12</t>
  </si>
  <si>
    <t>Workshop Kurikulum Berbasis PBL, Seminar dan Pameran PBL - PSDKU Kota Pamekasan - PSDKU Kota Pamekasan - PSDKU Kota Pamekasan</t>
  </si>
  <si>
    <t>Mahasiswa tidak bisa meningkatkan hardskill dan softskill suatu produk tepat guna sehingga tidak bisa digunakan di tengah-tengah masyarakat</t>
  </si>
  <si>
    <t>Karena kegiatan ini tidak terlaksana mungkin proses PBL tidak berjalan Sehingga mahasiswa tidak bisa menghasilkan sebuah produk karya dalam 1 semester</t>
  </si>
  <si>
    <t>Dilakukan persiapan dan sosialisasi yang matang oleh tim panitia ke mahasiswa, dosen dan melibatkan unsur masyarakat</t>
  </si>
  <si>
    <t>PSDKU Kota Pamekasan-13</t>
  </si>
  <si>
    <t>Promosi dan Sosialisasi Penerimaan Mahasiswa Baru PSDKU Polinema Kabupaten Pamekasan - PSDKU Kota Pamekasan - PSDKU Kota Pamekasan</t>
  </si>
  <si>
    <t>S-2 Rekayasa Teknologi Informasi-1</t>
  </si>
  <si>
    <t>Evaluasi Kurikulum</t>
  </si>
  <si>
    <t>Guru-guru SMK di Jawa Timur tidak mengenal S2 MRTI</t>
  </si>
  <si>
    <t>Karena tidak tersampaikannya informasi tentang S2 MRTI ke guru-guru SMK di Jawa Timur, mungkin tidak terjalin kerja sama dan komunikasi yang baik dengan Diknas Jawa Timur, sehingga SMK-SMK di Jawa Timur tidak mengenal S2 MRTI</t>
  </si>
  <si>
    <t>Segera mempersiapkan segala sesuatu yang dibutuhkan untuk menjalin komunikasi dengan Diknas Jawa Timur, serta memberikan bahan sosialisasi yang informatif kepada Diknas Jawa Timur, sehingga mempermudah Diknas Jawa Timur dalam mensosialisasikan S2 MRTI kepada SMK-SMK yang ada di Jawa Timur</t>
  </si>
  <si>
    <t>SENAT-3</t>
  </si>
  <si>
    <t>Workshop Penyusunan Kebijakan Penerimaan MABA</t>
  </si>
  <si>
    <t>Dampak ini akan sangat bergantung pada ukuran institusi, sistem yang digunakan, dan kompleksitas proses penerimaan mahasiswa baru yang disusun. Penyusunan dan perencanaan yang matang sangat penting untuk meminimalkan dampak negatif dan memastikan keberhasilan operasional.</t>
  </si>
  <si>
    <t>karena berfokus pada berbagai aspek operasional yang mungkin muncul dalam proses penerimaan mahasiswa baru dan bisa digunakan untuk memitigasi potensi masalah yang dapat terjadi.</t>
  </si>
  <si>
    <t>Pengendalian operasional yang baik akan membantu memastikan bahwa proses penerimaan mahasiswa baru dapat berlangsung lancar, tanpa hambatan, dan memenuhi harapan semua pihak yang terlibat.</t>
  </si>
  <si>
    <t>SPI-1</t>
  </si>
  <si>
    <t>Monitoring Dan Evaluasi Manajemen Risiko Politeknik Negeri Malang Berbasis IKU - SPI</t>
  </si>
  <si>
    <t>1. Keterlambatan data dan informasi yang diperlukan dapat menyebabkan gangguan dalam jadwal pelaksanaan kegiatan. 
2. Keterlambatan data dan informasi dapat mempengaruhi pelaksanaan kegiatan, sehingga membuat pelaksanaan tidak dapat terlaksana sebagaimana mestinya. 
3. Keterlambatan data dan informasi yang diperlukan untuk monitoring dan evaluasi manajemen risiko dapat menyebabkan proses monitoring dan evaluasi tidak terlaksana sebagaimana mestinya.</t>
  </si>
  <si>
    <t>Karena ada keterlambatan masuknya data dan informasi yang diperlukan untuk pelaksanaan kegiatan, mungkin waktu pelaksanaan tidak terjadwal dengan baik, sehingga proses monitoring dan evaluasi Manajemen Risiko Politeknik Negeri Malang Berbasis IKU tidak terlaksana</t>
  </si>
  <si>
    <t>1. Kebijakan pengumpulan data dengan menetapkan kebijakan pengumpulan data yang jelas dan efektif, termasuk tanggung jawab individu dan batasan waktu. 
2. Membuat sistem pengendalian akses data yang efektif untuk memastikan bahwa hanya orang yang berwenang yang dapat mengakses data. 
3. Melakukan monitoring dan evaluasi sistem pengumpulan data secara berkala untuk memastikan bahwa data dan informasi diterima tepat waktu.</t>
  </si>
  <si>
    <t>SPI-2</t>
  </si>
  <si>
    <t>Monitoring Dan Evaluasi Pembangunan Zona Integritas Wilayah Bebas KOrupsi Pengungkit Pengawasan Politeknik Negeri Malang Tahun 2025 - SPI</t>
  </si>
  <si>
    <t>1. keterlambatan dalam pelaporan hasil monitoring dan evaluasi kepada pihak yang berwenang 
2. kegiatan monitoring dan evaluasi tidak terlaksana dengan tepat
3. kelengkapan dokumen untuk pengungkit pengawasan pada SIAZIK kurang lengkap</t>
  </si>
  <si>
    <t>Karena ketidaklengkapan data atau informasi yang dibutuhkan untuk melakukan monitoring dan evaluasi dengan tepat mungkin akan menyebabkan tidak terlaksananya aktivitas monitoring sehingga kegiatan monitoring dan evaluasi tidak terlaksana dengan tepat</t>
  </si>
  <si>
    <t>1. Menyusun dan menetapkan jadwal dan rencana monitoring dan evaluasi yang jelas serta memastikan bahwa semua data dan informasi yang dibutuhkan tersedia sebelum kegiatan dilakukan. 
2. Memastikan bahwa semua unit kerja yang terkait dengan kegiatan pembangunan Zona Integritas Wilayah Bebas Korupsi Pengungkit Pengawasan memahami kewajiban dan tanggung jawabnya dalam menyediakan data dan informasi yang dibutuhkan untuk kegiatan monitoring dan evaluasi. 
3. Mengadakan pelatihan bagi para pelaksana kegiatan monitoring dan evaluasi untuk memastikan bahwa mereka memiliki kompetensi yang cukup dalam mengelola dan menganalisis data dan informasi yang tersedia.</t>
  </si>
  <si>
    <t>SPI-5</t>
  </si>
  <si>
    <t>Monitoring Dan Evalusi Program Competitive Fund, Mathing Fund Dan Hibah Lainnya Politeknik Negeri Malang - SPI</t>
  </si>
  <si>
    <t>1. Keterlambatan data dan informasi yang diperlukan dapat menyebabkan gangguan dalam jadwal pelaksanaan kegiatan. 
2. Keterlambatan data dan informasi dapat mempengaruhi pelaksanaan kegiatan, sehingga membuat pelaksanaan tidak dapat terlaksana sebagaimana mestinya. 
3. Keterlambatan data dan informasi yang diperlukan untuk monitoring dan evaluasi CF, MF dapat menyebabkan proses monitoring dan evaluasi tidak terlaksana sebagaimana mestinya.</t>
  </si>
  <si>
    <t>Karena ada keterlambatan masuknya data dan informasi yang diperlukan untuk pelaksanaan kegiatan, mungkin waktu pelaksanaan tidak terjadwal dengan baik, sehingga proses monitoring dan evaluasi CF, MF tidak terlaksana</t>
  </si>
  <si>
    <t>1. Kebijakan pengumpulan data dengan menetapkan kebijakan pengumpulan data yang jelas dan efektif, termasuk tanggung jawab individu dan batasan waktu. 
2. Membuat sistem pengendalian akses data yang efektif untuk memastikan bahwa hanya orang yang berwenang yang dapat mengakses data.
3. Melakukan monitoring dan evaluasi sistem pengumpulan data secara berkala untuk memastikan bahwa data dan informasi diterima tepat waktu.</t>
  </si>
  <si>
    <t>SPI-6</t>
  </si>
  <si>
    <t>PENDAMPINGAN PENGENDALIAN INTERNAL PSDKU KABUPATEN LUMAJANG TAHUN 2025 - SPI</t>
  </si>
  <si>
    <t>Ketidaksesuaian antara rencana dengan kondisi lapangan juga dapat menyebabkan kegiatan pendampingan tidak efektif, karena tidak sesuai dengan kebutuhan atau tantangan yang dihadapi oleh PSDKU Lumajang. Hal ini dapat mengakibatkan PSDKU Lumajang tidak dapat mempertahankan atau meningkatkan kualitas pengendalian internnya, sehingga menimbulkan risiko terjadinya pelanggaran atau kegagalan dalam pengelolaan keuangan dan tidak terpenuhinya opini atas hasil audit Laporan Keuangan.</t>
  </si>
  <si>
    <t>Karena ketidaksesuaian antara rencana pengendalian internal dengan kondisi yang sebenarnya di lapangan mungkin akan mengakibatkan tidak terlaksananya kegiatan pendampingan sehingga tidak tercapainya sasaran keberhasilan pendampingan pengendalian internal</t>
  </si>
  <si>
    <t>1. Menyusun dan menetapkan rencana pendampingan pengendalian internal yang sesuai dengan kebutuhan dan tantangan yang dihadapi oleh PSDKU Lumajang. 
2. Menyusun dan menetapkan mekanisme yang jelas untuk mengupdate rencana pendampingan pengendalian internal sesuai dengan perkembangan kondisi lapangan yang terjadi. 
3. Memastikan bahwa semua unit kerja yang terkait dengan kegiatan pendampingan pengendalian internal memahami kewajiban dan tanggung jawabnya dalam menyediakan data dan informasi yang dibutuhkan.</t>
  </si>
  <si>
    <t>SPI-10</t>
  </si>
  <si>
    <t>Peningkatan Kompetensi SDM Dan Koordinasi SPI Bersama Itjen Kemendikbudristek Dan Forum SPI PTN Indonesia - SPI</t>
  </si>
  <si>
    <t>Dampak dari keterlambatan informasi terkait waktu pelaksanaan pelatihan adalah anggota SPI mungkin kesulitan menyesuaikan jadwal pelaksanaan pelatihan sehingga kegiatan koordinasi dan peningkatan SDM gagal dilaksanakan. Ini berarti bahwa mereka mungkin tidak dapat mengikuti pelatihan dan meningkatkan keterampilan dan pengetahuan mereka seperti yang diharapkan, yang dapat mempengaruhi kualitas pekerjaan dan kinerja mereka</t>
  </si>
  <si>
    <t>Karena adanya keterlambatan informasi terkait waktu pelatihan atau mendadaknya pengumuman pelaksanaan pelatihan, mungkin anggota SPI sulit menyesuaikan jadwal pelaksanaan pelatihan sehingga kegiatan koordinasi dan peningkatan SDM gagal dilaksanakan</t>
  </si>
  <si>
    <t>1. Memastikan bahwa jadwal pelatihan disampaikan dengan cepat dan tepat waktu melalui saluran komunikasi yang efektif. 
2. Memastikan bahwa anggota SPI diberikan waktu yang cukup untuk menyesuaikan jadwal pelatihan mereka sebelum pelatihan dimulai. 
3. Menyediakan alternatif jadwal pelatihan atau opsi pelatihan online untuk membantu anggota SPI menyesuaikan jadwal mereka. 4. Melakukan evaluasi secara berkala untuk memantau dan memperbaiki proses pelatihan untuk memastikan bahwa anggota SPI dapat mengikuti pelatihan dan meningkatkan keterampilan dan pengetahuan mereka dengan efektif.</t>
  </si>
  <si>
    <t>SPI-14</t>
  </si>
  <si>
    <t>Penyusunan Laporan Hasil Pengawasan Internal Triwulan IV Tahun 2025 di Politeknik Negeri Malang - SPI</t>
  </si>
  <si>
    <t>SPI-15</t>
  </si>
  <si>
    <t>PENYUSUNAN POS DAN PENYEMPURNAAN PROSES BISNIS SATUAN PENGAWAS INTERNAL TAHUN 2025 POLITEKNIK NEGERI MALANG - SPI</t>
  </si>
  <si>
    <t>1. SPI (Satuan Pengawasan Internal) tidak memiliki pedoman atau standar kerja yang terstruktur, sehingga pelaksanaan tugas dan fungsi SPI menjadi tidak optimal.
2. Tanpa POS dan proses bisnis yang jelas, SPI tidak dapat bekerja secara efisien dalam mengawasi, mengevaluasi, dan memberikan rekomendasi perbaikan atas kinerja organisasi.
3. Tidak adanya panduan yang jelas meningkatkan kemungkinan pelaksanaan kegiatan SPI yang tidak sesuai dengan regulasi atau standar yang berlaku.</t>
  </si>
  <si>
    <t>karena kurangnya SDM yang memahami terkait POS SPI mungkin kurangnya informasi atau data sumber yang diperlukan dalam penyusunan POS dan probis SPI sehingga POS dan proses bisnis SPI Tidak tersusun.</t>
  </si>
  <si>
    <t>Untuk mengatasi risiko tersebut, diperlukan langkah-langkah mitigasi seperti pelatihan dan pengembangan SDM, pengumpulan data dan informasi secara sistematis, serta penyusunan POS dan proses bisnis yang melibatkan semua pihak terkait.</t>
  </si>
  <si>
    <t>SPI-16</t>
  </si>
  <si>
    <t>Rapat Tinjauan Manajemen Hasil Pengawasan Internal Tahun 2025 Politeknik Negeri Malang - SPI</t>
  </si>
  <si>
    <t>Pimpinan mungkin tidak dapat membuat keputusan yang tepat dan cepat berdasarkan informasi yang tepat dan akurat, yang dapat mempengaruhi kualitas pengambilan keputusan dan kinerja Politeknik Negeri Malang secara keseluruhan.</t>
  </si>
  <si>
    <t>Kerena ada keterlambatan masuknya data dan informasi yang diperlukan untuk pelaksanaan kegiatan pengawasan, mungkin penyusunan hasil pengawasan yang disampaikan ke pimpinan belum selesai sehingga pelaksanaan rapat tinjauan manajemen terlambat dilaksanakan</t>
  </si>
  <si>
    <t>1. Memastikan bahwa sistem pengumpulan data dan informasi yang digunakan efektif dan dapat memastikan bahwa data dan informasi diterima tepat waktu. 
2. Memastikan bahwa tim pengawasan memiliki kemampuan dan sumber daya yang diperlukan untuk menyusun hasil pengawasan dengan tepat waktu. 
3. Memastikan bahwa jadwal pelaksanaan rapat tinjauan manajemen disampaikan dengan jelas dan tepat waktu kepada semua pihak yang terkait. 
4. Melakukan evaluasi secara berkala untuk memantau dan memperbaiki sistem pengumpulan data dan informasi dan prosedur pengawasan untuk memastikan bahwa hasil pengawasan dapat disusun dan disampaikan dengan tepat waktu.</t>
  </si>
  <si>
    <t>UPA Pengembangan Karir dan Kewirausahaan-3</t>
  </si>
  <si>
    <t>Entrepreneur Festival (Efest) 2025 - UPA Pengembangan Karir dan Kewirausahaan</t>
  </si>
  <si>
    <t>1. publikasi yang terlambat 
2. kurangnya peserta lomba.</t>
  </si>
  <si>
    <t>karena jadwal kegiatan dan publikasi yang tidak sesuai jadwal yang di rencanakan sehingga menyebabkan resiko publikasi yang terlambat dan kurangnya peserta lomba.</t>
  </si>
  <si>
    <t>1. penyusunan tim panitia yang kompeten
2. jadwal pelaksanaan kegiatan tepat waktu
3. publikasi dilakukan lebih awal
4. koordinasi dengan baik</t>
  </si>
  <si>
    <t>UPA Perpustakaan-2</t>
  </si>
  <si>
    <t>Pengadaan Jurnal Nasional Terakreditasi - UPA Perpustakaan</t>
  </si>
  <si>
    <t>Civitas Akademika tidak bisa mengakses jurnal terakreditasi</t>
  </si>
  <si>
    <t>Karena tidak memiliki data base tentang penyedia jurnal terakreditasi yang bisa dipercaya mungkin tidak ada pemetaan terkait dengan penyedia jurnal terakreditasi sehingga kegiatan pengadaan jurnal terakreditasi tidak bisa dilaksanakan.</t>
  </si>
  <si>
    <t>Melakukan pemetaan terkait dengan penyedia jurnal terakreditasi, dan melakukan komunikasi dengan Jurusan atau Pemustaka</t>
  </si>
  <si>
    <t>UPA Perpustakaan-3</t>
  </si>
  <si>
    <t>Pengadaan e-book Aksara - UPA Perpustakaan</t>
  </si>
  <si>
    <t>Civitas Akademika tidak bisa bertambah pengetahuannya karena koleksi eBook atau buku perpustakaan tidak bertambah.</t>
  </si>
  <si>
    <t>Karena tidak memiliki data base tentang penyedia e-book yang bisa dipercaya mungkin tidak ada pemetaan terkait dengan penyedia e-book sehingga kegiatan pengadaan e-book tidak bisa dilaksanakan.</t>
  </si>
  <si>
    <t>Melakukan pemetaan terkait dengan penyedia ebook, dan melakukan komunikasi dengan Jurusan atau Pemustaka.</t>
  </si>
  <si>
    <t>UPA Perpustakaan-4</t>
  </si>
  <si>
    <t>Pembuatan Kafetaria - UPA Perpustakaan - UPA Perpustakaan</t>
  </si>
  <si>
    <t>Pemustaka atau pengunjung Gedung Graha jika ingin membeli makan atau minum akan keluar gedung graha sehingga potensi pendapatan keuangan Perpustakaan akan hilang.</t>
  </si>
  <si>
    <t>Karena Tidak memiliki data base terkait dengan penyedia disain dan pembuatan kafetaria mungkin karena belum dilakukan pemetaan terhadap penyedia pembuatan kafetaria sehingga kegiatan Pembuatan Kafetaria tidak bisa dilaksanakan.</t>
  </si>
  <si>
    <t>Melakukan koordinasi dengan Wadir 2 agar segera dibuatkan Kafetaria di Perpustakaan.</t>
  </si>
  <si>
    <t>UPA Perpustakaan-5</t>
  </si>
  <si>
    <t>Penyusunan Dokumen dan Pemutakhiran SOP Perpustakaan - UPA Perpustakaan</t>
  </si>
  <si>
    <t>Pemustaka atau tamu yang akan berkunjung ke Perpustakaan tidak akan mengalami kesulitan. Selain itu, dengan adanya Buku Pedoman Perpustakaan maka pemustaka mendapat arah yang jelas dalam pemanfaatan layanan yang diberikan oleh perpustakaan.</t>
  </si>
  <si>
    <t>Karena Tidak memiliki data base terkait dengan percetakan yang memiliki reputasi bagus sehingga penyusunan Dokumen dan Pemutakhiran SOP tidak bisa dilaksanakan yang berdampak terhadap tamu atau orang luar yang akan menuju perpustakaan mengalami kesulitan. Selain itu, pemustaka juga akan mengalami kesulitan jika akan mengurus berbagai hal yang terkait dengan perpustakaan.</t>
  </si>
  <si>
    <t>Melakukan koordinasi terkait dengan berbagai SOP yang telah dimiliki, bekerjasama dengan UPA Percetakan &amp; Penerbitan untuk melakukan pencetakan Buku Pedoman Perpustakaan</t>
  </si>
  <si>
    <t>UPA TIK-3</t>
  </si>
  <si>
    <t>Pelatihan Monitoring dan Troubleshooting TIK di Jurusan - UPA TIK</t>
  </si>
  <si>
    <t>Pelayanan akan terhambat</t>
  </si>
  <si>
    <t>Monitoring dan troubleshooting Jaringan masih terpusat di UPA TIK</t>
  </si>
  <si>
    <t>Adanya bantuan dari jurusan terkait Monitoring dan troubleshooting Jaringan</t>
  </si>
  <si>
    <t>UPA TIK-4</t>
  </si>
  <si>
    <t>Pelatihan Pengelolaan Website Jurusan - UPA TIK</t>
  </si>
  <si>
    <t>Konten dan keamanan website jarang update</t>
  </si>
  <si>
    <t>Perbedaan platform website di unit kerja dan pengelola yang sering berganti-ganti</t>
  </si>
  <si>
    <t>Penyamaan template dan platform mempermudah pengelolaan website</t>
  </si>
  <si>
    <t>WADIR II-16</t>
  </si>
  <si>
    <t>PENYELNGGARAAN OPERASIONAL - PIMPINAN DAN LEMBAGA</t>
  </si>
  <si>
    <t>Operasional pimpinan dan lembaga dilaksanakan tidak efektif dan berlebihan</t>
  </si>
  <si>
    <t>Karena kurang dipahaminya perencanaan kegiatan oleh pimpinan mungkin Terdapat penambahan kegiatan diluar perencanaan sehingga Operasional Pimpinan dan lembaga tidak dilaksanakan secara tertib.</t>
  </si>
  <si>
    <t>Adanya kontrol dan pengawasan pelaksanaan kegiatan sesuai dengan yang direncanakan di awal</t>
  </si>
  <si>
    <t>WADIR II-26</t>
  </si>
  <si>
    <t>PEMELIHARAAN/PENGADAAN RAHAP/RENOVASI GEDUNG/BANGUNAN</t>
  </si>
  <si>
    <t>Melakukan persiapan data dukung RAB dan HPS secara lengkap dan lebih awal.</t>
  </si>
  <si>
    <t>Karena Rapat koordinasi antara user, rumah tangga dan PPK tidak dilakukan pada awal tahun anggaran mungkin Analisis kebutuhan pemeliharaan/pengadaan rehap/renovasi gedung/bangunan tidak mempertimbangkan identifikasi sehingga kegiatan dilakukan tidak sesuai dengan prioritas.</t>
  </si>
  <si>
    <t>Kontrol kesiapan RAB, timeline dan tersedianya vendor agar pelaksanaan Pemerihaaraan/Pengadaan Rehap/Renovasi Gedung/Bangunan dapat diproses berdasarkan prioritas.</t>
  </si>
  <si>
    <t>WADIR II-27</t>
  </si>
  <si>
    <t>PEMELIHARAAN PERALATAN PENDUKUNG PERKANTORAN - WADIR II - WADIR II</t>
  </si>
  <si>
    <t>Karena Rapat koordinasi antara user, rumah tangga dan PPK tidak dilakukan pada awal tahun anggaran mungkin Analisis kebutuhan pemeliharaan peralatan pendukung perkantoran tidak mempertimbangkan identifikasi sehingga Pemeliharaan peralatan pendukung perkantoran dilakukan tidak sesuai dengan prioritas.</t>
  </si>
  <si>
    <t>Adanya kontrol kesiapan RAB dan timeline agar pelaksanaan perawatan peralatan pendukung perkantoran dapat diproses sesuai prioritas</t>
  </si>
  <si>
    <t>WADIR II-46</t>
  </si>
  <si>
    <t>PEMBANGUNAN GEDUNG DAN BANGUNAN PENDUKUNG PERKANTORAN - WADIR II - WADIR II</t>
  </si>
  <si>
    <t>Melakukan persiapan data dukung RAB dan HPS secara lengkap dan lebih awal</t>
  </si>
  <si>
    <t>Karena Data dukung penting untuk pengadaan tidak segera tersedia mungkin Kelengkapan berkas pengadaan terlambat sehingga Pembangunan Gedung dan Bangunan Pendukung Perkantoran tidak selesai.</t>
  </si>
  <si>
    <t>Menyiapkan RAB dan timeline agar pelaksanaan pembangunan gedung dan bangunan pendukung perkantoran dapat selesai tepat pada waktunya.</t>
  </si>
  <si>
    <t>WADIR II-47</t>
  </si>
  <si>
    <t>PENGADAAN MEUBELAIR PENDUKUNG PEMBELAJARAN - WADIR II</t>
  </si>
  <si>
    <t>Karena kurangnya koordinasi antara tim teknis dan user mungkin tidak ada koordinasi awal dasar pemesanan sehingga pengadaan mebelair pembelajaran yang datang tidak sesuai ketentuan kebutuhan, TKDN dan Spesifikasi.</t>
  </si>
  <si>
    <t>Kontrol kesiapan KAK, RAB, HPS dan proses pengajuan melalui aplikasi agar pelaksanaan Pengadaan Mebelair Pendukung Pembelajaran dapat berjalan jalan dan segera terealisasi</t>
  </si>
  <si>
    <t>WADIR II-48</t>
  </si>
  <si>
    <t>PENGADAAN MEUBELAIR PENDUKUNG PERKANTORAN - WADIR II</t>
  </si>
  <si>
    <t>Karena kurangnya koordinasi antara RT dan tim teknis mungkin tidak ada koordinasi awal untuk dasar pemesanan mebelair perkantoran sehingga pengadaan mebelair perkantoran yang datang tidak sesuai kebutuhan</t>
  </si>
  <si>
    <t>Membuat SOP, mengontrol kesiapan KAK, RAB dan HPS agar proses Pengadaan Mebelair Pendukung Perkantoran dapat segera berjalan dan segera terealisasi</t>
  </si>
  <si>
    <t>WADIR III-7</t>
  </si>
  <si>
    <t>Pemberian Penghargaan Prestasi Mahasiswa - WADIR III</t>
  </si>
  <si>
    <t>1. Jumlah mahasiswa yang mengikuti ajang perlombaan nasional dan internasional belum bisa semaksimal mungkin (&lt;1% jumlah mahasiswa) 
2. Kurangnya kontribusi ke IKU 2 dan 3</t>
  </si>
  <si>
    <t>KARENA Belum banyak mahasiswa yang mengetahui informasi tentang adanya penghargaan prestasi, MUNGKIN Jumlah mahasiswa yang berminat untuk mengikuti ajang perlombaan tingkat nasional dan internasional belum banyak, SEHINGGA Program Pemberian Penghargaan Prestasi Mahasiswa tidak efektif meningkatkan prestasi mahasiswa</t>
  </si>
  <si>
    <t>1. Sosialisasi yang menyeluruh dan intensif kepada para mahasiswa tentang program pengahrgaan prestasi 
2. Mendorong dosen untuk membimbing mahasiswa ke lomba-lomba nasional dan internasional</t>
  </si>
  <si>
    <t>WADIR III-8</t>
  </si>
  <si>
    <t>Pelaksanaan Kegiatan Penunjang dan Kelengkapan Mahasiswa Baru Angkatan Tahun 2025 - WADIR III</t>
  </si>
  <si>
    <t>1. Mahasiswa kurang disiplin 
2. Mahasiswa kurang mengenal kampusnya 
3. Mahasiswa tidak begitu berminat mengembangkan softskill</t>
  </si>
  <si>
    <t>KARENA Mahasiswa belum/tidak menyadari pentingnya mengikuti LDK dan orientasi studi, MUNGKIN Mahasiswa kurang bersemangat dan kurang serius dalam mengikuti program-program LDK dan Prastudi, SEHINGGA Pelaksanaan Kegiatan Penunjang dan Kelengkapan Mahasiswa Baru Angkatan Tahun 2025 tidak dapat berjalan dengan efektif</t>
  </si>
  <si>
    <t>1. Sosialisasi kesadaran akan pentingnya orientasi dan LDK 
2. Memberikan materi yg relevan dengan perkembangan generasi terkini 
3. Memberikan materi yg relevan dengan perkembangan lingkungan terkini 
4. Menerapkan sistem humanis agar mahasiswa merasa senang mengikuti kegiatan LDK dan orientasi</t>
  </si>
  <si>
    <t>WADIR III-11</t>
  </si>
  <si>
    <t>Peningkatan Pemberdayaan Himpunan Mahasiswa Jurusan (HMJ) - WADIR III - WADIR III</t>
  </si>
  <si>
    <t>1. Pelaporan keuangan yang menyulitkan bagian keuangan di akhir tahun 
2. Adanya kegiatan yang tidak terlaksana</t>
  </si>
  <si>
    <t>KARENA Periode kepengurusan himpunan mahasiswa jurusan dimulai pada triwulan kedua, MUNGKIN Pelaksanaan program kerja himpunan mahasiswa jurusan pada umumnya diselenggarakan pada akhir tahun anggaran, SEHINGGA Program kerja Peningkatan Pemberdayaan Himpunan Mahasiswa Jurusan (HMJ) tidak dapat berjalan dengan baik</t>
  </si>
  <si>
    <t>KARENA pelaksanaan program kerja organisasi kemahasiswaan pada umumnya diselenggarakan pada akhir tahun anggaran, MAKA ALTERNATIF SOLUSINYA ADALAH: 
1. Mengarahkan agar program kerja organisasi kemahasiswaan pelaksanaannya disebar ke awal dan pertengahan tahun. 
2. Program kerja yang tidak dapat dilaksanakan selain di akhir tahun, diminta untuk tidak menggunakan dana dari anggaran bidang 3.</t>
  </si>
  <si>
    <t>WADIR III-12</t>
  </si>
  <si>
    <t>Peningkatan Pemberdayaan Program Kelembagaan Tinggi (BEM dan DPM) - WADIR III - WADIR III - WADIR III</t>
  </si>
  <si>
    <t>KARENA Periode kepengurusan BEM dan DPM dimulai pada triwulan kedua, MUNGKIN Pelaksanaan program kerja BEM dan DPM pada umumnya diselenggarakan pada akhir tahun anggaran, SEHINGGA Program kerja Peningkatan Peningkatan Pemberdayaan Program Kelembagaan Tinggi (BEM dan DPM) tidak dapat berjalan dengan baik</t>
  </si>
  <si>
    <t>WADIR III-17</t>
  </si>
  <si>
    <t>Peningkatan Pemberdayaan Unit Kegiatan Mahasiswa (UKM) - WADIR III - WADIR III</t>
  </si>
  <si>
    <t>KARENA Periode kepengurusan Unit Kegiatan Mahasiswa (UKM) dimulai pada triwulan kedua, MUNGKIN Pelaksanaan program kerja Unit Kegiatan Mahasiswa (UKM) pada umumnya diselenggarakan pada akhir tahun anggaran, SEHINGGA Program kerja Peningkatan Peningkatan Pemberdayaan Unit Kegiatan Mahasiswa (UKM) tidak dapat berjalan dengan baik</t>
  </si>
  <si>
    <t>BAK-1</t>
  </si>
  <si>
    <t>Pemutakhiran dan Penyusunan SOP Data Pembayaran UKT tahun 2025 - BAK</t>
  </si>
  <si>
    <t>LOW</t>
  </si>
  <si>
    <t>Input pada SIPUK terlambat diselesaikan karena modul belum ditambahkan; Generate hasil akhir pembayaran mahasiswa belum dapat dilakukan; Setting pembayaran mahasiswa dengan Bank juga bisa tidak tepat waktu</t>
  </si>
  <si>
    <t>Karena kurangnya SDM pada tim TIK sebagai pendukung pelaksanaan pemutakhiran data pembayaran mungkin belum adanya data pembayaran hasil rekon antara bagian akademik dan bagian keuangan sehingga menyebabkan pemutakhiran data pembayaran mahasiswa tidak dapat dilakukan tepat waktu</t>
  </si>
  <si>
    <t>Akademik memerlukan IT yang memiliki hak akses untuk membantu tim IT yang beban kerjanya tinggi sesuai kebijakan yang diatur dalam blue print; atau menempatkan 1 orang IT khusus di UPA TIK untuk menangani kebutuhan SIAKAD dan SIPUK</t>
  </si>
  <si>
    <t>BAK-2</t>
  </si>
  <si>
    <t>Pemutakhiran Data dan Desain Buku Induk Mahasiswa Baru Tahun 2025 - BAK</t>
  </si>
  <si>
    <t>Validitas data tidak terpenuhi karena terdapat mahasiswa baru yang mengundurkan diri; Buku induk dapat dicetak melebihi jadual semester awal maba masuk</t>
  </si>
  <si>
    <t>Karena pengunduran diri maba di tengah jalur penerimaan lain masih dibuka atau sebelum semester I berakhir mungkin validiitas database mahasiswa yang berubah-ubah sehingga waktu penyusunan buku induk mahasiswa baru tahun 2024 perlu disesuaikan dan terlaksana tidak tepat waktu</t>
  </si>
  <si>
    <t>Mekanisme penyusunan buku induk dirancang dan ditetapkan dengan cut off berakhirnya jalur penerimaan maba terakhir dan setelah proses daftar ulang selesai</t>
  </si>
  <si>
    <t>BAK-3</t>
  </si>
  <si>
    <t>Penyempurnaan Dokumen SOP Layanan Akademik dan Kemahasiswaan di Lingkungan Politeknik Negeri Malang - BAK</t>
  </si>
  <si>
    <t>Penyusunan SOP menunggu persetujuan cukup lama di meja pimpinan; Kegiatan penyusunan dimungkinkan mundur dari jadual semula</t>
  </si>
  <si>
    <t>Karena penyempurnaan SOP diharapkan sudah memenuhi azas kepastian dan tidak mudah dilanggar dan hal ini mungkin adanya keputusan dan persetujuan dari pimpinan setelah diidentifikasi dalam waktu yang agak lama sehingga hal ini dapat menyebabkan pelaksanaan kegiatan terlambat dilakukan</t>
  </si>
  <si>
    <t>Pengerjaan dokumen SOP yang bervariasi dan banyak dapat dilakukan di sela-sela kegiatan rutin dan perlu membuat timeline menyesuaikan jadual kerja pimpinan</t>
  </si>
  <si>
    <t>BAK-4</t>
  </si>
  <si>
    <t>Penyusunan Dokumen Pemutakhiran Informasi Akademik Baseline Tahun 2025 - BAK</t>
  </si>
  <si>
    <t>Proses identifikasi data yang diperlukan dapat berjalan mundur; Proses editing sampai penggadaan dapat melebihi waktu jika dibutuhkan oleh prodi utk mendukung proses akreditasi</t>
  </si>
  <si>
    <t>Karena jumlah tim akademik sebagai penyusun pemutakhiran data sangat terbatas mungkin proses identifikasi data statistik akademik tidak dapat dilakukan cepat sehingga penyusunan dokumen pemutakhiran informasi data akademik baseline 2024 dapat melebihi waktu yang ditentukan</t>
  </si>
  <si>
    <t>Usulan penambahan tenaga administratif yang cekatan dan memenuhi kebutuhan untuk adaptasi teknologi sehingga penyusunan data statistik akademik lebih mudah</t>
  </si>
  <si>
    <t>BAK-7</t>
  </si>
  <si>
    <t>Workshop, Rekonsiliasi, dan Finalisasi Penyusunan Laporan PDDIKTI Semester 20241 Ganjil-Akhir - BAK</t>
  </si>
  <si>
    <t>Kurangnya tingkat penyelesaian kasus-kasus akademik secara tepat; Validasi tidak sesuai timeline per jurusan; Pelaporan status mahasiswa secara terpusat terancam tidak 100% dan tidak tepat waktu</t>
  </si>
  <si>
    <t>Karena tenaga akademik yang saat ini dimiliki program studi mempunyai kompetensi yang berbeda-beda dan mungkin hal ini menyebabkan tingkat kecepatan dan validasi database status mahasiswa juga berbeda-beda sehingga pelaksanaan kegiatan workshop, rekonsiliasi, dan finalisasi penyusunan laporan PDDIKTI periode semester genap-akhir tidak dilakukan tepat waktu</t>
  </si>
  <si>
    <t>Memberikan kesempatan bagi para personil administrasi akademik untuk mengikuti berbagai kegiatan bimbingan teknis penyusunan pelaporan PDDIKTI</t>
  </si>
  <si>
    <t>BAK-8</t>
  </si>
  <si>
    <t>Workshop, Rekonsiliasi, dan Finalisasi Penyusunan Laporan PDDIKTI Semester 20242 Genap-Akhir - BAK</t>
  </si>
  <si>
    <t>BPKU-1</t>
  </si>
  <si>
    <t>Rekonsiliasi Internal Aset dan Keuangan</t>
  </si>
  <si>
    <t>penyelesaian pelaporan Keuangan terkait BMN per Semester tidak dapat selesai tepat waktu</t>
  </si>
  <si>
    <t>Karena kurangnya data nara sumber yang memiliki kompetensi sesuai dengan yang dibutuhkan mungkin rekonsiliasi internal Aset dan keuangan laporan semester belum dapat dilaksanakan dengan baik sehingga rekonsiliasi internal Aset dan keuangan laporan semester belum dapat dilaksanakan tepat waktu</t>
  </si>
  <si>
    <t>perlu pembuatan laporan triwulan agar proses laporan per semester akan jauh lebih muda</t>
  </si>
  <si>
    <t>BPKU-2</t>
  </si>
  <si>
    <t>Monitoring dan Evaluasi Program Kegiatan di Lingkungan Polinema - BPKU</t>
  </si>
  <si>
    <t>Pelaksanaan evaluasi dan monitoring program dan kegiatan tidak dapat berjalan dengan baik</t>
  </si>
  <si>
    <t>Karena pelaksanaan kegiatan ini membutuhkan koordinasi dengan unit/ bagian jurusan lain mungkin akan terkendala pada jadwal koordinasi yang tidak berjalan secara maksimal maka monev pelaksanaan program tidak dapat berjalan dengan baik</t>
  </si>
  <si>
    <t>pelaksanaan kegiatan ini membutuhkan adanya koordinasi yang baik antar unit/ bagian dan masing-masing jurusan agar pelaksanaan Monitoring dan Evaluasi pelaksanaan program dan kegiatan dapat berjalan dengan baik</t>
  </si>
  <si>
    <t>BPKU-5</t>
  </si>
  <si>
    <t>Monitoring Evaluasi, Pemuktahiran Dokumen POS dan Sinkornisasi Peta Proses Bisnis Jajaran BPKU Politeknik Negeri Malang (POKJA ORTALA)</t>
  </si>
  <si>
    <t>Sejak penyusunan dan penelusuran POS/ SOP yang ada selama ini oleh Kelompok Kerja Organisasi dan Ketatalaksanaan sampai tahun 2024 masih ditemukan beberapa Bagian, Unit dan kantor Pusat (SPI, P2MPP, P3M) yang belum melengkapi POS/ SOP masing-masing sesuai Peta Proses Bisnis Polinema th. 2023
Pada tahun 2024 Kelompok Kerja ORTALA telah melakukan pemutakhiran Peta Proses Bisnis dan khususnya Probis level 4 (SOP) pada Struktur dan tata Kelola di Politeknik Negeri Malang.
Kurangnya kontrol Internal tentang POS/ SOP dimasing-masing Unit mungkin kurangnya informasi dari Pokja Organisasi dan TataLaksana terkait pentingnya penyusunan POS/ SOP dan keterkaitannya dengan Peta Proses Bisnis kepada Unit/ Pokja/ Jurusan yang ada di Polinema sehingga tidak adanya keseragaman dan tidak terpusatnya penyimpanan data tentang POS/ SOP di Polinema dan jika masih terdapat kekurangan makan dilaksanakan kegiatan serupa di Tahun Anggaran 2025.</t>
  </si>
  <si>
    <t>Masih terdapat Kelompok Kerja/ Unit yang belum melengkapi POS sesuai dengan Probis Polinema level 4.</t>
  </si>
  <si>
    <t>Kelompok Kerja Organisasi dan Ketatalaksanaan melakukan monitoring dan evaluasi setiap tahunnya untuk membantu Ka Bagian, Ka. UPA, Ka. Pusat memantau ketersediaanya SOP apakah sudah sesuai dengan Probis, apakah perlu ditambahkan ataukah ada yang perlu dihilangkan prosesnya.</t>
  </si>
  <si>
    <t>BPKU-9</t>
  </si>
  <si>
    <t>Pengadaan Sarana Sosialisasi (Leaflet Profil )</t>
  </si>
  <si>
    <t>Polinema tidak memiliki leaflet dengan informasi terbaru sehingga berdampak pada menurunnya kualitas dan kuntitas pendaftar SPMB</t>
  </si>
  <si>
    <t>Karena kurangnya koordinasi internal institusi mungkin Tidak ada informasi dari Jurusan dan Prodi dan tidak terdapat materi untuk pembuatan profil sehingga Pengadaan Sarana Sosialisasi (Leaflet Profil) Tahun 2024 tidak berjalan</t>
  </si>
  <si>
    <t>Melakukan koordinasi internal Polinema terkait materi dan informasi yang akan disampaikan di leaflet   
Memaksimalkan penyampaian informasi melalui media sosial resmi POLINEMA, website, dan WA Center Humas</t>
  </si>
  <si>
    <t>BPKU-10</t>
  </si>
  <si>
    <t>Pengambilan Sumpah Janji ASN</t>
  </si>
  <si>
    <t>Tidak terlaksananya Pengambilan Sumpah/Janji tendik/dosen CPNS dan P3K</t>
  </si>
  <si>
    <t>Karena tidak ada koordinasi antara Pokja Protokoler dengan Pokja Kepegawaian mungkin tidak ada informasi tendik/dosen CPNS dan P3K yang akan diambil sumpah janji sehingga Pengambilan Sumpah/Janji tidak terlaksana</t>
  </si>
  <si>
    <t>Melaksanakan koordinasi dengan Pokja Kepegawaian</t>
  </si>
  <si>
    <t>BPKU-11</t>
  </si>
  <si>
    <t>Publikasi / Ucapan Papan Letter</t>
  </si>
  <si>
    <t>Berkurangnya kuantitas ucapan Publikasi/ Ucapan Papan Leter sehingga adanya penurunan kuantitas dan kualitas pendaftar SPMB</t>
  </si>
  <si>
    <t>Karena kurangnya koordinasi internal dan eksternal terkait Publikasi/ Ucapan Papan Leter, mungkin tidak ada informasi Publikasi/ Ucapan Papan Leter untuk peningkatan citra sehingga Publikasi/ Ucapan Papan Leter tidak berjalan</t>
  </si>
  <si>
    <t>Melaksanakan koordinasi internal dan eksternal terkait Publikasi/ Ucapan Papan Leter</t>
  </si>
  <si>
    <t>BPKU-12</t>
  </si>
  <si>
    <t>Publikasi di Media Cetak</t>
  </si>
  <si>
    <t>Promosi untuk meningkatkan jumlah pendaftar mahasiswa baru tidak berjalan dengan baik</t>
  </si>
  <si>
    <t>Karena tidak ada publikasi di media cetak mungkin hubungan dengan pihak stakholder dan data yang disajikan sebagai bahan publikasi belum ada sehingga promosi untuk meningkatkan jumlah pendaftar mahasiswa baru tidak berjalan dengan baik</t>
  </si>
  <si>
    <t>Melaksanakan koordinasi dengan Jurusan, Prodi dan Unit terkait kegiatan yang dapat dipublikasikan Memaksimalkan penyampaian informasi melalui media sosial resmi POLINEMA, website, dan WA Center Humas</t>
  </si>
  <si>
    <t>BPKU-13</t>
  </si>
  <si>
    <t>Publikasi di Media Online dan Bantuan Transportasi Liputan Wartawan</t>
  </si>
  <si>
    <t>Karena tidak ada publikasi di media online mungkin hubungan dengan pihak stakholder dan data yang disajikan sebagai bahan publikasi belum ada sehingga promosi untuk meningkatkan jumlah pendaftar mahasiswa baru tidak berjalan dengan baik</t>
  </si>
  <si>
    <t>BPKU-14</t>
  </si>
  <si>
    <t>Workshop Beban Kerja Dalam Rangka Pemetaan Uraian Jabatan di Politeknik Negeri Malang (POKJA ORTALA)</t>
  </si>
  <si>
    <t>Sosialisasi tentang analisis jabatan, analis beban kerja dan peta jabatan merupakan hal yang melekat bagi seorang Karyawan, penjelasan tentang uraian tugas sehari-hari dan beban kerja sehari hari serta pengaruhnya terhadap kelas jabatan inilah yang selalu menjadi pertanyaan dari Karyawan Polinema. Perubahan kelas jabatan karena standart pendidikan akan selalu menjadi ketakutan jika terjadi penurunan kelas/ grade ke remunerasi.</t>
  </si>
  <si>
    <t>Resiko pemahaman yang berbeda tentang kebutuhan kelas pendidikan terhadap kelas jabatan.</t>
  </si>
  <si>
    <t>Dengan adanya Sosialisasi atau Workshop Optimalisasi Beban Kerja Dalam Rangka Pemetaan Uraian Jabatan di Politeknik Negeri Malang diharapkan teman-teman Tenaga Kependidikan khususnya, mengetahui bahwa kelas jabatan yang ada dan apakah sudah sesuai dengan tugas dan fungsi pekerjaan masing-masing.</t>
  </si>
  <si>
    <t>BPKU-15</t>
  </si>
  <si>
    <t>Pelantikan Pejabat Administrator dan Pengawas</t>
  </si>
  <si>
    <t>Pelantikan Pejabat Administrator dan Pengawas tidak terlaksana dan pekerjaan yang terkait dengan tugas dan fungsi pejabat yang akan dilantik mungkin akan terhambat</t>
  </si>
  <si>
    <t>Karena tidak ada koordinasi antara Pokja Protokoler dengan Pokja Kepegawaian mungkin tidak ada informasi pejabat administrator dan pengawas yang akan dilantik sehingga Pelantikan Pejabat Administrator dan Pengawas tidak terlaksana</t>
  </si>
  <si>
    <t>BPKU-17</t>
  </si>
  <si>
    <t>Pembuatan Spanduk Peringatan Hari Besar Keagamaan,</t>
  </si>
  <si>
    <t>Berkurangnya kuantitas ucapan Peringatan Hari Besar Keagamaan Nasional Dan Institusi sehingga adanya penurunan kuantitas dan kualitas pendaftar SPMB</t>
  </si>
  <si>
    <t>Karena kurangnya koordinasi internal dan eksternal terkait publikasi Hari Besar Keagamaan Nasional Dan Institusi, mungkin tidak ada informasi publikasi Hari Besar Keagamaan Nasional Dan Institusi untuk peningkatan citra sehingga Pembuatan Baliho Peringatan Hari Besar Keagamaan Nasional Dan Institusi tidak berjalan</t>
  </si>
  <si>
    <t>Melaksanakan koordinasi internal dan eksternal terkait Peringatan Hari Besar Keagamaan Nasional Dan Institusi</t>
  </si>
  <si>
    <t>BPKU-18</t>
  </si>
  <si>
    <t>Pemutakhiran Pelabelan Barang Inventaris</t>
  </si>
  <si>
    <t>Kesulitan dalam menentukan letak barang sehingga kemungkinan hilang sangat besar</t>
  </si>
  <si>
    <t>Karena barang/peralatan BMN tidak diberi label mungkin pelabelan belum dapat dilakukan karena terkendala aplikasi atau kertas labelnya sehingga barang/peralatan BMN kesulitan dilacak posisinya dan kemungkinan hilang sangat besar</t>
  </si>
  <si>
    <t>Perlu membuat ruangan yang lebih representatif untuk meletakkan barang BMN</t>
  </si>
  <si>
    <t>BPKU-19</t>
  </si>
  <si>
    <t>Publikasi Ucapan di Media Cetak</t>
  </si>
  <si>
    <t>Berkurangnya kuantitas ucapan Publikasi/ Ucapan Papan Letersehingga adanya penurunan kuantitas dan kualitas pendaftar SPMB</t>
  </si>
  <si>
    <t>Karena kurangnya koordinasi internal dan eksternal terkait Publikasi Ucapan Di Media Cetak, mungkin tidak ada informasi Publikasi Ucapan Di Media Cetak untuk peningkatan citra sehingga Publikasi Ucapan Di Media Cetak tidak berjalan</t>
  </si>
  <si>
    <t>BPKU-21</t>
  </si>
  <si>
    <t>Pengadaan Folder Arsip Map dan Troli - BPKU</t>
  </si>
  <si>
    <t>Dengan belum adanya troly proses penyusunan arsip belum dapat maksimal dikarena terhambat dalam proses pemidahan</t>
  </si>
  <si>
    <t>Karena belum adanya alat bantu Troly untuk mengangkut dokumen arsip dari kendaraan ke tempat arsip mungkin proses pemindahan arsip dapat terhambat sehingga dapat memperpanjang waktu pemindahan arsip dari satu tempat ketempat penyimpanan arsip permanan.</t>
  </si>
  <si>
    <t>Pengadaan troly dan folder map dapat lebih mengoptimalkan proses pengarsipan sesuai ketentuan yang di tetapkan oleh ANRI</t>
  </si>
  <si>
    <t>BPKU-22</t>
  </si>
  <si>
    <t>PERENCANAAN DAN MONEV: Rapat Kerja Program dan Anggaran INDIKATIF 2026 - BPKU</t>
  </si>
  <si>
    <t>Penyusunan Program dan Anggaran Indikatif tahun 2025 POLINEMA tidak berjalan dengan baik</t>
  </si>
  <si>
    <t>Apabila rapat kerja penyusunan anggaran indikatif tidak terlaksana, maka proses konfirmasi dan finalisasi anggaran yang disusun unit kerja tidak dapat dilaksanakan sehingga berdampak pada kualitas anggaran indikatif Polinema TA 2026</t>
  </si>
  <si>
    <t>1. Koordinasi dan pemantauan pelaksanaan proses telaah
2. koordinasi pelaksanaan rapat kerja untuk memastikan pelaksanan raker dan proses penyusunan anggaran indikatif 2026 berjalan dengan baik.</t>
  </si>
  <si>
    <t>BPKU-23</t>
  </si>
  <si>
    <t>Penghapusan BMN</t>
  </si>
  <si>
    <t>Neraca BMN akan tampak sangat besar didalam Laporan Keuangan dengan kondisi barang rusak berat yang tidak dapat dimanfaatkan secara optimal untuk mendukung layanan pembelajaran dan perkantoran di lingkungan Polinema</t>
  </si>
  <si>
    <t>Penghapusan BMN yang tidak dilaksanakan secara berkala berdampak pada besarnya nilai neraca BMN yang ditampilkan di dalam laporan keuangan dengan kondisi barang rusak berat yang tidak dapat dimanfaatkan secara optimal untuk mendukung layanan pembelajaran dan perkantoran di lingkungan Polinema</t>
  </si>
  <si>
    <t>Melaksanakan pendataan kondisi barang, memilah barang rusak berat ke dalam gudang sementara, melaksanakan update kondisi barang dalam laporan serta mengusulkan lelang dan penghapusan BMN sesuai ketentuan yang berlaku.</t>
  </si>
  <si>
    <t>BPKU-26</t>
  </si>
  <si>
    <t>Pembekalan dan Pembinaan Pegawai Purna Tugas Tahun 2024 - 2025 Politeknik Negeri Malang</t>
  </si>
  <si>
    <t>pegawai kesulitan dalam beradaptasi dengan kehidupan baru setelah pensiun, seperti masalah finansial, sosial, dan psikologis.</t>
  </si>
  <si>
    <t>Apabila pembekalan pegawai purna tugas tidak dilaksanakan dapat menyebabkan pegawai kesulitan dalam beradaptasi dengan kehidupan baru setelah pensiun, seperti masalah finansial, sosial, dan psikologis. Selain itu, organisasi dapat kehilangan potensi pengetahuan dan pengalaman yang dimiliki oleh pegawai purna tugas jika tidak ada mekanisme penyerapan pengetahuan yang efektif</t>
  </si>
  <si>
    <t>Pembekalan kepada pegawai yang akan purna tugas dilaksanakan secara rutin</t>
  </si>
  <si>
    <t>BPKU-27</t>
  </si>
  <si>
    <t>Pengawasan Kearsipan Internal Di PSDKU Polinema (Kediri, Lumajang, Pamekasan) - BPKU</t>
  </si>
  <si>
    <t>Dapat mempermudah penyimpanan arsip dan dapat mempermudah pencaian arsip kembali</t>
  </si>
  <si>
    <t>Karena tidak adanya pengawasan kearsipan mungkin karena kurang adanya peralatan pendukung keamanan dan pengetahuan terkait pengawasan kearsipan secara internal sehingga penilaian external untuk penyimpanan dan pengaman arsip masih perlu di sempurnakan</t>
  </si>
  <si>
    <t>Diperlukan adanya pengawasan kearsipan dengan pengadaan tempat arsip dan SDM kearsipan yang disesuaikan dengan kebutuhan</t>
  </si>
  <si>
    <t>D-III   Teknik Listrik-6</t>
  </si>
  <si>
    <t>PEMBUATAN DAN PEMBAHARUAN RPS - D-III Teknik Listrik</t>
  </si>
  <si>
    <t>D-III  Teknik Elektronika-2</t>
  </si>
  <si>
    <t>Persiapan Proses Audit Mutu Internal (AMI) - D-III Teknik Elektronika</t>
  </si>
  <si>
    <t>Dengan meunjuk tim khusus untuk melakukan pengumpulan data dukung secara terorganisir dan termonitor sehingga memudahkan penyusunan laporan kinerja prodi serta memberikan workshop dan pendampingan pembuatan AMI internal.</t>
  </si>
  <si>
    <t>D-III  Teknik Elektronika-6</t>
  </si>
  <si>
    <t>Perawatan dan Perbaikan - D-III Teknik Elektronika</t>
  </si>
  <si>
    <t>Karena Tidak ada data base penyedia jasa perawatan, mungkin tidak mendapat penyedia jasa perawatan alat-alat dan mesin yang baik, sehingga tidak terlaksana pemeliharaan peralatan dan mesin di prodi DIII Teknik Elektronika</t>
  </si>
  <si>
    <t>1. Membuat database penyedia jasa perawatan
2. Pemilihan penyedia jasa yang sesuai
3. Koordinasi dengan penyedia jasa untuk jadwal pelaksanaan perawatan
4. Melakukan pemantauan, perawatan dan perbaikan alat dan mesin secara rutin</t>
  </si>
  <si>
    <t>D-III  Teknik Elektronika-8</t>
  </si>
  <si>
    <t>Penyesuaian Perangkat Kurikulum - D-III Teknik Elektronika</t>
  </si>
  <si>
    <t>menurunnya persentase keberhasilan studi karena kurangnya bahan ajar</t>
  </si>
  <si>
    <t>Karena tidak ada acuan bahan ajar dengan metode pembelajaran CM dan PBL, mungkin SDM untuk menyusun bahan ajar tidak ada, sehingga kegiatan pelatihan pembuatan bahan ajar berbasi CM dan PBL tidak terlaksana</t>
  </si>
  <si>
    <t>memberi pelatihan mengenai pembuatan bahan ajar berbasi CM dan PBL</t>
  </si>
  <si>
    <t>D-III  Teknik Mesin-1</t>
  </si>
  <si>
    <t>Peningkatan kompetensi mahasiswa dalam persiapan lomba/kompetisi &amp; hilirasasi karya tugas akhir mahasiswa- D-III Teknik Mesin</t>
  </si>
  <si>
    <t>Dampak resiko yang terjadi antara lain: 1. Adanya potensi ketidakseimbangan antara peningkatan kompetensi dosen dengan kebutuhan mahasiswa. Misalnya, jika peningkatan kompetensi lebih berfokus pada aspek teoritis tanpa memperhitungkan aplikasi praktis, mahasiswa mungkin kesulitan mengaplikasikan pengetahuan dalam dunia kerja. 2. Peningkatan kompetensi tidak hanya berkaitan dengan aspek akademis, tetapi juga manajemen dan administrasi. Tidak adanya peningkatan kompetensi di bidang ini dapat mempengaruhi efisiensi dan efektivitas manajemen Prodi, yang dapat merugikan operasional keseluruhan. 3. Tidak terlaksananya kegiatan peningkatan kompetensi dapat berdampak negatif pada penilaian akreditasi, yang dapat berpengaruh pada reputasi dan daya tarik Prodi D-III Teknik Mesin.</t>
  </si>
  <si>
    <t>Karena kesulitan menyelaraskan jadwal dosen dan tenaga kependidikan untuk mengikuti pelatihan mungkin tuntutan pekerjaan rutin serta keterbatasan alokasi dana dalam melaksanakan pelatihan sehingga kurangnya antusias dosen &amp; tenaga kependidikan mengikuti kegiatan peningkatan kompetensi.</t>
  </si>
  <si>
    <t>Libatkan pihak-pihak terkait, seperti dosen, tenaga kependidikan, dan pihak administratif, dalam proses perencanaan dan pelaksanaan. Dengan melibatkan mereka, dapat memperoleh dukungan lebih besar dan mengidentifikasi risiko yang mungkin terlewat. Selama pelaksanaan program, lakukan pemantauan terus-menerus terhadap progres dan identifikasi potensi risiko baru. Evaluasi secara berkala akan membantu dalam penyesuaian rencana mitigasi jika diperlukan. Menyiapkan rencana kontinjensi untuk setiap risiko kritis yang dapat mempengaruhi pelaksanaan kegiatan. Ini akan membantu mengatasi kendala yang tidak terduga dengan lebih efektif.</t>
  </si>
  <si>
    <t>D-III  Teknik Mesin-2</t>
  </si>
  <si>
    <t>WORKSHOP PENYUSUNAN LKPS PRODI D3 TEKNIK MESIN - D-III Teknik Mesin</t>
  </si>
  <si>
    <t>Dampak yang terjadi berakibat data yang belum terpenuhi secara maksimal mengakibatkan laporan kinerja Prodi juga berdampak</t>
  </si>
  <si>
    <t>Karena beberapa data isian yang melibatkan eksternal seperti tracer study dari alumni maupun masukan dari stakeholder yang kurang maksimal dalam perolehan data kemungkinan kesibukan alumni di dunia kerja sehingga dokumen dalam pemenuhan kriteria belum maksimum.</t>
  </si>
  <si>
    <t>Upaya bersinergi dengan pihak-pihak terkait yang mendukung dalam kompilasi dokumen perlu lebih digiatkan serta penataan arsip dokumen prodi sehingga data dapat lebih mudah didapat.</t>
  </si>
  <si>
    <t>D-III  Teknik Mesin-4</t>
  </si>
  <si>
    <t>Evaluasi dan Tinjauan Kurikulum MBKM Prodi D3 Teknik Mesin</t>
  </si>
  <si>
    <t>Target jumlah RPS Mata Kuliah yang menggunakan metode team-based project maupun case study disusun oleh dosen sehingga tidak tercapainya target persentase mata kuliah yang menggunakan metode PBL maupun Case Study</t>
  </si>
  <si>
    <t>Karena belum terkoordinasinya antar dosen pengampu mata kuliah yang sama terkait RPS yang memuat PBL dan case study yang selaras dengan kebutuhan DU-DI kemungkinan tidak terlaksana target jumlah RPS Mata Kuliah yang menggunakan metode team-based project maupun case study disusun oleh dosen sehingga tidak tercapainya target persentase mata kuliah yang menggunakan metode PBL maupun Case Study.</t>
  </si>
  <si>
    <t>Dilakukan kegiatan berupa workshop khusus untuk melengkapi perbaikan perangkat kurikulum untuk semua mata kuliah dan semua semester untuk Prodi d3 Teknik Mesin</t>
  </si>
  <si>
    <t>D-III  Teknik Mesin-5</t>
  </si>
  <si>
    <t>Penguatan Kolaburasi Kerjasama Pendidikan, Riset &amp; PPM dengan Universitas Vokasi di Malaysia - D3 Teknik Mesin</t>
  </si>
  <si>
    <t>Namun demikian, secara umum, ketidaklaksanaan atau ketidakberlanjutan dalam pengembangan kerja sama antar perguruan tinggi dapat memiliki beberapa dampak negatif potensial, termasuk: 1. Hilangnya Peluang Pembelajaran: Mahasiswa dan staf akademis mungkin kehilangan peluang untuk belajar dan berkolaborasi dengan mitra di Malaysia. Ini dapat merugikan perkembangan akademis dan profesional mereka. 2. Ketika sebuah proyek kerja sama tidak dilaksanakan dengan baik, baik di tingkat nasional maupun internasional, reputasi institusi pendidikan yang terlibat dapat terpengaruh negatif. 3. Tidak Tercapainya Tujuan Bersama: Jika proyek ini memiliki tujuan bersama antara institusi yang bekerja sama, ketidaklaksanaan dapat menyebabkan tidak tercapainya tujuan tersebut.</t>
  </si>
  <si>
    <t>Karena perbedaan budaya dan bahasa antara dua negara dapat menghambat komunikasi efektif dan pemahaman tim. Kekurangpahaman ini kemungkinan bisa mempengaruhi kerja sama dalam hal pengembangan kurikulum, penyelenggaraan program, dan kegiatan lainnya. sehingga dapat menyebabkan kesulitan dalam transfer kredit dan pengakuan mutu khususnya dalam mengintegrasikan program studi dan menyelaraskan kurikulum serta Kegiatan tidak dapat dilaksanakan
Kategori Risiko</t>
  </si>
  <si>
    <t>Sebagai upaya preventif, penting untuk memiliki mekanisme yang kuat untuk mengatasi kendala-kendala yang mungkin muncul selama pelaksanaan kegiatan. Komunikasi yang baik antar pihak yang terlibat dan pemantauan proaktif terhadap kemajuan progres kegiatan dapat membantu mengurangi risiko ketidakterlaksanakannya kegiatan.</t>
  </si>
  <si>
    <t>D-III  Teknik Telekomunikasi-8</t>
  </si>
  <si>
    <t>Pengadaan BHP Penyelenggaraan Pendidikan - D-III Teknik Telekomunikasi - D-III Teknik Telekomunikasi</t>
  </si>
  <si>
    <t>Karena Tidak adanya SDM yang dapat mencari BHP Praktikum dengan kandungan TKDN dan Menyusun HPS di Prodi DIII Teknik Telekomunikasi mungkin Proses BHP Praktikum di Prodi DIII Teknik Telekomunikasi menjadi Terlambat sehingga Tidak tersedia BHP Praktikum yang berkualitas untuk mahasiswa Prodi DIII Teknik Telekomunikasi</t>
  </si>
  <si>
    <t>D-III Akuntansi-3</t>
  </si>
  <si>
    <t>PENINGKATAN PEMBELAJARAN MELALUI MONEV MAGANG PROGRAM STUDI D-III AKUNTANSI</t>
  </si>
  <si>
    <t>pengalaman belajar mahasiswa tidak optimal dan kompetensi yang diharapkan dari magang tidak tercapai.</t>
  </si>
  <si>
    <t>Karena kurangnya koordinasi dengan perusahaan mitra, keterbatasan dalam pemantauan mahasiswa selama magang, mungkin kegiatan Monitoring dan Evaluasi (Monev) Magang tidak berjalan efektif, sehingga pengalaman belajar mahasiswa tidak optimal dan kompetensi yang diharapkan dari magang tidak tercapai.</t>
  </si>
  <si>
    <t>1. Penguatan Koordinasi dengan Perusahaan Mitra
-Melakukan pertemuan awal dengan perusahaan mitra sebelum magang untuk menyepakati tujuan, peran, dan evaluasi program.
2. Peningkatan Pemantauan dan Evaluasi Magang
-Melakukan kunjungan monitoring secara berkala untuk mengevaluasi perkembangan mahasiswa di tempat magang.
-Menyediakan laporan kemajuan magang yang harus diisi oleh mahasiswa dan diverifikasi oleh pembimbing perusahaan serta dosen pembimbing.
-Menerapkan sistem feedback dua arah antara mahasiswa, perusahaan, dan kampus untuk meningkatkan efektivitas magang.</t>
  </si>
  <si>
    <t>D-III Akuntansi-5</t>
  </si>
  <si>
    <t>PENINGKATAN KERJASAMA PROGRAM STUDI DENGAN INDUSTRI - D-III AKUNTANSI</t>
  </si>
  <si>
    <t>sasaran industri yang kurang tepat dan kerjasama industri bisa jadi tidak terlaksana</t>
  </si>
  <si>
    <t>Karena tidak memiliki database industri yang lengkap mungkin tidak ada kerjasama yang bisa dilakukan dengan industri yang tepat, sehingga kegiatan kerjasama industri bisa jadi tidak terlaksana</t>
  </si>
  <si>
    <t>merencanakan target sasaran industri yang tepat dan di list sesuai dengan kebutuhan prodi</t>
  </si>
  <si>
    <t>D-III Akuntansi-6</t>
  </si>
  <si>
    <t>PENINGKATAN KUALITAS PEMBELAJARAN MELALUI PENYUSUNAN KURIKULUM D3 AKUNTANSI</t>
  </si>
  <si>
    <t>Karena keterbatasan SDM dalam penyusunan Kurikulum MBKM dan PBL mungkin tim penyusun yang menyelesaikan rekonstruksi tidak bisa menyelesaikan tepat waktu sehingga kegiatan rekonstruksi kurikulum tidak bisa dilakukan dengan baik</t>
  </si>
  <si>
    <t>membuat time schedule yang baik dan agenda penyusunan RPS MBKM dan saling koordinasi dalam satu tim dalam pengerjaann</t>
  </si>
  <si>
    <t>D-III Akuntansi PSDKU Kediri-6</t>
  </si>
  <si>
    <t>Workshop Penjaringan Program Kreativitas Mahasiswa - D-III Akuntansi PSDKU Kediri</t>
  </si>
  <si>
    <t>1. Jumlah proposal yang dikirim ke kompetisi akan menurun
2. Jumlah Proposal yang lolos PKM tingkat nasional tidak banyak</t>
  </si>
  <si>
    <t>Karena Keterbatasan mahasiswa untuk menyusun proposal PKM di prodi D3 akuntansi, mungkin jumlah propoal yang dikirim ke kompetisi akan menurun, sehingga proposal yang lolos PKM tingkat nasional tidak banyak</t>
  </si>
  <si>
    <t>memberikan sosialisasi dan juga memetakan potensi yang ada khususnya DIII PSDKU Kediri</t>
  </si>
  <si>
    <t>D-III Manajemen Informatika PSDKU Kediri-1</t>
  </si>
  <si>
    <t>Benchmarking Program Studi - D-III Manajemen Informatika PSDKU Kediri</t>
  </si>
  <si>
    <t>1. Kerjasama dengan industri atau PT lain gagal dibuat 
2. Program untuk mahasiswa gagal diinisiasi</t>
  </si>
  <si>
    <t>KARENA komunikasi antara Prodi dengan industri dan PT lainnya kurang, MUNGKIN tidak tercapainya kesepakatan antara Prodi dengan Industri dan PT lainnya, SEHINGGA kegiatan Benchmarking Prodi D3 Manajemen Informatika Kampus Kediri tidak bisa dilaksanakan.</t>
  </si>
  <si>
    <t>1. Memberikan pelatihan terhadap SDM dalam bernegosiasi 
2. Memberikan strategi agar industri dan PT lain menerima penawaran negosiasi</t>
  </si>
  <si>
    <t>D-III Manajemen Informatika PSDKU Kediri-3</t>
  </si>
  <si>
    <t>Focus Group Discussion - Inisialisasi Kerjasama Internasional - D-III Manajemen Informatika PSDKU Kediri</t>
  </si>
  <si>
    <t>1. Kerjasama dengan industri atau PT internasional gagal dibuat 
2. Program pendidikan gagal diinisiasi</t>
  </si>
  <si>
    <t>KARENA komunikasi antara Prodi dengan Perguruan Tinggi Internasional kurang baik, MUNGKIN tidak tercapainya kesepakatan antara Prodi dengan erguruan Tinggi Internasional, SEHINGGA kegiatan FGD - Inisialisasi Kerjasama Internasional tidak bisa dilaksanakan.</t>
  </si>
  <si>
    <t>1. Memberikan pelatihan terhadap SDM dalam bernegosiasi 
2. Memberikan pelatihan bahasa terhadap SDM</t>
  </si>
  <si>
    <t>D-III Manajemen Informatika PSDKU Kediri-4</t>
  </si>
  <si>
    <t>Forum Group Discussion (FGD) dan Implementasi Kerjasama Mitra Binaan Prodi D-III Manajemen Informatika PSDKU Kediri</t>
  </si>
  <si>
    <t>1. Kerjasama dengan Mitra Binaan gagal dibuat 
2. Program untuk dosen dan mahasiswa gagal dijalankan</t>
  </si>
  <si>
    <t>KARENA komunikasi antara Prodi dengan Mitra Binaan kurang, MUNGKIN tidak tercapainya kesepakatan antara Prodi dengan Mitra Binaan, SEHINGGA kegiatan FGD dan Implementasi Kerjasama Prodi D3 Manajemen Informatika Kampus Kediri tidak bisa dilaksanakan.</t>
  </si>
  <si>
    <t>1. Memberikan pelatihan terhadap SDM dalam bernegosiasi 
2. Memberikan strategi agar Mitra Binaan menerima penawaran negosiasi</t>
  </si>
  <si>
    <t>D-III Manajemen Informatika PSDKU Kediri-6</t>
  </si>
  <si>
    <t>Monitoring dan Evaluasi Mahasiswa PKL dan Magang Industri - D-III Manajemen Informatika PSDKU Kediri</t>
  </si>
  <si>
    <t>1. Monitoring dan Evaluasi Mahasiswa PKL dan Magang Industri gagal disepakati 
2. Mahasiswa PKL dan Magang Industri gagal lulus PKL dan Magang Industri</t>
  </si>
  <si>
    <t>KARENA banyak mahasiswa tidak memahami pelaksanaan PKL dan Magang Industri MUNGKIN banyak mahasiswa gagal melaksanakan PKL dan Magang Industri SEHINGGA Monitoring dan Evaluasi Mahasiswa PKL dan Magang Industri D3 Manajemen Informatika Kampus Kediri tidak bisa dilaksanakan.</t>
  </si>
  <si>
    <t>1. Koordinator Prakering aktif berkomunikasi dengan mahasiswa dan pembimbing lapangan
2. Dosen pembimbing PKL dan Magang Industri aktif berkomunikasi dengan pembimbing lapangan</t>
  </si>
  <si>
    <t>D-III Manajemen Informatika PSDKU Kediri-7</t>
  </si>
  <si>
    <t>Pelatihan Public Speaking dan Digital Enterpreneurship - D-III Manajemen Informatika PSDKU Kediri</t>
  </si>
  <si>
    <t>1. Pelaksanaan tidak jadi dilaksanakan
2. Mahasiswa tidak memperoleh pengetahuan soft skill yang diperlukan untuk dapat digunakan untuk memperoleh pekerjaan</t>
  </si>
  <si>
    <t>KARENA narasumber mengalami hal kedaruratan atau perihal lain yang sangat penting yang tidak bisa ditinggalkan, MUNGKIN narasumber berhalangan untuk hadir dalam mengisi kegiatan pelatihan, SEHINGGA Pelatihan Public Speaking dan Digital Entrepreneurship untuk mahasiswa D3 Manajemen Informatika Kampus Kediri tidak bisa dilaksanakan</t>
  </si>
  <si>
    <t>1. Menjadwalkan ulang kegiatan pelatihan
2. Memiliki alternatif narasumber</t>
  </si>
  <si>
    <t>D-III Manajemen Informatika PSDKU Kediri-8</t>
  </si>
  <si>
    <t>Workshop Data Analytic dan IoT - D-III Manajemen Informatika PSDKU Kediri</t>
  </si>
  <si>
    <t>1. Workshop tidak jadi dilaksanakan
2. Mahasiswa gagal memperoleh pengetahuan dan sertifikat workshop</t>
  </si>
  <si>
    <t>KARENA narasumber berhalangan untuk hadir dalam mengisi kegiatan workshop, MUNGKIN karena narasumber mengalami hal kedaruratan atau perihal lain yang sangat penting yang tidak bisa ditinggalkan SEHINGGA Workshop Data Analytic dan IoT tidak bisa dilaksanakan</t>
  </si>
  <si>
    <t>1. Menjadwalkan ulang kegiatan workshop
2. Memiliki alternatif narasumber</t>
  </si>
  <si>
    <t>D-III Manajemen Informatika PSDKU Kediri-9</t>
  </si>
  <si>
    <t>Workshop Peningkatan Kompetisi Mahasiswa - D-III Manajemen Informatika PSDKU Kediri</t>
  </si>
  <si>
    <t>1. Mahasiswa gagal berpartisipasi atau lolos PKM
2. Mahasiswa gagal berpartisipasi atau menang kompetisi</t>
  </si>
  <si>
    <t>KARENA kurangnya minat dan motivasi mahasiswa terhadap kompetisi, MUNGKIN membuat peserta workshop berkurang dari target pelaksanaan, SEHINGGA Workshop Peningkatan Kompetisi Mahasiswa D3 Manajemen Informatika Kampus Kediri: Program Kreativitas Mahasiswa (PKM) dan Kompetisi Bidang Informatika tidak bisa dilaksanakan</t>
  </si>
  <si>
    <t>1. Menghadirkan narasumber menarik
2. Memberikan strategi agar mahasiswa ikut berpartisipasi dengan memberikan insentif</t>
  </si>
  <si>
    <t>D-III Manajemen Informatika PSDKU Kediri-11</t>
  </si>
  <si>
    <t>Pengadaan Bahan Habis Pakai (BHP) Praktikum Bengkel dan Laboratorium - D-III Manajemen Informatika PSDKU Kediri</t>
  </si>
  <si>
    <t>1. tidak tersedia bahan praktikum secara tepat waktu
2. kegiatan praktikum tidak dapat berjalan secara semestinya</t>
  </si>
  <si>
    <t>KARENA belum adanya SDM pengadaan yang kompeten di Prodi, MUNGKIN dokumen pengadaan barang dan jasa tidak bisa diselesaikan, SEHINGGA pengadaan BHP Bengkel dan Laboratorium D3 Manajemen Informatika Kampus Kediri tidak bisa dilaksanakan</t>
  </si>
  <si>
    <t>1. Pelatihan SDM berkompetensi pengadaan
2. Kegiatan praktikum disesuaikan</t>
  </si>
  <si>
    <t>D-III Teknik Mesin PSDKU Kediri-2</t>
  </si>
  <si>
    <t>KUNJUNGAN INDUSTRI- MONITORING EVALUASI KEGIATAN MAGANG/PKL -D3 TEKNIK MESIN KAMPUS KEDIRI</t>
  </si>
  <si>
    <t>1) Kegiatan tidak terlaksana sehingga menyebabkan kerugian baik moril maupun materiil. 2) Tidak terlaksananya Monev dan Kunjungan PKL PS D-3 Teknik Mesin Kampus Kediri&amp;#8220;,   3) Kegiatan PKL tidak ter Monev dan mutu PKL tidak tercapai</t>
  </si>
  <si>
    <t>Karena Tidak memiliki data base Industri Sasaran dan Industri tempat PKL/ Magang mungkin Industri Sasaran yang sesuai untuk Pengembangan Kerjasama tidak ada dan Industri tempat Monitoring pelaksanaan PKL/Magang tidak siap sehingga Monev dan Kunjungan Kegiatan PKL D3 Teknik Mesin Kampus Kediri - Tidak Berjalan</t>
  </si>
  <si>
    <t>Untuk mengatasi resiko yang mungkin terjadi, maka cara mengendalikan dampaknya adalah:
1) Membuat database yang relevan/sesuai dengan kebutuhan terkait DUDI yang menjadi tujuan Monev dan kunjungan dengan menugaskan SDM yang mumpuni untuk melakukan hal tersebut.</t>
  </si>
  <si>
    <t>D-III Teknik Mesin PSDKU Kediri-3</t>
  </si>
  <si>
    <t>PELAKSANAAN KEGIATAN TUGAS AKHIR/LA (SOSIALISASI, PEMBIMBINGAN, UJIAN PROPOSAL, DAN SIDANG TUGAS AKHIR) TAHUN 2025</t>
  </si>
  <si>
    <t>1) Kegiatan tidak terlaksana sehingga menyebabkan kerugian baik moril maupun materiil. 2) Tidak terlaksananya Kegiatan LA PS D-3 Teknik Mesin Kampus Kediri, 3) Kegiatan LA tidak terlaksana dengan baik dan mutu/kualitas LA tidak tercapai.</t>
  </si>
  <si>
    <t>Karena Tidak banyak jumlah pembimbing LA dan besarnya beban rasio dosen pembimbing LA dengan jumlah mahasiswa, Mungkin pelaksanaan Kegiatan LA D3 Teknik Mesin Kampus Kediri tidak dapat berjalan dengan lancar , Sehingga dapat menghambat proses bimbingan LA di Prodi D3 Teknik Mesin.</t>
  </si>
  <si>
    <t>Untuk mengatasi resiko yang mungkin terjadi, maka cara mengendalikan dampaknya adalah:
1) mensosialisasikankegiatan LA jauh jauh hari; 2) Membuat database yang relevan/sesuai dengan kebutuhan terkait DUDI yang ber MOU dengan Polinema yang menjadi tujuan LA dengan menugaskan perencanaan yang berkelanjutan untuk melakukan hal tersebut; 3) Memberikan jumlah rasio pembimbingan yang merata supaya kualitas pembimbingan dapat tercapai; 4) Merencanakan ditahun tahun selanjutnya penambahan dosen ASN sehingga jumlah beban bimbingan Dosen yang ada tidak terlalu banyak;</t>
  </si>
  <si>
    <t>D-III Teknik Mesin PSDKU Kediri-4</t>
  </si>
  <si>
    <t>PELAKSANAAN UTS , UAS DAN MONITORING DAN EVALUASI PROSES PEMBELAJARAN SEMESTER GENAP 2024-2025</t>
  </si>
  <si>
    <t>Kegiatan tidak terlaksana sehingga menyebabkan kerugian baik moril maupun materiil.</t>
  </si>
  <si>
    <t>Karena kurang adanya koordinasi dengan masing-masing Dosen Pengampu Matakuliah terkait informasi/sosialisasi Ujian untuk UTS/UAS mungkin karena tidak ada informasi/sosialisasi terstruktur terkait Ujian (UTS/UAS) kepada Dosen dan Mahasiswa sehingga kegiatan ujian UTS dan UAS serta Monitoring dan evaluasi Proses Pembelajaran Semester Genap 2024-2025 D3 Teknik Mesin Kampus Kediri tidak berjalan</t>
  </si>
  <si>
    <t>Untuk mengatasi resiko yang mungkin terjadi, maka cara mengendalikan dampaknya adalah: 1) melakukan koordinasi dengan semua Dosen pengampu Matakuliah ; 2) memberikan informasi/sosialisasi hasil pembelajaran dan memberikan kesempatan mahasiswa mempersiapkan diri pelaksanaan UTS dan UAS; 3) Melakukan evaluasi proses dan mensosialisasikan hasil pembelajaran pada Dosen Pengampu Matakuliah;</t>
  </si>
  <si>
    <t>D-III Teknik Mesin PSDKU Kediri-5</t>
  </si>
  <si>
    <t>PELAKSANAAN UTS DAN UAS SERTA MONITORING DAN EVALUASI PROSES PEMBELAJARAN SEMESTER GANJIL 2025-2026 D3 TEKNIK MESIN KAMPUS KEDIRI</t>
  </si>
  <si>
    <t>Karena kurang adanya koordinasi dengan masing-masing Dosen Pengampu Matakuliah terkait informasi/sosialisasi Ujian untuk UTS/UAS mungkin karena tidak ada informasi/sosialisasi terstruktur terkait Ujian (UTS/UAS) kepada Dosen dan Mahasiswa sehingga kegiatan ujian UTS dan UAS serta Monitoring dan evaluasi Proses Pembelajaran Semester Ganjil 2025-2026 D3 Teknik Mesin Kampus Kediri tidak berjalan</t>
  </si>
  <si>
    <t>D-III Teknik Mesin PSDKU Kediri-6</t>
  </si>
  <si>
    <t>PENGADAAN ALAT PENDIDIKAN LABORATORIUM CNC-MINI CNC ROUTER</t>
  </si>
  <si>
    <t>1) Kegiatan tidak terlaksana sehingga menyebabkan kerugian baik moril maupun materiil. 2) Tidak tersedia Modal peralatan/mesin CNC Router di Laboratorium CNC PS D-3 Teknik Mesin Kampus Kediri&amp;#8220;, 3) Kegiatan praktikum akan terhambat dan mutu/kualitas pembelajaran tidak tercapai</t>
  </si>
  <si>
    <t>Karena berkurang/rusak-nya peralatan Mesin CNC di LAboratorium CNC yang digunakan dalam Mata kuliah Pemrograman CNC dan Praktik CNC secara kontinyu mungkin peralatan tersebut tidak dapat diperbaiki sehingga kegiatan Pengadaan Modal CNC ROUTER yang tidak terlaksana dapat mengganggu jalannya guna Pembelajaran Praktik Pemrograman CNC yang berkualitas.</t>
  </si>
  <si>
    <t>Untuk mengatasi resiko yang mungkin terjadi, maka cara mengendalikan dampaknya adalah: 1) melakukan koordinasi yang baik dengan bagian pengadaan Modal peralatan/mesin dan bagian keuangan untuk mengantisipasi ketidak terlaksanaan proses pengadaan Modal mesin CNC ROUTER di Laboratorium CNC.</t>
  </si>
  <si>
    <t>D-III Teknik Sipil-1</t>
  </si>
  <si>
    <t>Pengadaan Bahan Habis Pakai (BHP) Perkuliahan D3 TEKNIK SIPIL</t>
  </si>
  <si>
    <t>Tidak terlaksananya pengadaan BHP akan berdampak : 1. Proses PBM menjadi terbatas dan kurang efektif, 2. Mempengaruhi kualitas PBM, 3. Mempengaruhi prestasi akademik mahasiswa</t>
  </si>
  <si>
    <t>Karena Tidak ada SDM untuk menyusun pengadaan BHP di prodi D-III Teknik Sipil mungkin pengumpulan pengadaan BHP di kantor pusat menjadi terlambat sehingga tidak adanya pengadaan BHP untuk mendukung penyelengaraan pendidikan</t>
  </si>
  <si>
    <t>"1. Memilih tenaga kependidikan dalam hal ini teknisi dengan kepala bengkel 2. Penugasan kepala bengkel dengan deadline ketat untuk mementukan jumlah BHP yang dibutuhkan 3. KPS melakukan pengecekan "</t>
  </si>
  <si>
    <t>D-III Teknik Sipil-2</t>
  </si>
  <si>
    <t>PERAWATAN PERALATAN D3 TEKNIK SIPIL</t>
  </si>
  <si>
    <t>Tidak terlaksananya Perawatan Peralatan akan berdampak : 1. Kerusakan Peralatan&amp;Mebeler, 2. Terganggunya PBM dan keterlambatan, 3. Kurangnya Efektivitas pembelajaran, 4. Mahasiswa tidak dapat mengembangkan ketrampilan secara menyeluruh</t>
  </si>
  <si>
    <t>Karena Tidak ada data base penyedia jasa perawatan, mungkin tidak ada pemetaan penyedia jasa yang sesuai dan jadwal perawatan bengkel&amp;lab serta tidak ada koordinasi pemilihan penyedia jasa yang sesuai. sehingga Perawatan dan Perbaikan Fasilitas, Alat Bengkel Teknik Sipil dan Laboratorium tidak berjalan</t>
  </si>
  <si>
    <t>membuat: database, pemetaan dan koordinasi dengan penyedia jasa.</t>
  </si>
  <si>
    <t>D-III Teknik Sipil-3</t>
  </si>
  <si>
    <t>KUNJUNGAN INDUSTRI - D-III Teknik Sipil</t>
  </si>
  <si>
    <t>Tidak terlaksananya Kunjungan Industri akan berdampak : 1. Tidak ada MoU/PKS dengan mitra industri, 2. Mengurangi peluang mahasiswa dalam mendapatkan tempat magang industri, 3. Mengurangi peluang mahasiswa dalam mendapatkan tempat bekerja</t>
  </si>
  <si>
    <t>Karena Tidak ada Koordinasi dengan Industri mungkin tidak ada Pemetaan Industri Sasaran yang sesuai untuk Praktikum Lapangan sehingga kurang maksimalnya kunjungan Monitoring ke lokasi industri</t>
  </si>
  <si>
    <t>"1. Membuat database industri sasaran untuk Praktikum Lapangan sehingga dapat merata dan optimal 2. Penugasan koordinator lapangan untuk pemetaan industri sasaran 3. Melakukan kunjungan dan monitoring ke lokasi industri"</t>
  </si>
  <si>
    <t>D-III Teknik Sipil-4</t>
  </si>
  <si>
    <t>LKPS - D-III Teknik Sipil</t>
  </si>
  <si>
    <t>Tidak terlaksananya LKPS akan berdampak : 1. Terhambatnya proses akreditasi prodi, 2. Berkurangnya kualitas proses PBM</t>
  </si>
  <si>
    <t>Karena Tidak adanya database untuk mendukung penyusunan laporan kinerja prodi mungkin tidak ada SDM untuk menyusun laporan kinerja prodi D-III Teknik Sipil sehingga tidak tersedianya laporan kinerja prodi D-III Teknik Sipil</t>
  </si>
  <si>
    <t>"1. Penugasan tim khusus untuk menyusun laporan kinerja prodi 2. Mengumpulkan informasi data dukung yang terorganisir dan termonitor 3. Pembuatan database tri dharma dosen guna mendukung penyusunan laporan kinerja prodi "</t>
  </si>
  <si>
    <t>D-III Teknik Sipil-5</t>
  </si>
  <si>
    <t>MONEV PBM DAN KURIKULUM - D-III Teknik Sipil</t>
  </si>
  <si>
    <t>Tidak terlaksananya Monev PBM akan berdampak : 1. Kurangnya pengukuran kemajuan mahasiswa, 2. Kurangnya identifikasi kekurangan mahasiswa&amp;dosen, 3. Kurangnya perbaikan proses PBM</t>
  </si>
  <si>
    <t>"1. Membuat tim untuk membentuk SOP 2. Membuat SOP 3. Monitoring pembelajaran dengan pengawasan dari KPS D-III Teknik Sipil</t>
  </si>
  <si>
    <t>D-III Teknologi Konstruksi Jalan, Jembatan, dan Bangunan Air-1</t>
  </si>
  <si>
    <t>MONEV PBM DAN KURIKULUM - D-III Teknologi Konstruksi Jalan, Jembatan, dan Bangunan Air</t>
  </si>
  <si>
    <t>"1. Membuat tim untuk membentuk SOP 2. Membuat SOP 3. Monitoring pembelajaran dengan pengawasan dari KPSD-III Teknologi Konstruksi Jalan, Jembatan, dan Bangunan Air"</t>
  </si>
  <si>
    <t>D-III Teknologi Konstruksi Jalan, Jembatan, dan Bangunan Air-2</t>
  </si>
  <si>
    <t>Pengadaan Bahan Habis Pakai (BHP) Perkuliahan D-III Teknologi Konstruksi Jalan, Jembatan, dan Bangunan Air</t>
  </si>
  <si>
    <t>Karena Tidak ada SDM untuk menyusun pengadaan BHP di prodi D-III Teknologi Konstruksi Jalan, Jembatan, dan Bangunan Air mungkin pengumpulan pengadaan BHP di kantor pusat menjadi terlambat sehingga tidak adanya pengadaan BHP untuk mendukung penyelengaraan pendidikan</t>
  </si>
  <si>
    <t>D-III Teknologi Konstruksi Jalan, Jembatan, dan Bangunan Air-3</t>
  </si>
  <si>
    <t>PERAWATAN ALAT PEMBELAJARAN D-III TKJJBA - D-III Teknologi Konstruksi Jalan, Jembatan, dan Bangunan Air</t>
  </si>
  <si>
    <t>D-III Teknologi Konstruksi Jalan, Jembatan, dan Bangunan Air-4</t>
  </si>
  <si>
    <t>Rekonstruksi Kurikulum - D-III Teknologi Konstruksi Jalan, Jembatan, dan Bangunan Air</t>
  </si>
  <si>
    <t>Tidak terlaksananya Rekonstruksi Kurikulum akan berdampak : 1. Kurikulum yang tidak sesuai dengan kebutuhan industri&amp;peraturan terbaru, 2. Mahasiswa tidak dapat mengembangkan kemampuan&amp;ketrampilan sesuai dengan yang dibutuhkan</t>
  </si>
  <si>
    <t>Dengan meunjuk tim khusus untuk melakukan pengumpulan data dukung secara terorganisir dan termonitor sehingga memudahkan penyusunan laporan kinerja prodi</t>
  </si>
  <si>
    <t>D-III Teknologi Konstruksi Jalan, Jembatan, dan Bangunan Air-5</t>
  </si>
  <si>
    <t>KUNJUNGAN INDUSTRI - D-III Teknologi Konstruksi Jalan, Jembatan, dan Bangunan Air</t>
  </si>
  <si>
    <t>D-III Teknologi Konstruksi Jalan, Jembatan, dan Bangunan Air-6</t>
  </si>
  <si>
    <t>LKPS - D-III Teknologi Konstruksi Jalan, Jembatan, dan Bangunan Air</t>
  </si>
  <si>
    <t>Karena Tidak adanya database untuk mendukung penyusunan laporan kinerja prodi mungkin tidak ada SDM untuk menyusun laporan kinerja prodi D-III Teknologi Konstruksi Jalan, Jembatan, dan Bangunan Air sehingga tidak tersedianya laporan kinerja prodi D-III Teknologi Konstruksi Jalan, Jembatan, dan Bangunan Air</t>
  </si>
  <si>
    <t>D-III Teknologi Pertambangan-1</t>
  </si>
  <si>
    <t>Pelaksanaan Praktikum Matakuliah kebumian Mahasiswa Tambang diluar Kampus - D-III Teknologi Pertambangan</t>
  </si>
  <si>
    <t>Tidak terlaksananya Pelaksanaan Praktikum Mata kuliah Kebumian Mahasiswa Tambang diluar Kampus akan berdampak : 1. Tidak ada MoU/PKS dengan mitra industri, 2. Mengurangi peluang mahasiswa dalam mendapatkan tempat magang industri, 3. Mengurangi peluang mahasiswa dalam mendapatkan tempat bekerja</t>
  </si>
  <si>
    <t>Karena Tidak ada Koordinasi dengan Industri mungkin tidak ada Pemetaan Industri Sasaran yang sesuai untuk Orientasi Lapangan sehingga kurang maksimalnya kunjungan Monitoring ke lokasi industri</t>
  </si>
  <si>
    <t>1. Membuat database industri sasaran untuk Orientasi Lapangan sehingga dapat merata dan optimal 2. Penugasan koordinator lapangan untuk pemetaan industri sasaran 3. Melakukan kunjungan dan monitoring ke lokasi industri</t>
  </si>
  <si>
    <t>D-III Teknologi Pertambangan-2</t>
  </si>
  <si>
    <t>Pengadaan BHP - D-III Teknologi Pertambangan</t>
  </si>
  <si>
    <t>Karena Tidak ada SDM untuk menyusun pengadaan BHP di prodi D-III Teknologi Pertambangan mungkin pengumpulan pengadaan BHP di kantor pusat menjadi terlambat sehingga tidak adanya pengadaan BHP untuk mendukung praktikum</t>
  </si>
  <si>
    <t>1. Memilih tenaga kependidikan dalam hal ini teknisi dengan kepala bengkel 2. Penugasan kepala bengkel dengan deadline ketat untuk mementukan jumlah BHP yang dibutuhkan 3. KPS melakukan pengecekan</t>
  </si>
  <si>
    <t>D-III Teknologi Pertambangan-3</t>
  </si>
  <si>
    <t>PERAWATAN PERALATAN D3 TEKNOLOGI PERTAMBANGAN</t>
  </si>
  <si>
    <t>D-III Teknologi Pertambangan-4</t>
  </si>
  <si>
    <t>KUNJUNGAN INDUSTRI - D-III Teknologi Pertambangan</t>
  </si>
  <si>
    <t>D-III Teknologi Pertambangan-5</t>
  </si>
  <si>
    <t>Monev PBM dan Kurikulum - D-III Teknologi Pertambangan</t>
  </si>
  <si>
    <t>1. Tidak ada perbaikan proses PBM
2. Tidak tercapainya IKU</t>
  </si>
  <si>
    <t>1. Membuat tim untuk membentuk SOP 2. Membuat SOP 3. Monitoring pembelajaran dengan pengawasan dari KPS</t>
  </si>
  <si>
    <t>D-III Teknologi Pertambangan-6</t>
  </si>
  <si>
    <t>Peningkatan SDM melalui Forkopindo - D-III Teknologi Pertambangan</t>
  </si>
  <si>
    <t>Tidak terlaksananya Peningkatan SDM melalui Forkopindo akan berdampak : 1. Kurangnya komunikasi antara Koordinator Prodi seluruh Politeknik, 2. Tidak meningkatnya kerjasama, 3. Kurangnya berbagi pengalaman&amp;pengetahuan tentang isu-isu terkini yang berkaitan dengan dunia pertambangan</t>
  </si>
  <si>
    <t>Karena tidak ada database terkait pemateri yang bisa diundang pada Forkopindo, tidak ada pemetaan narasumber/pemateri yang sesuai untuk pelaksanaan Forkopindo, dan tidak adanya narasumber yang sesuai dengan acara Forkopindo dan dapat hadir di jadwal yang telah ditentukan, maka Forkopindo tidak dapat terlaksana</t>
  </si>
  <si>
    <t>Membuat database terkait pemateri yang bisa diundang pada acara Forkopindo dan membuat pemetaan narasumber/pemateri yang sesuai untuk pelaksanaan Forkopindo sehingga mendapatkan narasumber yang sesuai dengan tema acara Forkopindo dan dapat hadir di jadwal yang telah ditentukan</t>
  </si>
  <si>
    <t>D-III Teknologi Pertambangan-7</t>
  </si>
  <si>
    <t>LKPS - D-III Teknologi Pertambangan</t>
  </si>
  <si>
    <t>Karena Tidak adanya database untuk mendukung penyusunan laporan kinerja prodi mungkin tidak ada SDM untuk menyusun laporan kinerja prodi D-III Teknologi Pertambangan sehingga tidak tersedianya laporan kinerja prodi D-III Teknologi Pertambangan</t>
  </si>
  <si>
    <t>1. Penugasan tim khusus untuk menyusun laporan kinerja prodi 2. Mengumpulkan informasi data dukung yang terorganisir dan termonitor 3. Pembuatan database tri dharma dosen guna mendukung penyusunan laporan kinerja prodi</t>
  </si>
  <si>
    <t>D-IV Akuntansi Manajemen-3</t>
  </si>
  <si>
    <t>PENINGKATAN KERJASAMA PROGRAM STUDI DENGAN INDUSTRI- D-IV AKUNTANSI MANAJEMEN</t>
  </si>
  <si>
    <t>Karena Tidak memiliki data base Industri Sasaran dan Industri tempat PKL/ Magang mungkin Industri Sasaran yang sesuai untuk Pengembangan Kerjasama tidak ada dan Industri tempat Monitoring pelaksanaan PKL/Magang tidak siap sehingga PENINGKATAN KERJASAMA PRODI DENGAN INDUSTRI - D-IV Akuntansi Manajemen Tidak Berjalan</t>
  </si>
  <si>
    <t>Untuk mengatasi resiko yang mungkin terjadi, maka cara mengendalikan dampaknya adalah:
1) Membuat database yang relevan/sesuai dengan kebutuhan terkait Magang Industri dan PKL yang menjadi tujuan FGD</t>
  </si>
  <si>
    <t>D-IV Akuntansi Manajemen-4</t>
  </si>
  <si>
    <t>PENINGKATAN KUALITAS PEMBELAJARAN MELALUI PENYUSUNAN KURIKULUM D4 AKUNTANSI MANAJEMEN - D-IV Akuntansi Manajemen</t>
  </si>
  <si>
    <t>membuat time schedule yang baik dan agenda penyusunan kurikulum dan saling koordinasi dalam satu tim dalam pengerjaannya</t>
  </si>
  <si>
    <t>D-IV Akuntansi Manajemen-6</t>
  </si>
  <si>
    <t>PENINGKATAN PEMBELAJARAN MELALUI MONEV MAGANG PROGRAM STUDI D-V AKUNTANSI MANAJEMEN</t>
  </si>
  <si>
    <t>efektivitas pembelajaran berbasis pengalaman dan pencapaian kompetensi mahasiswa menjadi tidak maksimal.</t>
  </si>
  <si>
    <t>Karena kurangnya koordinasi dengan mitra DUDI , mungkin kegiatan Monitoring dan Evaluasi (Monev) Magang tidak berjalan optimal, sehingga efektivitas pembelajaran berbasis pengalaman dan pencapaian kompetensi mahasiswa menjadi tidak maksimal.</t>
  </si>
  <si>
    <t>1. Penguatan Koordinasi dengan Perusahaan Mitra
-Menjalin komunikasi aktif dengan perusahaan mitra sebelum, selama, dan setelah periode magang untuk memastikan keselarasan program. 
2. Peningkatan Pemantauan dan Evaluasi Magang
-Melakukan kunjungan monitoring secara berkala untuk menilai perkembangan mahasiswa di tempat magang.
-Menyediakan laporan kemajuan bulanan yang diisi oleh mahasiswa dan diverifikasi oleh pembimbing magang dari perusahaan serta dosen pembimbing.
-Menerapkan sistem feedback dua arah antara mahasiswa, perusahaan, dan institusi untuk meningkatkan kualitas program magang.</t>
  </si>
  <si>
    <t>D-IV Akuntansi Manajemen-7</t>
  </si>
  <si>
    <t>BENCHMARKING KE PERUSAHAAN MULTINASIONAL UNTUK MENINGKATKAN DAYA SAING - D-IV Akuntansi Manajemen</t>
  </si>
  <si>
    <t>Karena Tidak adanya SDM khusus yang melakukan riset khusus menggali informasi dan membuat data base universitas/politeknik yang sesuai dengan kebutuhan mungkin Kurangnya informasi atau data terkait universitas atau politeknik sejenis yang bisa dijadikan tujuan kegiatan benchmarking sehingga BENCHMARKING KE PERUSAHAAN MULTINASIONAL UNTUK MENINGKATKAN DAYA SAING - D-IV Akuntansi Manajemen Tidak Berjalan.</t>
  </si>
  <si>
    <t>Untuk mengatasi resiko yang mungkin terjadi, maka cara mengendalikan dampaknya adalah:
1) Membuat database yang relevan/sesuai dengan kebutuhan terkait politeknik sejenis atau universitas yang menjadi tujuan benchmarking dengan menugaskan SDM yang mumpuni untuk melakukan hal tersebut.</t>
  </si>
  <si>
    <t>D-IV Bahasa Inggris untuk KomBis &amp; Profesional-2</t>
  </si>
  <si>
    <t>PELAKSANAAN KULIAH PRAKTIK LAPANGAN MELALUI KUNJUNGAN INDUSTRI OLEH MAHASISWA - D-IV Bahasa Inggris untuk KomBis &amp; Profesional</t>
  </si>
  <si>
    <t>1. Industri ekspor impor yang sesuai kebutuhan tidak bisa dikunjungi
2. Kegiatan Praktik Lapangan Mata Kuliah Ekspor Impor Prodi BIKBP 2025 tidak bisa berjalan</t>
  </si>
  <si>
    <t>Karena tidak memiliki basis data industri ekspor impor yang tidak dapat menampung seluruh jumlah mahasiswa semester 6 Prodi D4 BIKBP, mungkin industri yang sesuai tidak dapat dikunjungi. Hal ini berakibat kepada kurang optimalnya pelaksanaan kegiatan Praktik Lapangan Mata Kuliah Ekspor Impor Prodi BIKBP 2025</t>
  </si>
  <si>
    <t>Membuat basis data industri ekspor impor yang sesuai dengan kebutuhan untuk pelaksanaan kegiatan Praktik Lapangan Mata Kuliah Ekspor Impor Prodi BIKP 2025</t>
  </si>
  <si>
    <t>D-IV Bahasa Inggris untuk KomBis &amp; Profesional-3</t>
  </si>
  <si>
    <t>PENINGKATAN KERJASAMA INTERNASIONAL - D-IV Bahasa Inggris untuk KomBis &amp; Profesional</t>
  </si>
  <si>
    <t>Tidak ada pemetaan industri atau mitra kerja yang sesuai dengan kebutuhan Prodi D4 Bahasa Inggris Komunikasi Bisnis dan Profesional yang dpaat dikunjungi,</t>
  </si>
  <si>
    <t>Karena tidak ada informasi yang terkumpul pada data base khusus untuk mitra politeknik atau universitas luar negeri yang sesuai dengan program studi BIKBP mungkin kurangnya data politeknik atau universitas luar negeri yang sesuai dengan program studi BIKBP sehingga kegiatan Peningkatan Kerjasama Luar Negeri tidak terlaksana</t>
  </si>
  <si>
    <t>Untuk mengatasi resiko yang mungkin terjadi maka cara mengendalikan adalah 1) Membuat data base yang berisi data politeknik dan universitas dengan prodi yang sejenis</t>
  </si>
  <si>
    <t>D-IV Bahasa Inggris untuk KomBis &amp; Profesional-4</t>
  </si>
  <si>
    <t>PENYIAPAN MAHASISWA MENGIKUTI SELEKSI NASIONAL DAN INTERNASIONAL TAHUN 2025 - D-IV Bahasa Inggris untuk KomBis &amp; Profesional</t>
  </si>
  <si>
    <t>- Tidak ada pemetaan penyedia pelatihan IISMA yang sesuai dengan yg dibutuhkan Prodi D4 Bahasa Inggris Komunikasi Bisnis dan Profesional- Uji Kompetensi tidak terlaksana
- Tidak ada penyedia pelatihan IISMA yang sesuai dengan kebutuhan Prodi D4 Bahasa Inggris Komunikasi Bisnis
- Persiapan Mahasiswa IISMA 2025 Tidak Terlaksana</t>
  </si>
  <si>
    <t>Karena tidak ada database industri atau mitra kerja yang sesuai dengan yang dibutuhkan Prodi D4 Bahasa Inggris Komunikasi Bisnis dan Profesional yang dapat dikunjungi, mungkin tidak ada pemetaan industri atau mitra kerja yang sesuai dengan kebutuhan Prodi D4 Bahasa Inggris Komunikasi Bisnis dan Profesional yang dapat dikunjungi, sehingga tidak ada industri atau mitra kerja yang sesuai dengan kebutuhan Prodi D4 Bahasa Inggris Komunikasi Bisnis dan Profesional yang dapat dikunjungi, maka kunjungan Industri tidak terlaksana.</t>
  </si>
  <si>
    <t>Menugaskan SDM khusus untuk memetakan pelatihan IISMA yang relevan yang dibutuhkan Prodi D4 Bahasa Inggris Komunikasi bisnis dan Profesional, melalukan pemetaan pelatihan IISMA yang relevan yang sesuai dengan yg dibutuhkan Prodi D4 Bahasa Inggris Komunikasi Bisnis dan Profesional, dan menyediakan pelatihan IISMA yang sesuai dengan kebutuhan Prodi D4 Bahasa Inggris Komunikasi untuk pelaksanaan Uji Kompetensi Mahasiswa.</t>
  </si>
  <si>
    <t>D-IV Bahasa Inggris untuk KomBis &amp; Profesional-6</t>
  </si>
  <si>
    <t>KUNJUNGAN INDUSTRI DAN MAHASISWA MAGANG/PKL OLEH DOSEN TAHUN 2025 - D-IV Bahasa Inggris untuk KomBis &amp; Profesional</t>
  </si>
  <si>
    <t>- Tidak ada database industri atau mitra kerja yang sesuai dengan kebutuhan Prodi D4 Bahasa Inggris Komunikasi Bisnis dan Profesional yang dapat dikunjungi
- Tidak ada pemetaan industri atau mitra kerja yang sesuai dengan kebutuhan Prodi D4 Bahasa Inggris Komunikasi Bisnis dan Profesional yang dapat dikunjungi
-Tidak ada industri atau mitra kerja yang sesuai dengan kebutuhan Prodi D4 Bahasa Inggris Komunikasi Bisnis dan Profesional yang dapat dikunjungi
-Kunjungan industri tidak terlaksana</t>
  </si>
  <si>
    <t>Karena tidak ada database industri atau mitra kerja yang sesuai dengan yang dibutuhkan Prodi D4 Bahasa Inggris Komunikasi Bisnis dan Profesional yang dapat dikunjungi, mungkin tidak ada pemetaan industri atau mitra kerja yang sesuai dengan kebutuhan Prodi D4 Bahasa Inggris Komunikasi Bisnis dan Profesional yang dapat dikunjungi, dan tidak ada industri atau mitra kerja yang sesuai dengan kebutuhan Prodi D4 Bahasa Inggris Komunikasi Bisnis dan Profesional yang dapat dikunjungi, sehingga kunjungan Industri tidak terlaksana.</t>
  </si>
  <si>
    <t>Menyediakan database industri atau mitra kerja yang sesuai dengan yang dibutuhkan Prodi D4 Bahasa Inggris Komunikasi Bisnis dan Profesional yang dapat dikunjungi, membuat pemetaan industri atau mitra kerja yang sesuai dengan kebutuhan Prodi D4 Bahasa Inggris Komunikasi Bisnis dan Profesional yang dapat dikunjungi, dan bekerja sama dengan industri atau mitra kerja yang sesuai dengan kebutuhan Prodi D4 Bahasa Inggris Komunikasi Bisnis dan Profesional untuk melaksanakan Kunjungan Industri untuk Dosen.</t>
  </si>
  <si>
    <t>D-IV Bahasa Inggris untuk KomBis &amp; Profesional-8</t>
  </si>
  <si>
    <t>PROMOSI PRODI BIKBP MELALUI PENYELENGGARAAN KOMPETISI BAHASA INGGRIS TINGKAT SMA/MA/SMK SE JAWA-BALI 2025 - D-IV Bahasa Inggris untuk KomBis &amp; Profesional</t>
  </si>
  <si>
    <t>- Tidak ada pemetaan SMA/MA/SMK se Jawa-Bali yang akan menjadi peserta kompetisi Bahasa Inggris.
- Kompetisi tidak terlaksana.</t>
  </si>
  <si>
    <t>Karena tidak ada database sekolah SMA/MA/SMAK Se Jawa-Bali untuk lomba-lomba yang diadakan di Prodi D4 Bahasa Inggris Komunikasi Bisnis dan Profesional, mungkin tidak ada pemetaan sekolah yang cukup banyak, sehingga penyelenggaran kompetisi Bahasa Inggris tingkat SMA/MA/SMK Se Jawa-Bali dengan mata lomba Newscasting, Storytelling, Business Presentation, Front Office Customer Service, Designing Promotional Media, dan Tour Leading. tidak terlaksana.</t>
  </si>
  <si>
    <t>Menyediakan database sekolah SMA/MA/SMK Se Jawa Bali, segera mengirimkan informasi terkait lomba ke sekolah-sekolah yang telah ada di database, memperluas jejaring perkenalan guru Bahasa Inggris di SMA/MA/SMK, sehingga akan banyak peserta yang mengikuti kompetisi Bahasa Inggris tingkat SMA/MA/SMK Se Jawa-Bali dengan mata lomba Newscasting, Storytelling, Business Presentation, Front Office Customer Service, Designing Promotional Media, dan Tour Leading.</t>
  </si>
  <si>
    <t>D-IV Jaringan Telekomunikasi Digital-4</t>
  </si>
  <si>
    <t>Pengadaan Bahan Habis Pakai untuk Praktikum</t>
  </si>
  <si>
    <t>*Karena Tidak adanya SDM yang dapat mencari BHP Praktikum dengan kandungan TKDN dan Menyusun HPS di Prodi DIV Jaringan telekomunikasi digital mungkin Proses BHP Praktikum di Prodi DIV Jaringan telekomunikasi digita menjadi Terlambat sehingga Tidak tersedia BHP Praktikum yang berkualitas untuk mahasiswa Prodi DIV Jaringan telekomunikasi digita</t>
  </si>
  <si>
    <t>D-IV Jaringan Telekomunikasi Digital-9</t>
  </si>
  <si>
    <t>Studi Banding untuk Persiapan IABEE - D-IV Jaringan Telekomunikasi Digital - D-IV Jaringan Telekomunikasi Digital</t>
  </si>
  <si>
    <t>Kunjungan Industri tidak terlaksana karena tidak adanya database yang sesuai dengan kebutuhan jurusan teknik elektro</t>
  </si>
  <si>
    <t>Karena tidak ada database industri atau mitra kerja yang sesuai dengan yang dibutuhkan Prodi Jurusan Teknik Elektro yang dapat dikunjungi,mungkin tidak ada pemetaan industri atau mitra kerja yang sesuai dengan kebutuhan Jurusan Teknik Elektro yang dapat dikunjungi, dan tidak ada industri atau mitra kerja yang sesuai dengan kebutuhan Jurusan Teknik Elektro yang dapat dikunjungi, sehingga kunjungan Industri tidak terlaksana.</t>
  </si>
  <si>
    <t>Menyusun database yang lengkap tentang mitra indutri yang digunakan sebagai lokasi magang mahasiswa dan menjajagi kerjasama lebih jauh</t>
  </si>
  <si>
    <t>D-IV Keuangan-1</t>
  </si>
  <si>
    <t>PENINGKATAN KERJASAMA PROGRAM STUDI DENGAN INDUSTRI- D-IV KEUANGAN</t>
  </si>
  <si>
    <t>Karena Tidak memiliki data base Industri Sasaran dan Industri tempat PKL/ Magang mungkin Industri Sasaran yang sesuai untuk Pengembangan Kerjasama tidak ada dan Industri tempat Monitoring pelaksanaan PKL/Magang tidak siap sehingga PENINGKATAN KERJASAMA PROGRAM STUDI DENGAN INDUSTRI - D-IV Keuangan Tidak Berjalan</t>
  </si>
  <si>
    <t>Untuk mengatasi resiko yang mungkin terjadi, maka cara mengendalikan dampaknya adalah:
1) Membuat database yang relevan/sesuai dengan kebutuhan terkait Magang Industri dan PKL yang menjadi tujuan kerjasama</t>
  </si>
  <si>
    <t>D-IV Keuangan-3</t>
  </si>
  <si>
    <t>PENINGKATAN KUALITAS PEMBELAJARAN MELALUI MONEV MAGANG PROGRAM STUDI D-V KEUANGAN</t>
  </si>
  <si>
    <t>Karena kurangnya koordinasi dengan perusahaan mitra, mungkin kegiatan Monitoring dan Evaluasi (Monev) Magang tidak berjalan efektif, sehingga pengalaman belajar mahasiswa tidak optimal dan kompetensi yang diharapkan dari magang tidak tercapai.</t>
  </si>
  <si>
    <t>1. Penguatan Koordinasi dengan Perusahaan Mitra
Melakukan pertemuan awal dengan perusahaan mitra sebelum magang untuk menyepakati tujuan, peran, dan evaluasi program.
2. Peningkatan Pemantauan dan Evaluasi Magang
-Melakukan kunjungan monitoring secara berkala untuk mengevaluasi perkembangan mahasiswa di tempat magang.
-Menyediakan laporan kemajuan magang yang harus diisi oleh mahasiswa dan diverifikasi oleh pembimbing perusahaan serta dosen pembimbing.
-Menerapkan sistem feedback dua arah antara mahasiswa, perusahaan, dan kampus untuk meningkatkan efektivitas magang.</t>
  </si>
  <si>
    <t>D-IV Keuangan-4</t>
  </si>
  <si>
    <t>PENINGKATAN KUALITAS PEMBELAJARAN MELALUI PENYUSUNAN KURIKULUM D4 KEUANGAN - D-IV Keuangan</t>
  </si>
  <si>
    <t>implementasi kurikulum tidak dapat meningkatkan kualitas pembelajaran secara signifikan dan tidak memenuhi standar pendidikan vokasi yang berbasis industri.</t>
  </si>
  <si>
    <t>Karena kurangnya keterlibatan stakeholder, mungkin penyusunan kurikulum D4 Keuangan tidak berjalan optimal, sehingga implementasi kurikulum tidak dapat meningkatkan kualitas pembelajaran secara signifikan dan tidak memenuhi standar pendidikan vokasi yang berbasis industri.</t>
  </si>
  <si>
    <t>1. Melibatkan dosen, praktisi industri, asosiasi profesi, dan alumni dalam penyusunan kurikulum untuk memastikan relevansi dengan dunia kerja.
2. Mengadakan Focus Group Discussion (FGD) dengan industri keuangan untuk memahami kebutuhan keterampilan yang harus dimasukkan dalam kurikulum.
3. Menjalin kerja sama dengan asosiasi keuangan dan regulator untuk memastikan kurikulum memenuhi standar terkini.</t>
  </si>
  <si>
    <t>D-IV Keuangan PSDKU Kediri-1</t>
  </si>
  <si>
    <t>Workshop Kuliah Tamu Bagi Mahasiswa D4 Keuangan PSDKU Kediri</t>
  </si>
  <si>
    <t>Kegiatan workshop tidak dapat berjalan</t>
  </si>
  <si>
    <t>Karena kurangnya ketersediaan ruang yang cukup luas untuk menampung seluruh mahasiswa dan
dosen Prodi D4 Keuangan Kampus Kediri yang menjadi peserta Workshop, mungkin jumlah
peserta workshop yang direncanakan tidak tercapai, sehingga kegiatan workshop tidak dapat
berjalan.</t>
  </si>
  <si>
    <t>Melakukan koordinasi dengan pihak terkait untuk penggunaan ruangan dan fasilitasnya</t>
  </si>
  <si>
    <t>D-IV Keuangan PSDKU Kediri-7</t>
  </si>
  <si>
    <t>"Forum Group Discussion" tentang Penyusunan Bahan Ajar Berbasis Kegiatan MBKM Bidang Keuangan Di D-IV Keuangan PSDKU Kediri</t>
  </si>
  <si>
    <t>Kegiatan FGD tentang Implementasi MBKM tidak berjalan tidak berjalan.</t>
  </si>
  <si>
    <t>Karena kurangnya sosialisasi mengenai MBKM bagi tenaga pendidik maupun tenaga kependidikan di Prodi D-IV Keuangan Polinema Kampus Kediri, mungkin menyebabkan kurangnya ketersediaan SDM yang berwawasan tentang MBKM dan pengimplementasiannya secara tepat, sehingga FGD tentang Implementasi MBKM tidak berjalan</t>
  </si>
  <si>
    <t>Untuk mengatasi resiko yang mungkin terjadi, maka cara mengendalikan dampaknya adalah:
1) Membuat forum diskusi informal dengan internal Polinema atau pejabat yang terkait implementasi kurikulum MBKM/menugaskan SDM untuk studi banding dengan politeknik sejenis atau universitas lain dalam menjalankan kuriulum OBE MBKM.</t>
  </si>
  <si>
    <t>D-IV Keuangan PSDKU Kediri-8</t>
  </si>
  <si>
    <t>Lomba proyek investasi dan kewirausahaan bagi mahasiswa PSDKU Polinema di Kota Kediri</t>
  </si>
  <si>
    <t>dampaknya mahasiswa tidak memiliki luaran untuk mata kuliah berbasis PBL</t>
  </si>
  <si>
    <t>risiko kegiatan tidak berjalan dengan baik karena pelaksanaan berdekatan dengan libur hari raya idul fitri</t>
  </si>
  <si>
    <t>kegiatan dilaksanakan setelah libur idul fitri</t>
  </si>
  <si>
    <t>D-IV Manajemen Pemasaran-7</t>
  </si>
  <si>
    <t>Program Merdeka Belajar Kampus Merdeka Prodi D-IV Manajemen Pemasaran</t>
  </si>
  <si>
    <t>1. Tidak terpenuhinya jumlah mahasiswa yang berkegiatan di luar kampus; 2. Pengalaman mahasiswa terbatas hanya ada di dalam kampus saja.</t>
  </si>
  <si>
    <t>Karena tidak melibatkan dunia usaha dunia Industri dalam pelaksanaannya , mungkin kurangnya sosialisasi program MBKM kepada mahasiswa, sehingga Program Merdeka Belajar Kampus Merdeka Prodi D-IV Manajemen Pemasaran tidak berjalan lancar</t>
  </si>
  <si>
    <t>Melakukan sosialisasi program MBKM kepada mahasiswa. Melibatkan industri DUDI untuk menyusun program-program di luar kampus.</t>
  </si>
  <si>
    <t>D-IV Manajemen Pemasaran-8</t>
  </si>
  <si>
    <t>Publikasi pemberitaan/sosialisasi melalui media digital - D-IV Manajemen Pemasaran</t>
  </si>
  <si>
    <t>1. Informasi kegiatan-kegiatan program studi tidak tersampaikan secara luas; 2. Dokumentasi kegiatan berupa publikasi tidak terkelola dengan baik.</t>
  </si>
  <si>
    <t>Karena Informasi kegiatan program studi tidak tersampaikan dengan baik, mungkin Tidak ada manajemen pengelolaan publikasi dalam memberitakan informasi melalui media digital, sehingga Publikasi pemberitaan/ sosialisasi melalui media digital tidak berjalan lancar</t>
  </si>
  <si>
    <t>Menetapkan tim pengelola publikasi. Menyusun timeline kegiatan publikasi program studi.</t>
  </si>
  <si>
    <t>D-IV Manajemen Rekayasa Konstruksi-1</t>
  </si>
  <si>
    <t>MONEV AKHIR PBM - D-IV Manajemen Rekayasa Konstruksi</t>
  </si>
  <si>
    <t>Tidak terlaksananya Monev Akhir PBM akan berdampak : 1. Kurangnya pengukuran kemajuan mahasiswa, 2. Kurangnya identifikasi kekurangan mahasiswa&amp;dosen, 3. Kurangnya perbaikan proses PBM</t>
  </si>
  <si>
    <t>Karena tidak adanya koordinasi untuk menyusun panduan monitoring dan evaluasi Akhir proses pembelajaran mungkin tidak ada panduan dalam melakukan monitoring dan evaluasi Akhir proses pembelajaran sehingga tidak terdapatnya monitoring dan evaluasi Akhir Proses Pembelajaran</t>
  </si>
  <si>
    <t>"1. Membuat tim untuk membentuk SOP 2. Membuat SOP 3. Monitoring dan evaluasi Akhir Proses Pembelajaran dengan pengawasan dari KPS D-IV Manajemen Rekayasa Konstruksi"</t>
  </si>
  <si>
    <t>D-IV Manajemen Rekayasa Konstruksi-2</t>
  </si>
  <si>
    <t>Pengadaan Bahan Habis Pakai (BHP) Perkuliahan D-IV Manajemen Rekayasa Konstruksi</t>
  </si>
  <si>
    <t>Karena Tidak ada SDM untuk menyusun pengadaan BHP di prodi D-IV Manajemen Rekayasa Konstruksi mungkin pengumpulan pengadaan BHP di kantor pusat menjadi terlambat sehingga tidak adanya pengadaan BHP untuk mendukung penyelengaraan pendidikan</t>
  </si>
  <si>
    <t>D-IV Manajemen Rekayasa Konstruksi-3</t>
  </si>
  <si>
    <t>PENYUSUNAN LKPS - D-IV Manajemen Rekayasa Konstruksi</t>
  </si>
  <si>
    <t>Karena Tidak adanya database untuk penyusunan dokumen LKPS mungkin tidak ada SDM untuk menyusun dokumen LKPS prodi D-IV Manajemen Rekayasa Konstruksi sehingga tidak tersedianya dokumen LKPS prodi D-IV Manajemen Rekayasa Konstruksi</t>
  </si>
  <si>
    <t>"1. Penugasan tim khusus untuk menyusun dokumen LKPS prodi 2. Mengumpulkan informasi data dukung yang terorganisir dan termonitor 3. Pembuatan database untuk penyusunan dokumen LKPS "</t>
  </si>
  <si>
    <t>D-IV Manajemen Rekayasa Konstruksi-4</t>
  </si>
  <si>
    <t>PERAWATAN PERALATAN D4 MRK - D-IV Manajemen Rekayasa Konstruksi</t>
  </si>
  <si>
    <t>D-IV Manajemen Rekayasa Konstruksi-5</t>
  </si>
  <si>
    <t>REKONSTRUKSI KURIKULUM - D-IV Manajemen Rekayasa Konstruksi</t>
  </si>
  <si>
    <t>1. Kurikulum yang tidak sesuai, 
2. Kurangnya ketrampilan mahasiswa</t>
  </si>
  <si>
    <t>Karena Tidak adanya database untuk mendukung penyusunan dokumen Rekonstruksi Kurikulum prodi mungkin tidak ada SDM untuk menyusun dokumen Rekonstruksi Kurikulum prodi sehingga tidak tersedianya laporan Rekonstruksi Kurikulum prodi</t>
  </si>
  <si>
    <t>"1. Mengadakan Workshop berkaitan dengan team based project 2. Sosialisasi ke tim kurikulum</t>
  </si>
  <si>
    <t>D-IV Manajemen Rekayasa Konstruksi-6</t>
  </si>
  <si>
    <t>IMPLEMENTASI CUBICOST DALAM PBL - D-IV Manajemen Rekayasa Konstruksi</t>
  </si>
  <si>
    <t>Tidak terlaksananya Implementasi Cubicost dalam PBL akan berdampak : 1. Mahasiswa tidak mendapatkan sertifikat kompetensi, 2. Berkurangnya peluang mahasiswa dalam mendapatkan pekerjaan, 3. Kurangnya pengakuan atas kemampuan&amp;ketrampilan mahasiswa di bidang BIM</t>
  </si>
  <si>
    <t>Karena tidak ada database terkait pemateri yang bisa diundang untuk Pembelajaran Berbasis PBL melalui Cubicost, tidak ada pemetaan narasumber/pemateri yang sesuai , dan tidak adanya narasumber yang sesuai dengan Pembelajaran Berbasis PBL melalui Cubicost, maka Implementasi Cubicost dalam PBL tidak dapat terlaksana</t>
  </si>
  <si>
    <t>Menyediakan database terkait dengan pemateri untuk Pembelajaran Berbasis PBL melalui Cubicost Membuat pemetaan narasumber/pemateri yang sesuai untuk Pembelajaran Berbasis PBL melalui Cubicost serta pemateri/narasumber yang dapat hadir di jadwal yang ditentukan untuk melaksanakan Pembelajaran Berbasis PBL melalui Cubicost</t>
  </si>
  <si>
    <t>D-IV Manajemen Rekayasa Konstruksi-7</t>
  </si>
  <si>
    <t>KUNJUNGAN INDUSTRI - D-IV Manajemen Rekayasa Konstruksi</t>
  </si>
  <si>
    <t>D-IV Sistem Informasi Bisnis-3</t>
  </si>
  <si>
    <t>Peningkatan Kompetensi dan Persiapan Kerja Mahasiswa</t>
  </si>
  <si>
    <t>Efektivitas menurun, pencapaian target terhambat, dan penerapan ilmu kurang optimal.</t>
  </si>
  <si>
    <t>Karena rendahnya parsisipasi peserta dan keterbatasan sumber daya, mungkin efektivitas menurun, sehingga Peningkatan Kompetensi dan Persiapan Kerja Mahasiswa tidak dapat dilaksakan.</t>
  </si>
  <si>
    <t>Sosialisasi yang lebih intensif untuk meningkatkan partisipasi, persiapan materi sebelumnya, dan memastikan perangkat siap sebelum acara dimulai.</t>
  </si>
  <si>
    <t>D-IV Sistem Informasi Bisnis-4</t>
  </si>
  <si>
    <t>Sinkronisasi Dokumen Kurikulum dengan Capaian - D-IV Sistem Informasi Bisnis</t>
  </si>
  <si>
    <t>Data yang diperoleh kurang sesuai</t>
  </si>
  <si>
    <t>Karena adanya kekurangan data/sumber data yang dikumpulkan, mungkin data yang disampaikan tidak akurat/up-to-date, sehingga penyusunan LKPS, LED, BKD dan AMI D4 Sistem Informasi Bisnis menjadi terhambat.</t>
  </si>
  <si>
    <t>1. Memastikan data yang dikumpulkan sudah benar dan up-to-date 
2. Memastikan bahwa tim yang menangani penyusunan LKPS, LED, BKD dan AMI D4 Sistem Informasi Bisnis dapat mengumpulkan data sejak awal secara bertahap dan sistematis</t>
  </si>
  <si>
    <t>D-IV Sistem Kelistrikan-6</t>
  </si>
  <si>
    <t>pembelian alat penunjang praktikum - D-IV Sistem Kelistrikan</t>
  </si>
  <si>
    <t>Menurunnya jumlah BHP dan alat</t>
  </si>
  <si>
    <t>Karena Tidak adanya SDM yang dapat mencari peralatan bengkel dan Praktikum dengan kandungan TKDN dan Menyusun HPS di Prodi mungkin Proses pengadaan alat Praktikum di Prodi menjadi Terlambat sehingga Tidak tersedia BHP Praktikum yang berkualitas untuk mahasiswa Prodi.</t>
  </si>
  <si>
    <t>D-IV Sistem Kelistrikan-7</t>
  </si>
  <si>
    <t>Pembelian Persedian BHP Penunjang Praktikum D-IV Sistem Kelistrikan</t>
  </si>
  <si>
    <t>Karena Tidak adanya SDM yang dapat mencari BHP Praktikum dengan kandungan TKDN dan Menyusun HPS di Prodi DIII sistem kelistrikan mungkin Proses BHP Praktikum di Prodi DIII sistem kelistrikan menjadi Terlambat sehingga Tidak tersedia BHP Praktikum yang berkualitas untuk mahasiswa Prodi DIII sistem kelistrikan.</t>
  </si>
  <si>
    <t>D-IV Sistem Kelistrikan-9</t>
  </si>
  <si>
    <t>pemeliharaan peralatan pendukung pembelajaran - D-IV Sistem Kelistrikan</t>
  </si>
  <si>
    <t>Karena Tidak ada data base penyedia jasa perawatan, mungkin tidak mendapat penyedia jasa perawatan alat-alat dan mesin yang baik, sehingga tidak terlaksana pemeliharaan peralatan dan mesin di prodi DIII sistem kelistrikan</t>
  </si>
  <si>
    <t>D-IV Teknik Elektronika-1</t>
  </si>
  <si>
    <t>FGD dan inisiasi kerjasama luar negeri - D-IV Teknik Elektronika</t>
  </si>
  <si>
    <t>Sasaran institusi luar negeri yang menghasilkan MoU dan SPK sehingga tidak adanya kerjasama luar negeri</t>
  </si>
  <si>
    <t>Karena tidak memilii database institusi luar negeri yang lengkap mungkin tidak ada pemetaan institusi luar negeri sasaran yang menghasilkan MoU dan SPK, sehingga tidak terdapat kegiatan kerjasama dengan luar luar negeri.</t>
  </si>
  <si>
    <t>Membuat database institusi luar negeri sehingga dapat memetakan untuk membuat MoU dan SPK</t>
  </si>
  <si>
    <t>D-IV Teknik Elektronika-4</t>
  </si>
  <si>
    <t>Monitoring dan evaluasi Pembelajaran - D-IV Teknik Elektronika</t>
  </si>
  <si>
    <t>Tidak adanya monitoring dan evaluasi proses belajar mengajar sehingga kekurangan dapat terulang di seriap tahun; Proses layanan pembelajaran kurang maksimal</t>
  </si>
  <si>
    <t>D-IV Teknik Elektronika-5</t>
  </si>
  <si>
    <t>Pengadaan Alat Pembelajaran di Laboratorium (praktikum)</t>
  </si>
  <si>
    <t>Menurunnya jumlah Alat pendukung pembelajran di laboratorium</t>
  </si>
  <si>
    <t>Karena Tidak adanya SDM yang dapat mencari Alat Pendidikan Penunjang Pembelajaran dengan kandungan TKDN dan Menyusun HPS di Prodi IV Teknik Elektronika mungkin lamanya proses mencari Alat Pendidikan Penunjang Pembelajaran Prodi D-IV Teknik Elektronika sehingga Tidak tersedia Alat pendukung pembelajaran yang berkualitas untuk mahasiswa Prodi D-IV Teknik Elektronika</t>
  </si>
  <si>
    <t>Untuk menyusun HPS Minta bantuan ke Tim Teknis Perumus HPS, untuk memenuhi TKDN mengikuti data base yang ada dan minimum 40 % , dan monitoring proses pengadaan</t>
  </si>
  <si>
    <t>D-IV Teknik Elektronika-6</t>
  </si>
  <si>
    <t>Pengadaan Alat Pendukung Pembelajaran - D-IV Teknik Elektronika</t>
  </si>
  <si>
    <t>D-IV Teknik Elektronika-7</t>
  </si>
  <si>
    <t>Pengadaan Bahan Habis Pakai Pembelajaran Laboratorium - D-IV Teknik Elektronika</t>
  </si>
  <si>
    <t>Menurunnya jumlah BHP praktikum</t>
  </si>
  <si>
    <t>Karena Tidak adanya SDM yang dapat mencari BHP Praktikum dengan kandungan TKDN dan Menyusun HPS di Prodi IV Teknik Elektronika mungkin lamanya proses mencari BHP Praktikum Prodi D-IV Teknik Elektronika sehingga Tidak tersedianya BHP Praktikum yang berkualitas untuk mahasiswa Prodi D-IV Teknik Elektronika</t>
  </si>
  <si>
    <t>D-IV Teknik Elektronika-9</t>
  </si>
  <si>
    <t>Penyusunan LKPS (2 semester) - D-IV Teknik Elektronika</t>
  </si>
  <si>
    <t>data LKPS tidak terkompilasi dengan baik</t>
  </si>
  <si>
    <t>Karena Tidak adanya database untuk mendukung penyusunan laporan kinerja prodi mungkin tidak adanya informasi dan koordinasi untuk menyusun laporan kinerja prodi dan dokumen pendukung sehingga tidak tersedianya laporan kinerja prodi</t>
  </si>
  <si>
    <t>Dengan menujuk tim khusus untuk melakukan pengumpulan data, dan kompilasi data kinerja program studi</t>
  </si>
  <si>
    <t>D-IV Teknik Elektronika-10</t>
  </si>
  <si>
    <t>Perawatan dan perbaikan peralatan pendukung pembelajaran - D-IV Teknik Elektronika</t>
  </si>
  <si>
    <t>Karena Tidak ada data base penyedia jasa perawatan dan perbaikan, mungkin tidak adanya pemetaan penyedia jasa perawatan alat-alat dan mesin , sehingga tidak terlaksana pemeliharaan peralatan dan mesin di prodi DIV Teknik Elektronika</t>
  </si>
  <si>
    <t>D-IV Teknik Elektronika-11</t>
  </si>
  <si>
    <t>Persiapan Pelaksanaan Pembelajaran - D-IV Teknik Elektronika</t>
  </si>
  <si>
    <t>tidak terlaksananya pembelajaran dengan baik</t>
  </si>
  <si>
    <t>Karena Tidak adanya database untuk mendukung penyusunan SOP pelaksanaan pembelajaran mungkin tidak adanya informasi dan koordinasi untuk menyusun SOP pelaksanaan pembelajaran sehingga tidak terlaksananya pembelajaran dengan baik</t>
  </si>
  <si>
    <t>Dengan meunjuk tim khusus untuk melakukan pengumpulan data dukung secara terorganisir dan termonitor sehingga memudahkan penyusunan SOP pembelajaaran</t>
  </si>
  <si>
    <t>D-IV Teknik Elektronika PSDKU Kediri-1</t>
  </si>
  <si>
    <t>FGD Mitra Strategis Prodi D4 Teknik Elektronika Kampus Kediri Untuk Kerjasama dengan Kampus di Lingkungan Kota Kediri dan Sekitarnya - D-IV Teknik Elektronika PSDKU Kediri</t>
  </si>
  <si>
    <t>1. MoU / PKS dengan kampus gagal dibuat 
2. Program untuk dosen berkegiatan di luar kampus gagal diinisiasi</t>
  </si>
  <si>
    <t>KARENA komunikasi antara Prodi dengan perwakilan FGD kurang, MUNGKIN tidak tercapainya kesepakatan jadwal antara Prodi dan Kampus Kerjasama FGD, SEHINGGA kegiatan FGD Prodi D4 Teknik Elektronika Kampus Kediri tidak bisa dilaksanakan.</t>
  </si>
  <si>
    <t>1. Memberikan pelatihan terhadap SDM dalam bernegosiasi 
2. Memberikan strategi agar kampus kerjasama menerima penawaran negosiasi</t>
  </si>
  <si>
    <t>D-IV Teknik Elektronika PSDKU Kediri-2</t>
  </si>
  <si>
    <t>Kunjungan Industri Untuk Inisiasi Tempat Magang Mahasiswa Dan Tindak Lanjut Kerjasama - D4 Teknik Elektronika Kampus Kediri</t>
  </si>
  <si>
    <t>1. MoU dengan industri gagal dibuat 
2. Program untuk mahasiswa gagal diinisiasi</t>
  </si>
  <si>
    <t>KARENA komunikasi antara Prodi dengan tempat kunjungan industri kurang, MUNGKIN tidak tercapainya kesepakatan jadwal antara Prodi dan Industri, SEHINGGA kegiatan Kunjungan Industri Prodi D4 Teknik Elektronika Kampus Kediri tidak bisa dilaksanakan.</t>
  </si>
  <si>
    <t>1. Memberikan pelatihan terhadap SDM dalam bernegosiasi 
2. Memberikan strategi agar industri menerima penawaran negosiasi</t>
  </si>
  <si>
    <t>D-IV Teknik Elektronika PSDKU Kediri-3</t>
  </si>
  <si>
    <t>Monitoring Dan Evaluasi Mahasiswa PKL Prodi D4 Teknik Elektronika Kampus Kediri</t>
  </si>
  <si>
    <t>1. Monitoring dan Evaluasi Mahasiswa PKL gagal disepakati 
2. Mahasiswa PKL gagal lulus PKL</t>
  </si>
  <si>
    <t>KARENA banyak mahasiswa tidak memahami pelaksanaan PKL, MUNGKIN banyak mahasiswa gagal melaksanakan PKL, SEHINGGA Monitoring dan Evaluasi Mahasiswa PKL dan Magang Industri D4 Teknik Elektronika Kampus Kediri tidak bisa dilaksanakan.</t>
  </si>
  <si>
    <t>1. Koordinator PKL aktif berkomunikasi dengan mahasiswa
2. Dosen pembimbing PKL aktif berkomunikasi dengan pembimbing lapangan</t>
  </si>
  <si>
    <t>D-IV Teknik Elektronika PSDKU Kediri-5</t>
  </si>
  <si>
    <t>Pengadaan Bahan Habis Pakai (BHP) Perkuliahan D4 Teknik Elektronika Kampus Kediri</t>
  </si>
  <si>
    <t>1. Tidak tersedia bahan praktikum secara tepat waktu 
2. Kegiatan praktikum terlambat dijalankan</t>
  </si>
  <si>
    <t>KARENA belum adanya SDM pengadaan yang kompeten di Prodi, MUNGKIN dokumen pengadaan barang dan jasa tidak bisa diselesaikan, SEHINGGA pengadaan BHP Perkuliahan D4 Teknik Elektronika Kampus Kediri tidak bisa dilaksanakan.</t>
  </si>
  <si>
    <t>1. Pelatihan SDM kompetensi pengadaan 
2. Kegiatan praktikum disesuaikan</t>
  </si>
  <si>
    <t>D-IV Teknik Elektronika PSDKU Kediri-6</t>
  </si>
  <si>
    <t>Pengadaan Modal Alat Pendidikan Penunjang Pembelajaran Prodi D4 Teknik Elektronika Kampus Kediri</t>
  </si>
  <si>
    <t>1. Dokumen Administrasi pembelajaran gagal didapatkan
2. Audit Prodi gagal dilaksanakan</t>
  </si>
  <si>
    <t>KARENA belum adanya SDM pengadaan yang kompeten di Prodi, MUNGKIN dokumen pengadaan barang dan jasa pendukung penunjang administrasi pembelajaran tidak bisa diselesaikan, SEHINGGA kegiatan penunjang administrasi pembelajaran Prodi D4 Teknik Elektronika Kampus Kediri tidak dapat dilaksanakan</t>
  </si>
  <si>
    <t>1. Pelatihan SDM kompetensi pengadaan 
2. Meningkatkan komunikasi internal tim administrasi pembelajaran</t>
  </si>
  <si>
    <t>D-IV Teknik Elektronika PSDKU Kediri-7</t>
  </si>
  <si>
    <t>Proyek Akhir Prodi D4 Teknik Elektronika Kampus Kediri</t>
  </si>
  <si>
    <t>KARENA komunikasi antara Prodi dengan industri dan PT lainnya kurang, MUNGKIN tidak tercapainya kesepakatan antara Prodi dengan Industri dan PT lainnya, SEHINGGA kegiatan Proyek Akhir tidak bisa dilaksanakan.</t>
  </si>
  <si>
    <t>D-IV Teknik Elektronika PSDKU Kediri-9</t>
  </si>
  <si>
    <t>Workshop Kompetensi Mahasiswa - D4 Teknik Elektronika Kampus Kediri</t>
  </si>
  <si>
    <t>1. Peserta workshop kurang 
2. Mahasiswa gagal memperoleh pengetahuan dan sertifikat workshop</t>
  </si>
  <si>
    <t>KARENA mahasiswa kurang berminat dengan topik pelatihan, MUNGKIN banyak mahasiswa yang tidak hadir pada acara pelatihan, SEHINGGA Pelatihan Kompetensi untuk Mahasiswa D4 Teknik Elektronika Kampus Kediri tidak bisa dilaksanakan</t>
  </si>
  <si>
    <t>1. Sosialisasi workshop digencarkan 
2. Memberikan strategi agar mahasiswa ikut berpartisipasi dengan narasumber menarik</t>
  </si>
  <si>
    <t>D-IV Teknik Informatika-1</t>
  </si>
  <si>
    <t>Evaluasi Kurikulum - D-IV Teknik Informatika</t>
  </si>
  <si>
    <t>1) ada keterlambatan dalam implementasi kurikulum baru 
2) kurikulum tidak sesuai kebutuhan dunia usaha dan dunia industri terkini</t>
  </si>
  <si>
    <t>Karena adanya kesalahan perhitungan kebutuhan tenaga dan waktu untuk melakukan kajian kurikulum yang bersifat komprehensif, mungkin tim penyusun yang dibentuk memerlukan waktu lebih lama dari yang diperkirakan untuk melakukan rekontruksi kurikulum, sehingga rekontruksi kurikulum Program Studi D4Teknik Informatika tidak dapat dilaksanakan tepat waktu.</t>
  </si>
  <si>
    <t>Mengatur waktu pelaksanaan dan mulai untuk mempersiapkan ide bagi kurikulum baru</t>
  </si>
  <si>
    <t>D-IV Teknik Informatika-3</t>
  </si>
  <si>
    <t>Sinkronisasi Dokumen Kurikulum dengan Capaian - D-IV Teknik Informatika</t>
  </si>
  <si>
    <t>1. Data yang diperoleh kurang sesuai</t>
  </si>
  <si>
    <t>Karena adanya kekurangan data/sumber data yang dikumpulkan, mungkin data yang disampaikan tidak akurat/up-to-date, sehingga penyusunan LKPS, LED, BKD dan AMI D4 Teknik Informatika menjadi terhambat.</t>
  </si>
  <si>
    <t>1. Memastikan data yang dikumpulkan sudah benar dan up-to-date 2. Memastikan bahwa tim yang menangani penyusunan LKPS, LED, BKD dan AMI D4 Teknik Informatika dapat mengumpulkan data sejak awal secara bertahap dan sistematis</t>
  </si>
  <si>
    <t>D-IV Teknik Mesin Produksi dan Perawatan-1</t>
  </si>
  <si>
    <t>Penyusunan Laporan Kinerja Program Studi - D-IV Teknik Mesin Produksi dan Perawatan</t>
  </si>
  <si>
    <t>Karena dokumen data belum terorganisir dengan baik, mungkin akibat proses pengumpulan dokumen data yang sulit, sehingga Workshop updating data LKPS Prodi tahun 2023 - D4 TMPP dapat terlaksana namun kurang maksimal dalam perolehan dokumen data dan dokumen data LKPS Prodi D4 TMPP dalam pemenuhan kriteria belum maksimum.
Kategori Risiko</t>
  </si>
  <si>
    <t>Perlu dilakukan kegiatan workshop penyusunan LKPS sehingga didapat dokumen dalam pemenuhan kriteria yang maksimum</t>
  </si>
  <si>
    <t>D-IV Teknik Mesin Produksi dan Perawatan-2</t>
  </si>
  <si>
    <t>Tinjauan dan Evaluasi Kurikulum - D-IV Teknik Mesin Produksi dan Perawatan</t>
  </si>
  <si>
    <t>Dilakukan kegiatan berupa workshop khusus untuk melengkapi perbaikan perangkat kurikulum untuk semua mata kuliah dan semua semester untuk Prodi d4 Teknik Mesin Produksi dan Perawatan</t>
  </si>
  <si>
    <t>D-IV Teknik Mesin Produksi dan Perawatan-3</t>
  </si>
  <si>
    <t>Pengembangan Kerjasama Prodi D4 Tmpp Dengan Perguruan Tinggi</t>
  </si>
  <si>
    <t>Karena belum adanya pemetaan yang tepat untuk pengembangan kerjasama Prodi D4 TMPP dengan perguruan tinggi di luar negeri mungkin masih minimnya usaha prodi D4 TMPP untuk menjalin hubungan dengan perguruan tinggi di luar negeri dalam pengembangan kerjasama di bidang tri dharma sehingga Pengembangan Kerjasama Prodi D4 TMPP dengan Perguruan Tinggi di luar negeri belum berjalan secara efektif dan program internasionalisasi bisa terhambat</t>
  </si>
  <si>
    <t>Perlu dilakukan kegiatan Pengembangan Kerjasama Prodi D4 TMPP dengan Perguruan Tinggi di luar negeri dengan pemetaan yang tepat</t>
  </si>
  <si>
    <t>D-IV Teknik Mesin Produksi dan Perawatan PSDKU Kediri-5</t>
  </si>
  <si>
    <t>Workshop Keterampilan Komunikasi (Communication Skills) Bagi mahasiswa Dalam Menghadapi Dunia Kerja</t>
  </si>
  <si>
    <t>1. Tidak terlaksananya Workshop Keterampilan Komunikasi (Communication Skills) Bagi mahasiswa Dalam Menghadapi Dunia Kerja.
2. Mahasiswa tidak siap dalam menghadapi dunia kerja</t>
  </si>
  <si>
    <t>Karena tidak ada SDM yang bertanggungjawab dalam memetakan dan membuat database tentang tutor Keterampilan Komunikasi (Communication Skills) Bagi mahasiswa Dalam Menghadapi Dunia Kerja, mungkin Tidak adanya database dan pemetaan tutor yang kompeten dalam bidangnya sehingga Workshop Keterampilan Komunikasi (Communication Skills) Bagi mahasiswa Dalam Menghadapi Dunia Kerja tidak berjalan</t>
  </si>
  <si>
    <t>Menugaskan SDM untuk bertanggung jawab memetakan dan membuat database tentang tutor Workshop Keterampilan Komunikasi (Communication Skills) Bagi mahasiswa Dalam Menghadapi Dunia Kerja</t>
  </si>
  <si>
    <t>D-IV Teknik Otomotif Elektronik-1</t>
  </si>
  <si>
    <t>Penguatan Kolaburasi Kerjasama Pendidikan, Riset &amp; PPM dengan Universitas Vokasi di Malaysia - DIV-Teknik Otomotif Elektronik - D-IV Teknik Otomotif Elektronik - D-IV Teknik Otomotif Elektronik - D-IV Teknik Otomotif Elektronik - D-IV Teknik Otomotif Elektronik</t>
  </si>
  <si>
    <t>Karena tidak adanya pemetaan yang tepat untuk pengembangan kerjasama Prodi D4-TOE dengan perguruan tinggi di luar negeri, mungkin masih minimnya usaha prodi D4-TOE untuk menjalin hubungan &amp; pengembangan kerjasama dengan perguruan tinggi di luar negeri dalam bidang tri dharma, sehingga Pengembangan kolaburasi kerjasama ini belum berjalan secara efektif dan program internasionalisasi program studi bisa terhambat</t>
  </si>
  <si>
    <t>Karena tidak adanya pemetaan yang tepat untuk pengembangan kerjasama Prodi D4-TOE dengan perguruan tinggi di luar negeri, perlu dilakukan Benchmarking dengan perguruan tinggi khususnya di Malaysia.</t>
  </si>
  <si>
    <t>D-IV Teknik Otomotif Elektronik-2</t>
  </si>
  <si>
    <t>Implementasi Inovasi dan Kreativitas penunjang penelitian dan PPM Dosen-DIV-Teknik Otomotif Elektronik - D-IV Teknik Otomotif Elektronik - D-IV Teknik Otomotif Elektronik</t>
  </si>
  <si>
    <t>Karena Implementasi Inovasi dan Kreativitas penunjang penelitian dan PPM Dosen yang perlu ditingkatkan, perlu dilakukan kegiatan penelitian dalam rangka monitoring Implementasi Inovasi dan Kreativitas penunjang penelitian dan PPM Dosen</t>
  </si>
  <si>
    <t>D-IV Teknik Otomotif Elektronik-3</t>
  </si>
  <si>
    <t>Pembekalan Mahasiswa Terhadap Dunia Usaha Dan Dunia Industri (DUDI) - DIV Teknik Otomotif Elektronik - D-IV Teknik Otomotif Elektronik</t>
  </si>
  <si>
    <t>Karena tidak adanya informasi yang cukup mengenai DU/DI tentang kemampuan yang harus dimiliki alumni utk masa mendatang, mungkin softskill mahasiswa D4-TOE saat ini masih belum sepenuhnya selaras dengan kebutuhan DU/DI, sehinga kualitas lulusan/alumni tidak selaras dengan kebutuhan DU/DI</t>
  </si>
  <si>
    <t>Karena tidak adanya informasi yang cukup mengenai DU/DI, perlu dilakukan kegiatan FGD dengan Alumni dan stakeholder DU/DI yang sesuai kompetensi lulusan mahasiswa D4-TOE</t>
  </si>
  <si>
    <t>D-IV Teknik Otomotif Elektronik-4</t>
  </si>
  <si>
    <t>Penguatan Pembelajaran Berbasis Proyek (PBL) &amp; Case Method (CM) yang terintegrasi dengan TEFA (Teaching Factory)- DIV-Teknik Otomotif Elektronik - D-IV Teknik Otomotif Elektronik - D-IV Teknik Otomotif Elektronik</t>
  </si>
  <si>
    <t>Karena tidak adanya masukan dari DU/DI tentang kemampuan yang harus dimiliki alumni utk masa mendatang dan aturan pemerintah tentang persentase mata kuliah yang menggunakan metode PBL dan CM, mungkin perangkat kurikulum saat ini masih belum sepenuhnya selaras dengan kebutuhan DU/DI dan belum tercapainya persentase mata kuliah yang menggunakan metode PBL dan CM utk kelas reguler maupun kelas internasional, sehingga proses PBM tidak berjalan maksimal</t>
  </si>
  <si>
    <t>Karena kurangnya pengetahuan dosen mengenai DU/DI, PBL/CM &amp; MBKM &amp; target kompetensi alumni utk masa mendatang maka diperlukan kegiatan workshop rekonstruksi kurikulum , agar terakomodasi kebijakan MBKM dan Permendikbudristek no 53 Tahun 2023 tentang SN Dikti terbaru guna menghasilkan kompetensi lulusan yang selaras dengan kebutuhan DU/DI.</t>
  </si>
  <si>
    <t>D-IV Teknologi Rekayasa Konstruksi Jalan dan Jembatan-1</t>
  </si>
  <si>
    <t>PERAWATAN PERALATAN D4 TRKJJ - D-IV Teknologi Rekayasa Konstruksi Jalan dan Jembatan</t>
  </si>
  <si>
    <t>1. Alat tidak dapat digunakan, 
2. Tidak dapat melaksanakan PBM,</t>
  </si>
  <si>
    <t>D-IV Teknologi Rekayasa Konstruksi Jalan dan Jembatan-2</t>
  </si>
  <si>
    <t>KUNJUNGAN INDUSTRI - D-IV Teknologi Rekayasa Konstruksi Jalan dan Jembatan</t>
  </si>
  <si>
    <t>1. Tidak adanya MoU/PKS dengan mitra industri, 
2. Tidak ada peluang mahasiswa dalam mendapatkan tempat magang industri,</t>
  </si>
  <si>
    <t>D-IV Teknologi Rekayasa Konstruksi Jalan dan Jembatan-3</t>
  </si>
  <si>
    <t>PENYUSUNAN LKPS - D-IV Teknologi Rekayasa Konstruksi Jalan dan Jembatan</t>
  </si>
  <si>
    <t>Karena Tidak adanya database untuk mendukung penyusunan laporan kinerja prodi mungkin tidak ada SDM untuk menyusun laporan kinerja prodi D-IV Teknologi Rekayasa Konstruksi Jalan dan Jembatan sehingga tidak tersedianya laporan kinerja prodi D-IV Teknologi Rekayasa Konstruksi Jalan dan Jembatan</t>
  </si>
  <si>
    <t>D-IV Teknologi Rekayasa Konstruksi Jalan dan Jembatan-4</t>
  </si>
  <si>
    <t>MONEV PBM DAN KURIKULUM - D-IV Teknologi Rekayasa Konstruksi Jalan dan Jembatan</t>
  </si>
  <si>
    <t>1. Tidak adanya perbaikan proses PBM
2. Tidak tercapainya IKU</t>
  </si>
  <si>
    <t>"1. Membuat tim untuk membentuk SOP 2. Membuat SOP 3. Monitoring pembelajaran dengan pengawasan dari KPS D-IV Teknologi Rekayasa Konstruksi Jalan dan Jembatan"</t>
  </si>
  <si>
    <t>D-IV Teknologi Rekayasa Konstruksi Jalan dan Jembatan-5</t>
  </si>
  <si>
    <t>PELATIHAN MENGIKUTI LOMBA NASIONAL - D-IV Teknologi Rekayasa Konstruksi Jalan dan Jembatan</t>
  </si>
  <si>
    <t>Tidak terlaksananya Pelatihan Lomba akan berdampak : 1. Kurangnya kemampuan mahasiswa untuk berkompetisi, 2. Mahasiswa tidak memiliki kesempatan untuk mengembangkan ketrampilan&amp;kemampuan yang diperlukan untuk berkompetisi, 3. Berkurangnya peluang untuk mendapatkan juara</t>
  </si>
  <si>
    <t>Karena Tidak ada SDM untuk koordinasi info berkala terkait lomba kepada mahasiswa mungkin minat mahasiswa untuk ikut serta lomba di tingkat nasional/internasional menjadi berkurang sehingga Tidak terdapatnya Peningkatan kualitas mahasiswa melalui keikutsertaan dalam lomba</t>
  </si>
  <si>
    <t>D-IV Teknologi Rekayasa Konstruksi Jalan dan Jembatan-6</t>
  </si>
  <si>
    <t>Pengadaan Bahan Habis Pakai (BHP) Perkuliahan D-IV Teknologi Rekayasa Konstruksi Jalan dan Jembatan</t>
  </si>
  <si>
    <t>Tidak terselenggaranya PBM,</t>
  </si>
  <si>
    <t>Karena Tidak ada SDM untuk menyusun pengadaan BHP di prodi D-IV Teknologi Rekayasa Konstruksi Jalan dan Jembatan mungkin pengumpulan pengadaan BHP di kantor pusat menjadi terlambat sehingga tidak adanya pengadaan BHP untuk mendukung penyelengaraan pendidikan</t>
  </si>
  <si>
    <t>D-IV Usaha Perjalanan Wisata-5</t>
  </si>
  <si>
    <t>Workshop dan Pelatihan Konsultan Pemasaran Pariwisata - D-IV Usaha Perjalanan Wisata</t>
  </si>
  <si>
    <t>1. Dosen tidak memiliki kesempatan mengembangkan minat dan bakat sehingga terlambat untuk meraih prestasi tingkat nasional sebagai konsultan pemasaran bidang pariwisata
2. Tidak adanya dosen yang meraih prestasi tingkat nasional sebagai konsultan pemasaran bidang pariwisata sehingga target akreditasi program studi maupun perguruan tinggi sulit untuk tercpai</t>
  </si>
  <si>
    <t>Karena tidak begitu banyaknya narasumber dan Lembaga Sertifikasi Profesi Pariwisata yang bisa dilibatkan dan terbatasnya pakar untuk kegiatan pelatihan persiapan Konsultan bidang Pemasaran Pariwisata, mungkin akan berpengaruh pada pemilihan narasumber yang kurang sesuai kapasitas kompetensinya yang dibutuhkan dosen UPW sehingga tidak semua dosen D4 UPW mendapatkan manfaat dari pelatihan ini</t>
  </si>
  <si>
    <t>Menetapkan batasan jumlah pelatihan dan memastikan bahwa pengumuman pembukaan pelatihan telah tersampaikan dengan baik</t>
  </si>
  <si>
    <t>DEWAS-2</t>
  </si>
  <si>
    <t>Penyusunan Laporan Dewan Pengawas Semester I Tahun 2025</t>
  </si>
  <si>
    <t>Keterlambatan Penyajian Laporan Dewas Tersebut Dapat Menyebabkan Keterlambatan Penyajian Informasi Tentang Penilaian Kinerja Akademik dan Non-Akademik yang Digunakan sebagai Dasar untuk Memberikan Rekomendasi Perbaikan dan Peningkatan Kualitas yang Harus Dilakukan oleh Direktur dan Jajarannya.</t>
  </si>
  <si>
    <t>DEWAS-3</t>
  </si>
  <si>
    <t>Penyusunan Laporan Dewan Pengawas Semester II Tahun 2025</t>
  </si>
  <si>
    <t>DEWAS-5</t>
  </si>
  <si>
    <t>Pertemuan Dewan Pengawas Bulan April Tahun 2025</t>
  </si>
  <si>
    <t>DEWAS-6</t>
  </si>
  <si>
    <t>Pertemuan Dewan Pengawas Bulan Februari Tahun 2025</t>
  </si>
  <si>
    <t>DEWAS-7</t>
  </si>
  <si>
    <t>Pertemuan Dewan Pengawas Bulan Juli Tahun 2025 - DEWAS</t>
  </si>
  <si>
    <t>DEWAS-8</t>
  </si>
  <si>
    <t>Pertemuan Dewan Pengawas Bulan Maret Tahun 2025 - DEWAS</t>
  </si>
  <si>
    <t>DEWAS-10</t>
  </si>
  <si>
    <t>Pertemuan Dewan Pengawas Bulan November Tahun 2025 - DEWAS</t>
  </si>
  <si>
    <t>DEWAS-12</t>
  </si>
  <si>
    <t>Pertemuan Dewan Pengawas Bulan September Tahun 2025 - DEWAS</t>
  </si>
  <si>
    <t>DEWAS-13</t>
  </si>
  <si>
    <t>Pertemuan Dewan Pengawas Semester I Tahun 2025 - DEWAS</t>
  </si>
  <si>
    <t>DEWAS-14</t>
  </si>
  <si>
    <t>Pertemuan Dewan Pengawas Semester II Tahun 2025 - DEWAS</t>
  </si>
  <si>
    <t>DEWAS-15</t>
  </si>
  <si>
    <t>Rapat Pertemuan Dewas : Target, Realisasi, dan Capaian Kinerja dan Anggaran Triwulan I Tahun 2025</t>
  </si>
  <si>
    <t>Karena Keterbatasan Waktu oleh Ketua Dewas dan Anggota Dewas untuk Melakukan Monitoring dan Pengawasan yang Tidak Terpenuhi, Mungkin Pelaksanaan Kegiatan Pertemuan Dewan Pengawas Beserta Direktur dan Jajarannya Menjadi tidak terlaksana, Sehingga Tidak Terpenuhinya Frekuensi Pertemuan Dewas Tersebut Dapat Menyebabkan Tidak Berjalannya Monitoring dan Pengawasan Secara Periodik</t>
  </si>
  <si>
    <t>Jurusan Administrasi Niaga-1</t>
  </si>
  <si>
    <t>Pengadaan ATK dan BHP Jurusan Administrasi Niaga</t>
  </si>
  <si>
    <t>Terlambatnya pengadaan ATK/BHP dan barang tidak sesuai spesifikasi yang dibutuhkan dapat mengganggu proses pembelajaran.</t>
  </si>
  <si>
    <t>Karena HPS yang disusun seringkali berbeda dan memerlukan referensi yang sesuai dengan kondisi pasar ATK/BHP, maka penyusunan HPS menjadi lama sehingga ATK/BHP tidak tersedia.</t>
  </si>
  <si>
    <t>HPS disusun lebih awal setelah RAB disusun dan penentuan HPS dikonsultasikan dengan pemilik pekerjaan.</t>
  </si>
  <si>
    <t>Jurusan Administrasi Niaga-5</t>
  </si>
  <si>
    <t>Workshop evaluasi pembelajaran Jurusan Administrasi Niaga</t>
  </si>
  <si>
    <t>Tidak Terlaksananya Workshop Evaluasi Pembelajaran di Jurusan Administrasi Niaga</t>
  </si>
  <si>
    <t>KARENA Tidak ada SDM yang bertanggungjawab dalam memetakan dan membuat database narasumber potensial dan mumpuni di bidang nya. MUNGKIN Tidak ada database dan pemetaan narasumber sesuai dengan kompetensi yang sesuai dengan target. SEHINGGA Tidak Terlaksananya Workshop Evaluasi Pembelajaran di Jurusan Administrasi Niaga</t>
  </si>
  <si>
    <t>Membentuk Tim Kerja yang bertanggung jawab untuk memetakan narasumber potensial dan mumpuni di bidangnya, sehingga kegiatan Wokshop Evaluasi Pembelajaran di Jurusan Administrasi niaga dapat berjalan dengan baik</t>
  </si>
  <si>
    <t>Jurusan Administrasi Niaga-6</t>
  </si>
  <si>
    <t>Workshop PBL dan Case Method Jurusan Administrasi Niaga</t>
  </si>
  <si>
    <t>Tidak Terlaksananya Workshop PBL dan CM di Jurusan Administrasi Niaga</t>
  </si>
  <si>
    <t>KARENA Tidak ada SDM yang bertanggungjawab dalam memetakan dan membuat database narasumber potensial dan mumpuni di bidang nya. MUNGKIN Tidak ada database dan pemetaan narasumber sesuai dengan kompetensi yang sesuai dengan target. SEHINGGA Tidak Terlaksananya Workshop PBL dan CM di Jurusan Administrasi Niaga</t>
  </si>
  <si>
    <t>Membentuk Tim Kerja yang bertanggung jawab untuk memetakan narasumber potensial dan mumpuni di bidangnya, sehingga kegiatan Workshop PBL dan CM di Jurusan Administrasi niaga dapat berjalan dengan baik</t>
  </si>
  <si>
    <t>Jurusan Administrasi Niaga-7</t>
  </si>
  <si>
    <t>Pengadaan Alat Laboratorium/Studio yang Terdigitalisasi - Jurusan Administrasi Niaga</t>
  </si>
  <si>
    <t>Kualitas pembelajaran tidak baik jika alat praktek yang ada di laboratorium/studio atau kelas tidak memiliki kualitas yang baik.</t>
  </si>
  <si>
    <t>Karena tidak memiliki data base yang legkap terkait alat yang dibutuhkan oleh laboratorium atau dananya tidak cukup dan Tidak ada spesifikasi alat yang jelas atau alat sudah tidak diproduksi lagi dan dana tidak tersedia maka Pengadaan Alat Laboratorium/Studio yang Terdigitalisasi Tidak Berjalan.</t>
  </si>
  <si>
    <t>Mengumpulkan database alat pembelajaran dengan spesifikasi yang lengkap serta menyediakan dana yang cukup.</t>
  </si>
  <si>
    <t>Jurusan Akuntansi-1</t>
  </si>
  <si>
    <t>HOSTING PKM DAN VISITING LECTURER - JURUSAN AKUNTANSI</t>
  </si>
  <si>
    <t>Karena belum pernah menjadi host/ penyelenggara pelaksanaan kegiatan PKM Internasional, yang biasa dilakukan selama ini adalah kegiatan PKM lokal, mungkin kendala teknis saat PKM internasional akan terjadi, sehingga Hosting PKM dan Visiting Lecturer - Jurusan Akuntansi tidak terlaksana</t>
  </si>
  <si>
    <t>1) Mempelajari dari kegiatan PKM Internasional yang sudah diikuti untuk mendapat gambaran teknis operasional
2) Mencari co host yang juga sudah berpengalaman menyelenggarakan kegiatan PKM Internasional
3) Menggunakan database mitra Internasional yang sudah dimiliki Polinema untuk melakukan inisiasi untuk kegiatan PKM Internasional</t>
  </si>
  <si>
    <t>Jurusan Akuntansi-4</t>
  </si>
  <si>
    <t>PENINGKATAN KUALITAS PEMBELAJARAN MELALUI INTERNATIONAL MOBILITY PROGRAM - Jurusan Akuntansi</t>
  </si>
  <si>
    <t>1. Terhambatnya proses pembelajaran internasional yang dapat mengurangi pengalaman global bagi mahasiswa dan dosen.
2. Menurunnya reputasi Polinema dalam kerja sama internasional jika program tidak berjalan sesuai rencana.
3. Potensi hilangnya kesempatan kerja sama dengan institusi luar negeri akibat ketidaksesuaian jadwal dan kurangnya keterlibatan aktif peserta.</t>
  </si>
  <si>
    <t>Karena kendala administratif, perbedaan kurikulum, serta keterbatasan kesiapan mahasiswa dan dosen dalam menghadapi lingkungan akademik internasional, mungkin pelaksanaan International Mobility Program tidak berjalan optimal, sehingga manfaat yang diharapkan dalam peningkatan kualitas pembelajaran dan kompetensi global mahasiswa tidak tercapai secara maksimal.</t>
  </si>
  <si>
    <t>1. Persiapan Administratif dan Akademik
-Melakukan koordinasi awal yang baik antara Jurusan Akuntansi, institusi mitra, dan pihak terkait dalam hal perizinan, visa, serta aspek akademik lainnya.
-Menyusun perjanjian kerjasama (MoU) yang mencakup kejelasan hak dan kewajiban masing-masing pihak, termasuk skema transfer kredit dan kesesuaian kurikulum.
-Mengadakan sesi orientasi bagi mahasiswa dan dosen tentang sistem pembelajaran, budaya akademik, serta kehidupan sosial di institusi tujuan.
2. Seleksi dan Pembekalan Peserta
-Menerapkan seleksi yang transparan berdasarkan kompetensi akademik, kemampuan bahasa asing, serta kesiapan mental mahasiswa untuk mengikuti program internasional.
-Menyelenggarakan pelatihan intensif, termasuk peningkatan keterampilan bahasa Inggris, adaptasi budaya, dan pemahaman terhadap standar akademik internasional. perbaikan untuk program di tahun berikutnya.</t>
  </si>
  <si>
    <t>Jurusan Akuntansi-5</t>
  </si>
  <si>
    <t>PENINGKATAN KUALITAS SDM MELALUI CAPACITY BUILDING JURUSAN AKUNTANSI</t>
  </si>
  <si>
    <t>Peningkatan kompetensi dan kinerja pegawai menjadi kurang signifikan.</t>
  </si>
  <si>
    <t>Karena keterbatasan partisipasi dan keterlibatan aktif dari dosen dan tenaga kependidikan dalam kegiatan Capacity Building, mungkin tujuan peningkatan kualitas SDM tidak tercapai secara optimal, sehingga dampak dari kegiatan ini terhadap peningkatan kompetensi dan kinerja pegawai menjadi kurang signifikan.</t>
  </si>
  <si>
    <t>1. Sosialisasi dan Komunikasi Efektif
-Menginformasikan tujuan dan manfaat kegiatan Capacity Building kepada seluruh dosen dan tenaga kependidikan melalui surat resmi, media sosial, dan pertemuan internal.
-Menyediakan mekanisme feedback agar peserta dapat menyampaikan harapan dan kebutuhan mereka sebelum kegiatan 
2. Desain Program yang Menarik dan Relevan
Menyesuaikan materi pelatihan dengan kebutuhan aktual peserta, seperti pengembangan keterampilan digital, inovasi pengajaran, dan leadership.
-Menghadirkan narasumber yang kompeten dan inspiratif untuk meningkatkan antusiasme peserta.
-Menggunakan metode pembelajaran interaktif seperti simulasi, studi kasus, dan role-playing untuk meningkatkan keterlibatan.
3. Evaluasi dan Tindak Lanjut
-Melakukan survei kepuasan peserta setelah kegiatan untuk mengidentifikasi kekuatan dan area yang perlu diperbaiki..</t>
  </si>
  <si>
    <t>Jurusan Akuntansi-6</t>
  </si>
  <si>
    <t>PENINGKATAN PEMBELAJARAN BIDANG AKUNTANSI MELALUI FGD PADA FORUM KETUA JURUSAN AKUNTANSI VOKASI SE INDONESIA 2025 - Jurusan Akuntansi</t>
  </si>
  <si>
    <t>peserta yang tidak memenuhi target bisa jadi tidak terlaksana</t>
  </si>
  <si>
    <t>Karena kurangnya koordinasi dan keterlibatan aktif dari peserta dalam FGD, mungkin diskusi tidak berjalan secara optimal dan rekomendasi yang dihasilkan kurang representatif, sehingga hasil forum tidak dapat diterapkan secara efektif dalam peningkatan pembelajaran akuntansi di institusi masing-masing.</t>
  </si>
  <si>
    <t>1. Sosialisasi Sebelum Acara
Mengirimkan undangan resmi beserta agenda dan tujuan FGD kepada seluruh Ketua Jurusan Akuntansi Vokasi.
Menyediakan materi pra-FGD agar peserta dapat memahami isu-isu yang akan dibahas sebelum kegiatan dimulai.
2. Penyediaan Fasilitator dan Moderator
Menunjuk fasilitator yang berpengalaman untuk mengarahkan diskusi agar tetap fokus dan produktif.
Menggunakan metode brainstorming terstruktur atau teknik diskusi yang mendorong partisipasi aktif.
3. Pembuatan Panduan Diskusi
Menyusun daftar pertanyaan kunci untuk memastikan topik yang dibahas tetap relevan dengan tujuan utama.</t>
  </si>
  <si>
    <t>Jurusan Akuntansi-7</t>
  </si>
  <si>
    <t>WORKSHOP AKREDITASI INTERNASIONAL JURUSAN AKUNTANSI</t>
  </si>
  <si>
    <t>Kegiatan tidak berjalan sesuai rencana sehingga menyebabkan kerugian baik moril maupun materiil.</t>
  </si>
  <si>
    <t>Karena kurangnya pemahaman terhadap standar akreditasi internasional, keterbatasan kesiapan dokumen, serta minimnya koordinasi dengan pemangku kepentingan terkait, mungkin kegiatan workshop akreditasi internasional tidak berjalan sesuai rencana, sehingga Jurusan Akuntansi mengalami kendala dalam mencapai standar mutu global dan memperoleh pengakuan internasional.</t>
  </si>
  <si>
    <t>1. Peningkatan Pemahaman Standar Akreditasi
-Mengundang narasumber ahli atau perwakilan dari lembaga akreditasi internasional untuk memberikan pemaparan komprehensif mengenai standar yang harus dipenuhi.
-Menyediakan materi workshop dalam bentuk modul atau panduan yang mudah dipahami oleh seluruh peserta.
2. Persiapan Dokumen dan Administrasi
-Membentuk tim khusus yang bertanggung jawab atas penyusunan dan pemenuhan dokumen akreditasi sesuai dengan standar yang ditetapkan.
-Melakukan benchmarking dengan institusi lain yang telah berhasil memperoleh akreditasi internasional untuk memahami best practices dalam proses akreditasi.
3. Koordinasi dengan Pemangku Kepentingan
-Mengadakan rapat berkala dengan pimpinan jurusan, dosen, tenaga kependidikan, dan mahasiswa untuk memastikan kesiapan semua pihak dalam proses akreditasi.
-Menjalin komunikasi aktif dengan lembaga akreditasi untuk memperoleh arahan dan bimbingan teknis terkait prosedur yang harus ditempuh.</t>
  </si>
  <si>
    <t>Jurusan Akuntansi-8</t>
  </si>
  <si>
    <t>WORKSHOP PENYUSUNAN LAPORAN KEBERLANJUTAN BERDASARKAN STANDAR ISSB - Jurusan Akuntansi</t>
  </si>
  <si>
    <t>kegiatan tidak memberikan dampak signifikan terhadap peningkatan kualitas penyusunan laporan keberlanjutan di institusi atau perusahaan peserta.</t>
  </si>
  <si>
    <t>Karena kurangnya pemahaman peserta terhadap standar International Sustainability Standards Board (ISSB), keterbatasan waktu seminar dalam memberikan pembelajaran mendalam, serta minimnya kesiapan institusi dalam mengimplementasikan standar ini, mungkin peserta tidak dapat memahami dan menerapkan standar ISSB dengan baik, sehingga kegiatan tidak memberikan dampak signifikan terhadap peningkatan kualitas penyusunan laporan keberlanjutan di institusi atau perusahaan peserta.</t>
  </si>
  <si>
    <t>1. Peningkatan Pemahaman terhadap ISSB
-Mengundang narasumber dari praktisi atau akademisi yang memiliki keahlian dalam pelaporan keberlanjutan berbasis ISSB.
-Menyediakan materi seminar dalam bentuk e-book, infografis, dan video untuk diakses peserta setelah seminar.
-Mengadakan sesi tanya jawab interaktif untuk mengatasi kesenjangan pemahaman peserta.
2. Penguatan Metode Penyampaian
-Menyusun agenda seminar yang mencakup pemaparan teori dan contoh aplikasi nyata dalam bisnis atau institusi pendidikan.
-Menggunakan studi kasus dari perusahaan yang telah menerapkan ISSB untuk meningkatkan pemahaman praktis peserta.
-Menyediakan platform digital atau komunitas daring sebagai wadah diskusi lanjutan setelah seminar.</t>
  </si>
  <si>
    <t>Jurusan Akuntansi-9</t>
  </si>
  <si>
    <t>PENINGKATAN KERJASAMA DALAM NEGERI MELALUI FGD DENGAN MITRA INDUSTRI</t>
  </si>
  <si>
    <t>Karena tidak memiliki database industri yang lengkap mungkin tidak ada kerjasama yang bisa dilakukan dengan industri yang tepat untuk mitra, sehingga kegiatan kerjasama industri bisa jadi tidak terlaksana</t>
  </si>
  <si>
    <t>merencanakan target sasaran mitra yang tepat dan di list sesuai dengan kebutuhan jurusan akuntansi</t>
  </si>
  <si>
    <t>Jurusan Akuntansi-10</t>
  </si>
  <si>
    <t>PENGUATAN KERJASAMA MELALUI ALUMNIN MEETING JURUSAN AKUNTANSI</t>
  </si>
  <si>
    <t>Peluang penguatan kerja sama, kontribusi alumni terhadap pengembangan jurusan, dan peningkatan jejaring profesional bagi mahasiswa menjadi terbatas</t>
  </si>
  <si>
    <t>Karena kurangnya partisipasi alumni, keterbatasan komunikasi, serta minimnya koordinasi antara alumni dan pihak jurusan, mungkin kegiatan Alumni Meeting tidak berjalan optimal, sehingga peluang penguatan kerja sama, kontribusi alumni terhadap pengembangan jurusan, dan peningkatan jejaring profesional bagi mahasiswa menjadi terbatas.</t>
  </si>
  <si>
    <t>1. Meningkatkan Partisipasi Alumni
-Menghubungi alumni melalui berbagai kanal komunikasi (email, media sosial, dan grup alumni) dengan informasi yang jelas dan menarik.
-Menentukan waktu dan lokasi yang strategis untuk meningkatkan aksesibilitas
2. Memperkuat Komunikasi dan Koordinasi
-Membentuk panitia khusus yang bertanggung jawab atas perencanaan dan pelaksanaan Alumni Meeting.
-Melibatkan perwakilan alumni dalam penyusunan agenda agar topik yang dibahas relevan dan menarik bagi peserta.
-Menggunakan platform komunikasi alumni, seperti website atau grup media sosial, untuk memperbarui informasi mengenai kegiatan.
3. Meningkatkan Kualitas Acara dan Manfaat bagi Alumni
-Menyelenggarakan sesi berbagi pengalaman (talk show, mentoring) dengan alumni yang telah sukses di dunia profesional.
-Menyediakan ruang diskusi tentang peluang kerja sama, seperti program magang, penelitian kolaboratif, atau pengembangan kurikulum berbasis industri.
-Memanfaatkan acara ini untuk membangun komunitas alumni yang lebih solid, misalnya dengan pembentukan Ikatan Alumni Jurusan Akuntansi secara resmi.</t>
  </si>
  <si>
    <t>Jurusan Akuntansi-13</t>
  </si>
  <si>
    <t>PENINGKATAN KERJASAMA MELALUI KUNJUNGAN INDUSTRI KE MITRA DU/DI - JURUSAN AKUNTANSI</t>
  </si>
  <si>
    <t>merencanakan target sasaran industri yang tepat dan di list sesuai dengan kebutuhan jurusan akuntansi</t>
  </si>
  <si>
    <t>Jurusan Teknik Elektro-5</t>
  </si>
  <si>
    <t>Studi Banding Aplikasi Smart Technology Pada Sistem Energy Terbarukan Untuk Mendukung Proses Belajar Mengajar di Jurusan Teknik Elektro</t>
  </si>
  <si>
    <t>Jurusan Teknik Elektro-6</t>
  </si>
  <si>
    <t>Workshop Digitalisasi dan Publikasi Peralatan Laboratorium di Jurusan Teknik Elektro</t>
  </si>
  <si>
    <t>Karena tidak adanya database narasumber/industri untuk mendukung kegiatan Workshop Digitalisasi dan Publikasi Peralatan Laboratorium di Jurusan Teknik Elektrodengan tema yang di tentukani mungkin kurangnya informasi untuk menyusun narasumber/industri yang relevan sehingga sehingga kegiatan tidak berjalan (sehingga workshop inisiasi TEFA tidak berjalan)</t>
  </si>
  <si>
    <t>Jurusan Teknik Elektro-8</t>
  </si>
  <si>
    <t>Workshop Standarisasi Teaching Factory (TEFA) di Jurusan Teknik Elektro</t>
  </si>
  <si>
    <t>tidak adanya database atau narasumber, sehingga pengenalan atau kerjasama tentang produk TEFA tidak berjalan</t>
  </si>
  <si>
    <t>Karena tidak adanya database narasumber/industri untuk mendukung kegiatan workshop dengan tema yang di tentukani mungkin kurangnya informasi untuk menyusun narasumber/industri yang relevan sehingga sehingga kegiatan tidak berjalan (sehingga workshop inisiasi TEFA tidak berjalan)</t>
  </si>
  <si>
    <t>Dengan membentuk TIM untuk membuat industri yang sesuai degan produk TEFA yang akan di hasilkan atau di pasarkan</t>
  </si>
  <si>
    <t>Jurusan Teknik Kimia-1</t>
  </si>
  <si>
    <t>Penguatan Penyelenggaran Prodi Magister Terapan Optimasi Rekayasa Kimia - Jurusan Teknik Kimia - Jurusan Teknik Kimia</t>
  </si>
  <si>
    <t>1. Penurunan minat calon mahasiswa
2. Kualitas lulusan yang tidak memenuhi standar
3. Keterbatasan peluang kolaborasi</t>
  </si>
  <si>
    <t>Karena keterbatasan tenaga pengajar dengan kualifikasi tertentu dan kurangnya fasilitas pendukung, mungkin proses pembelajaran dan penelitian tidak berjalan optimal sehingga target capaian akademik dan kualitas lulusan tidak tercapai</t>
  </si>
  <si>
    <t>1. menyusun kurikulum dan standar pengajaran
2. meningkatkan kapasitan dosen dan SDM
3. menjalin kemitraan dengan industri dan institusi luar negeri</t>
  </si>
  <si>
    <t>Jurusan Teknik Kimia-2</t>
  </si>
  <si>
    <t>Monev Pembelajaran dan Pelaksanaan K3 Laboratorium di Jurusan Teknik Kimia</t>
  </si>
  <si>
    <t>1. Penurunan standar keamanan laboratorium
2. Kualitas pembelajaran yang tidak optimal
3. Kerusakan atau kehilangan aset laboratorium
4. Citra jurusan menurun</t>
  </si>
  <si>
    <t>Karena kurangnya SDM yang kompeten dan waktu yang terbatas, mungkin pelaksanaan monitoring dan evaluasi pembelajaran serta K3 laboratorium tidak berjalan sesuai jadwal sehingga standar keamanan laboratorium dan kualitas pembelajaran tidak terpenuhi.</t>
  </si>
  <si>
    <t>1. memantau dan menindaklanjuti temuan monev
2. menyusun SOP K3
3. membentuk tim pengawas evaluasi pembelajaran</t>
  </si>
  <si>
    <t>Jurusan Teknik Kimia-3</t>
  </si>
  <si>
    <t>Workshop Kolaborasi Kemitraan dengan Industri dan Institusi Luar Negeri</t>
  </si>
  <si>
    <t>1. Minimnya akses ke sumber daya eksternal
2. Kehilangan reputasi akademik 
3. Keterbatasan peluang lulusan di dunia kerja</t>
  </si>
  <si>
    <t>Karena keterbatasan informasi terkait mitra potensial dan kurangnya koordinasi antar pihak, mungkin pelaksanaan workshop tidak berjalan efektif sehingga peluang kerja sama dengan industri dan institusi luar negeri tidak maksimal.</t>
  </si>
  <si>
    <t>Jurusan Teknik Mesin-1</t>
  </si>
  <si>
    <t>Monitoring dan Evaluasi Proses Belajar Mengajar - Jurusan Teknik Mesin</t>
  </si>
  <si>
    <t>1. Pengumuman nilai akhir semester terlambat</t>
  </si>
  <si>
    <t>Karena Belum optimalnya audit kinerja oleh institusi dan masih fokus pada audit laporan keuangan mungkin Rendahnya kualitas data dan informasi sehingga Monitoring Dan Evaluasi Proses Belajar Mengajar Tidak Berjalan</t>
  </si>
  <si>
    <t>1. Melakukan Kegiatan Pra Yudisium 
2. Pembentukan kepanitian ujian akhir semester</t>
  </si>
  <si>
    <t>Jurusan Teknik Mesin-2</t>
  </si>
  <si>
    <t>Pelaksanaan Tugas Akhir Mahasiswa - Jurusan Teknik Mesin</t>
  </si>
  <si>
    <t>. Waktu kelulusan terlambat 2. Kegiatan Ujian Judul dan Seminar Proposal kurang dukungan dana operasional</t>
  </si>
  <si>
    <t>Karena Tidak ada panduan pendanaan yang jelas mengenai kegiatan tugas akhir mungkin Adanya penataan sistem keuangan di institusi sehingga Tugas akhir mahasiswa Tidak terlaksana</t>
  </si>
  <si>
    <t>1. Pembentukan kepanitian TA di setiap prodi 
2. Memulali aktifitas kegiatan di akhir tahun sebelumnya</t>
  </si>
  <si>
    <t>Jurusan Teknik Mesin-5</t>
  </si>
  <si>
    <t>Perawatan Alat dan Mesin di Bengkel Otomototif - Jurusan Teknik Mesin</t>
  </si>
  <si>
    <t>1. Mesin ada yang tidak siap dipakai tetap waktu 
2. Spesifikasi sparepart kurang sesuai</t>
  </si>
  <si>
    <t>Karena Tidak ada timeline yang jelas mengenai penyelesaian HPS dan pengadaan setelah kegiatan diusulkan mungkin Penyusunan HPS pada tim teknis pusat lama sehingga Pengadaan Perawatan Pada bengkel Engine tidak terlaksana</t>
  </si>
  <si>
    <t>1. Membentuk tim perawatan di setiap laboratorium 
2. Aksi trial terhadap mesin yang baru dirawat</t>
  </si>
  <si>
    <t>Jurusan Teknik Mesin-7</t>
  </si>
  <si>
    <t>Kelengkapan Laboratorium Komputer - Jurusan Teknik Mesin</t>
  </si>
  <si>
    <t>1. Mahasiswa praktik tidak mendapatkan pelayanan yang seragam
2. Skil mahasiswa tidak sama</t>
  </si>
  <si>
    <t>Karena frekwensi pemakaian komputer di laboratorium komputer oleh mahasiswa sangat tinggi mungkin kinerja komputer menjadi turun sehingga praktik mahasiswa menjadi terganggu</t>
  </si>
  <si>
    <t>1. Sebagian mahasiswa membawa komputer/laptop sendiri</t>
  </si>
  <si>
    <t>Jurusan Teknik Mesin-9</t>
  </si>
  <si>
    <t>Inhouse Training Dosen Muda untuk Mendukung MBKM dan Mahasiswa Berprestasi - Jurusan Teknik Mesin</t>
  </si>
  <si>
    <t>1. Modul praktik tidak terselesaikan
2. Skill mahasiswa kurang</t>
  </si>
  <si>
    <t>Karena belum adanya pelatihan khusus yang menyiapkan dosen baru politeknik mungkin akan ada proses pembelajaran khususnya praktik yang diampu dosen baru tidak mampu mencapai tingkat skill yang ditargetkan sehingga capaian pembelajaran mahasiswa kurang berhasil.</t>
  </si>
  <si>
    <t>Membentuk konsorsium sesama politeknik dalam penyiapan dosen baru.</t>
  </si>
  <si>
    <t>Jurusan Teknik Mesin-10</t>
  </si>
  <si>
    <t>Kelengkapan Laboratorium Pengujian dan Perlakuan Bahan (Digitalisasi) - Jurusan Teknik Mesin</t>
  </si>
  <si>
    <t>1. Waktu realisasi terlambat 
2. Spesifikasi kurang sesuai</t>
  </si>
  <si>
    <t>Karena Tidak adanya SDM untuk Menyusun Kelengkapan Laboratorium Pengujian dan Perlakuan Bahan mungkin Proses Pengadaan di Kantor Pusat menjadi Terlambat sehingga Tidak tersedia dan harus diajukan sesuai apa yang dibibutuhkan</t>
  </si>
  <si>
    <t>1. Membentuk tim di setiap prodi 
2. Pengecekan rutin yang dieksekusi</t>
  </si>
  <si>
    <t>Jurusan Teknik Mesin-11</t>
  </si>
  <si>
    <t>Kelengkapan Welding Center - Jurusan Teknik Mesin</t>
  </si>
  <si>
    <t>1. Welding Center belum berfungsi
2. Praktik las lanjut terhambat</t>
  </si>
  <si>
    <t>Karena pipa gas buang belum terinstal mungkin welding center belum bisa digunakan mahasiswa praktik las lanjut sehingga pelaksanaan praktik las lanjut terhambat</t>
  </si>
  <si>
    <t>1. Pengaturan jadwal praktik las lanjut</t>
  </si>
  <si>
    <t>Jurusan Teknik Mesin-18</t>
  </si>
  <si>
    <t>Perawataan Alat dan Mesin di Bengkel Perawatan Mesin Industri - Jurusan Teknik Mesin</t>
  </si>
  <si>
    <t>Karena Tidak ada timeline yang jelas mengenai penyelesaian HPS dan pengadaan setelah kegiatan diusulkan mungkin Penyusunan HPS pada tim teknis pusat lama sehingga Pengadaan Perawatan Pada bengkel Mesin Perkakas tidak terlaksana</t>
  </si>
  <si>
    <t>Jurusan Teknik Sipil-1</t>
  </si>
  <si>
    <t>Evaluasi Pembelajaran Berbasis PBL melalui TeFaCon - Jurusan Teknik Sipil</t>
  </si>
  <si>
    <t>Tidak terlaksananya Evaluasi Pembelajaran Berbasis PBL akan berdampak : 1. Kurangnya perbaikan proses PBM, 2. Kurangnya mata kuliah berbasis PBL, 3. Kurangnya mahasiswa dalam memahami materi pembelajaran secara menyeluruh</t>
  </si>
  <si>
    <t>Karena tidak ada database terkait pemateri yang bisa diundang untuk Pembelajaran Berbasis PBL melalui TeFaCon, tidak ada pemetaan narasumber/pemateri yang sesuai untuk Pembelajaran Berbasis PBL melalui TeFaCon, dan tidak adanya narasumber yang sesuai dengan Pembelajaran Berbasis PBL melalui TeFaCon, maka Evaluasi Pembelajaran Berbasis PBL melalui TeFaCon tidak dapat terlaksana</t>
  </si>
  <si>
    <t>Menyediakan database terkait dengan pemateri untuk Pembelajaran Berbasis PBL melalui TeFaCon, Membuat pemetaan narasumber/pemateri yang sesuai untuk Pembelajaran Berbasis PBL melalui TeFaCon serta pemateri/narasumber yang dapat hadir di jadwal yang ditentukan untuk melaksanakan Pembelajaran Berbasis PBL melalui TeFaCon Jurusan teknik Sipil</t>
  </si>
  <si>
    <t>Jurusan Teknik Sipil-2</t>
  </si>
  <si>
    <t>Forum Kajur Teknik Sipil</t>
  </si>
  <si>
    <t>Tidak terlaksananya Forum Kajur akan berdampak : 1. Kurangnya komunikasi antara Ketua Jurusan seluruh Politeknik, 2. Tidak meningkatnya kerjasama, 3. Kurangnya berbagi pengalaman&amp;pengetahuan tentang isu-isu terkini yang berkaitan dengan dunia konstruksi</t>
  </si>
  <si>
    <t>Karena tidak ada Forum Kajur Teknik Sipil, tidak ada pemetaan yang sesuai untuk pelaksanaan Forum Kajur, dan tidak adanya peserta yang dapat hadir di jadwal yang telah ditentukan, maka Forum Kajur tidak dapat terlaksana</t>
  </si>
  <si>
    <t>Membuat database terkait peserta yang bisa bisa hadir/yang mewakili pada Forum Kajur Teknik Sipil sehingga mendapatkan peserta yang sesuai dengan dalam Forum Kajur dan dapat hadir di jadwal yang telah ditentukan</t>
  </si>
  <si>
    <t>Jurusan Teknik Sipil-3</t>
  </si>
  <si>
    <t>Implementasi Kerjasama Industri Jurusan Teknik Sipil</t>
  </si>
  <si>
    <t>Tidak terlaksananya Implementasi Kerjasama Industri akan berdampak : 1. Tidak ada MoU/PKS dengan mitra industri, 2. Mengurangi peluang mahasiswa dalam mendapatkan tempat magang industri, 3. Mengurangi peluang mahasiswa dalam mendapatkan tempat bekerja</t>
  </si>
  <si>
    <t>Karena Tidak memiliki database mitra industri yang sesuai untuk dilaksanakan kerjasama mungkin Tidak ada MoU/SPK dengan mitra industri yang sesuai untuk dilaksanakan kerjasama dengan mitra industri lain sehingga Tidak adanya Implementasikerjasama dengan mitra lain</t>
  </si>
  <si>
    <t>"1. Membuat database mitra industri 2. Melaksanakan FGD dengan mitra industri 3. Menjalin kerjasama melalui MoU /SPK dengan mitra industri yang sesuai"</t>
  </si>
  <si>
    <t>Jurusan Teknik Sipil-4</t>
  </si>
  <si>
    <t>Pembinaan Lomba Jurusan Teknik Sipil</t>
  </si>
  <si>
    <t>1. Tidak memiliki ketrampilan&amp;kemampuan untuk berkompetisi,
2. Kurangnya peluang untuk mendapatkan juara</t>
  </si>
  <si>
    <t>Jurusan Teknik Sipil-5</t>
  </si>
  <si>
    <t>PENGADAAN BHP PENUNJANG KEGIATAN LAB DAN BENGKEL - JURUSAN TEKNIK SIPIL</t>
  </si>
  <si>
    <t>Karena Tidak ada SDM untuk menyusun pengadaan BHP di jurusan mungkin pengumpulan pengadaan BHP di kantor pusat menjadi terlambat sehingga tidak adanya pengadaan BHP untuk mendukung penyelengaraan pendidikan</t>
  </si>
  <si>
    <t>"1. Memilih tenaga kependidikan dalam hal ini teknisi dengan kepala bengkel 2. Penugasan kepala bengkel dengan deadline ketat untuk mementukan jumlah BHP yang dibutuhkan "</t>
  </si>
  <si>
    <t>Jurusan Teknik Sipil-7</t>
  </si>
  <si>
    <t>PENYELENGGARAAN LOMBA TINGKAT NASIONAL ( LITSI) - Jurusan Teknik Sipil</t>
  </si>
  <si>
    <t>1. Tidak berjalanya kegiatan lomba, 
2. Tidak tercapainya IKU lomba</t>
  </si>
  <si>
    <t>Jurusan Teknik Sipil-8</t>
  </si>
  <si>
    <t>PENYESUAIAN RPS DAN PERANGKAT KURIKULUM - JURUSAN TEKNIK SIPIL</t>
  </si>
  <si>
    <t>Tidak terlaksananya Penyesuaian RPS dan Perangkat Kurikulum akan berdampak : 1. Akan terjadinya keterlambatan proses PBM, 2. Materi pembelajaran tidak sesuai dengan kebutuhan mahasiswa dan tidak relevan dengan peraturan terbaru, 3. Proses pembelajaran tidak efektif</t>
  </si>
  <si>
    <t>Karena tidak ada acuan (SOP) untuk menyusun Kurikulum dan RPS Jurusan mungkin tidak ada SDM untuk menyusun Kurikulum dan RPS Jurusan sehingga Tidak tersedianya Kurikulum dan penyusunan RPS Jurusan</t>
  </si>
  <si>
    <t>1. Mengundang narasumber yang kompeten 2. Menugaskan tim untuk menyempurnakan kurikulum sesuai pedoman 3. Sosialisasi kepada pendidik dan menugaskan untuk menyusun RPS sesuai kurikulum yang telah dibuat</t>
  </si>
  <si>
    <t>Jurusan Teknik Sipil-9</t>
  </si>
  <si>
    <t>PERAWATAN PERALATAN DAN MEBELER - Jurusan Teknik Sipil</t>
  </si>
  <si>
    <t>Karena Tidak ada koordinasi untuk pencatatan kondisi alat dan mesin sebelum dan setelah digunakan mungkin tidak ada jadwal untuk memonitor dan memelihara peralatan dan mesin di laboratorium sehingga tidak terlaksana perawatan peralatan di jurusan</t>
  </si>
  <si>
    <t>"1. Melakukan pemantauan alat dan mesin secara rutin dan berkala. 2. Pembuatan jadwal monitoring 3. Melaporkan hasil monitoring ke pada pimpinan"</t>
  </si>
  <si>
    <t>Jurusan Teknologi Informasi-3</t>
  </si>
  <si>
    <t>Monitoring dan Evaluasi Proses Belajar Mengajar - Jurusan Teknologi Informasi</t>
  </si>
  <si>
    <t>Melaksanakan yudisium tahap kedua</t>
  </si>
  <si>
    <t>Karena beberapa mahasiswa belum melaksanakan sidang skripsi tepat waktu, mungkin pelaporan terkait hasil sidang skripsi saat yudisium belum lengkap sehingga pelaksanaan monitoring dan evaluasi proses belajar mengajar tidak optimal</t>
  </si>
  <si>
    <t>Panitia melakukan monitoring pelaksanaan pengerjaan skripsi di tengah semester. Dosen pembimbing menghimbau mahasiswa mengerjakan skripsi di lab group riset pada waktu tertentu.</t>
  </si>
  <si>
    <t>Jurusan Teknologi Informasi-6</t>
  </si>
  <si>
    <t>Peningkatan SDM - Jurusan Teknologi Informasi</t>
  </si>
  <si>
    <t>Dampak dari dosen yang tidak mampu lolos dalam ujian sertifikasi adalah tidak terpenuhinya target dosen berkompetensi pada suatu bidang. Hal ini dibuktikan dengan lolosnya pada sertifikasi</t>
  </si>
  <si>
    <t>karena perencanaan alokasi kompetensi SDM tidak sesuai mungkin dosen yang ditugaskan untuk mengikuti pelatihan tidak dapat lolos dalam ujian sertifikasi sehingga target dosen yang memiliki kompetensi dengan bukti hasil sertifikasi tidak terpenuhi.</t>
  </si>
  <si>
    <t>Memberikan pendampingan dan arahan dalam pelaksanaan pelatihan.</t>
  </si>
  <si>
    <t>PSDKU Kota Kediri-2</t>
  </si>
  <si>
    <t>BELANJA OPERASIONAL PERKANTORAN ( Listrik, PDAM, Telepon, Sewa Bandwith dan Pajak Kendaraan) - PSDKU Kota Kediri</t>
  </si>
  <si>
    <t>Biaya Operasional Perkantoran semakin meningkat setiap tahun</t>
  </si>
  <si>
    <t>Karena jumlah mahasiswa meningkat dan jam praktikum mahasiswa banyak mungkin aset yang dimiliki PSDKU Polinema di Kota Kediri semakin bertambah sehingga biaya operasional perkantoran setiap tahun menjadi semakin tinggi</t>
  </si>
  <si>
    <t>Untuk mengatasi risiko yang mungkin terjadi maka cara mengendalikan dampaknya adalah dengan memastikan pembayaran tagihan rutin terbayarkan tepat waktu dan penambahan daya untuk listrik dan Bandwith</t>
  </si>
  <si>
    <t>PSDKU Kota Kediri-4</t>
  </si>
  <si>
    <t>BELANJA PENGADAAN KOLEKSI PUSTAKA</t>
  </si>
  <si>
    <t>Pengadaan buku memakan waktu lebih panjang karena harus mencari penerbit yang sesuai dengan kebutuhan.</t>
  </si>
  <si>
    <t>Karena dosen mmasing-masing prodi kurang responsif dalam menanggapi permintaan pengajuan usulan jenis buku mungkin menyebabkan terjadi keterlambatan dalam peneydiaan katalog bagi pihak penerbit sehingga menyebabkan jenis buku yang tersedia kurang lengkap dan referensi mahasiswa dalam kegiatan belajar mengajar tidak dapat dipenuhi perpustakaan</t>
  </si>
  <si>
    <t>Untuk mengatasi risiko yang mungkin terjadi maka cara mengendalikan dampaknya adalah dengan melakukan pembaruan dan penambahan buku baru melalui pengadaan atau Hibah dari Perpustakaan kampus pusat</t>
  </si>
  <si>
    <t>PSDKU Kota Kediri-5</t>
  </si>
  <si>
    <t>BIAYA JASA KEAMANAN, CLEANING SERVICE DAN GARDENER - PSDKU Kota Kediri</t>
  </si>
  <si>
    <t>1. Gaji dan fasilitas tenaga outsourcing berubah setiap tahun
2. Kinerja pegawai outsourcing di bawah standard yang diharapkan institusi
3. Kenyamanan dan kemanan lingkungan kampus dan perkantoran tidak optimal
4. Memerlukan waktu untuk beradaptasi kembali antara instansi PSDKU Kediri dan karyawan outsourcing dengan peraturan vendor baru</t>
  </si>
  <si>
    <t>Karena sistem pengadaan tenaga outsourcing dengan sistem lelang setiap tahunnya sehingga mungkin gaji dan fasilitas yang diterima tenaga kerja outsourcing berubah - ubah sesuai dengan ketentuan vendor yang memenangkan lelang kontrak, sehingga jika terjadi penurunan gaji dan fasilitas menyebabkan turunnya kinerja tenaga kerja outsourcing</t>
  </si>
  <si>
    <t>Untuk mengatasi risiko yang mungkin terjadi maka cara mengendalikan dampaknya adalah dengan melakukan koordinasi dengan vendor pemenang lelang untuk memberikan upah sesuai yang berlaku dengan tidak merugikan vendor</t>
  </si>
  <si>
    <t>PSDKU Kota Kediri-7</t>
  </si>
  <si>
    <t>BIAYA PERJALANAN DINAS</t>
  </si>
  <si>
    <t>perjalanan dinas tidak mendapatkan hasil sesuai dengan tujuan perjalanan dinas</t>
  </si>
  <si>
    <t>karena terlalu banyak perjalanan dinas yang dilakukan karyawan mungkin produktivitas absensi kehadiran karyawan di kantor kurang optimal sehingga pekerjaan di kantor terbengkalai sehingga tujuan dari perjalanan dinas tidak tercapai optimal</t>
  </si>
  <si>
    <t>Untuk mengatasi resiko yang mungkin terjadi maka cara mengendalikan dampaknya adalah dengan cara Memberikan batasan perjalanan dinas kepada pegawai berdasarkan skala prioritas.</t>
  </si>
  <si>
    <t>PSDKU Kota Kediri-8</t>
  </si>
  <si>
    <t>Bina Desa Mahasiswa 2025 - PSDKU Kota Kediri</t>
  </si>
  <si>
    <t>rangkaian kegiatan kemungkinan dapat Mengganggu kegiatan akademik peserta Kegiatan Bina desa</t>
  </si>
  <si>
    <t>Karena kegiatan dilaksanakan pada hari efektif perkuliahan mungkin menyebabkan beberapa mahasiswa ketinggalan kelas sehinnga menggangu kegiatan akademik mahasiswa peserta kegiatan Bina Desa</t>
  </si>
  <si>
    <t>Untuk mengatasi risiko yang mungkin terjadi maka cara mengendalikan dampaknya adalah melaksanakan kegiatan Bina Desa di liburan semester sehingga tidak menggangu kegiatan akademik dan perkuliahan mahasiswa</t>
  </si>
  <si>
    <t>PSDKU Kota Kediri-9</t>
  </si>
  <si>
    <t>KEGIATAN LATIHAN DASAR KEPEMIMPINAN (LDK) MAHASISWA BARU TA. 2025/2026</t>
  </si>
  <si>
    <t>Kegiatan tidak berjalan dengan lancar karena keterbatasan fasilitas</t>
  </si>
  <si>
    <t>Karena Jumlah mahasiswa semakin bertambah mungkin tempat dan fasilitas untuk kegiatan LDK tidak memadai sehingga potensi pelaksanaan kegiatan LDK tidak bisa terlaksana sangat besar</t>
  </si>
  <si>
    <t>Untuk mengatasi risiko yang mungkin terjadi maka dengan cara mengendalikan dampaknya dengan cara melaksanakan kegiatan LDK di bagi beberapa gelombang</t>
  </si>
  <si>
    <t>PSDKU Kota Kediri-12</t>
  </si>
  <si>
    <t>LAYANAN JASA PERKANTORAN</t>
  </si>
  <si>
    <t>Biaya operasional perkantoran setiap tahun semakin meningkat</t>
  </si>
  <si>
    <t>Karena jumlah mahasiswa meningkat dan jam praktikum mahasiswa banyak mungkin aset yang dimiliki PSDKU Polinema di Kota Kediri semakin bertambah sehingga biaya operasional perkantoran setiap tahun juga semakin tinggi</t>
  </si>
  <si>
    <t>Untuk mengatasi risiko yang mungkin terjadi maka cara mengendalikan dampaknya adalah dengan meminta bantuan DLHKP Kota Kediri untuk pengambilan sampah yang ada di kampus PSDKU Kampus Kediri</t>
  </si>
  <si>
    <t>PSDKU Kota Kediri-15</t>
  </si>
  <si>
    <t>Sosialisasi layanan perpustakaan</t>
  </si>
  <si>
    <t>"Jumlah peserta melebihi rencana awal
tempat tidak muat
kegiatan tidak terlaksana dengan kondusif"</t>
  </si>
  <si>
    <t>Karena jumlah peserta yang terlalu banyak dan acara diadakan secara offline mungkin tempat untuk acara tidak mencukupi sehingga kegiatan tidak dapat berjalan dengan kondusif</t>
  </si>
  <si>
    <t>Untuk mengatasi risiko yang mungkin terjadi maka cara mengendalikan dampaknya adalah pelaksanaan kegiatan sosialisasi dilaksanakan per prodi</t>
  </si>
  <si>
    <t>PSDKU Kota Kediri-17</t>
  </si>
  <si>
    <t>BELANJA REMUNERASI TENAGA KEPENDIDIKAN TETAP NON PNS</t>
  </si>
  <si>
    <t>1. keterlambatan pembayaran remunerasi bagi dosen
2. Penurunan produktivitas kinerja tenaga pendidik
3. Proses pelaksanaan tridharma perguruan tinggi tidak berjalan dengan lancar</t>
  </si>
  <si>
    <t>Karena adanya keterlambatan pengajuan pembayaran remunerasi tenaga kependidikan tetap mungkin pembayaran remunerasi tenaga kependidikan tertunda sehingga menyebabkan penurunan kinerja tenaga kependidikan</t>
  </si>
  <si>
    <t>Untuk mengatasi risiko yang mungkin terjadi maka cara mengendalikan dampaknya adalah dengan memberikan pembayaran remunerasi sesuai dengan tanggal yang sudah ditetapkan</t>
  </si>
  <si>
    <t>PSDKU Kota Kediri-18</t>
  </si>
  <si>
    <t>BELANJA REMUNERASI TENAGA PENDIDIK TETAP NON PNS</t>
  </si>
  <si>
    <t>Karena adanya keterlambatan pengajuan pembayaran remunerasi dosen tetap mungkin pembayaran remunerasi tenaga dosen jadi tertunda sehingga menyebabkan penurunan kinerja tenaga dosen</t>
  </si>
  <si>
    <t>PSDKU Kota Kediri-19</t>
  </si>
  <si>
    <t>BELANJA TUNJANGAN SERTIFIKASI DOSEN</t>
  </si>
  <si>
    <t>1. keterlambatan pembayaran tunjangan sertifikasi dosen bagi tenaga pendidik
2. Penurunan produktivitas kinerja tenaga pendidik
3. Proses pelaksanaan tridharma perguruan tinggi tidak berjalan dengan lancar</t>
  </si>
  <si>
    <t>Karena jumlah dosen tetap dan PPPK cukup banyak, mungkin banyak dokumen yang harus dipersipan dalam pengajuan sertifikasi dosen, sehingga proses pengajuan sertifikasi dosen menjadi terlambat dan menunggu antrian yang cukup lama</t>
  </si>
  <si>
    <t>Untuk mengatasi risiko yang mungkin terjadi maka cara mengendalikan dampaknya adalah dengan memberikan pembayaran gaji sesuai dengan tanggal yang sudah ditetapkan dan berdasarkan aturan yang berlaku</t>
  </si>
  <si>
    <t>PSDKU Kota Kediri-20</t>
  </si>
  <si>
    <t>GAJI DAN TUNJANGAN TENAGA KEPENDIDIKAN NON PNS</t>
  </si>
  <si>
    <t>1. keterlambatan pembayaran gaji dan tunjangan tenaga kependidikan
2. Penurunan produktivitas kinerja tenaga kependidikan 
3. Proses administrasi perkantoran dan penunjang akademik tidak berjalan dengan lancar</t>
  </si>
  <si>
    <t>Karena adanya keterlambatan pengajuan pembayaran gaji dan tunjangan tenaga kependidikan mungkin pembayaran gaji dan tunjangan tenaga kependidikan tertunda sehingga menyebabkan penurunan kinerja tenaga kependidikan</t>
  </si>
  <si>
    <t>Untuk mengatasi risiko yang mungkin terjadi maka cara mengendalikan dampaknya adalah dengan memberikan pembayaran gaji sesuai dengan tanggal yang sudah ditetapkan</t>
  </si>
  <si>
    <t>PSDKU Kota Kediri-21</t>
  </si>
  <si>
    <t>GAJI DAN TUNJANGAN TENAGA PENDIDIK NON PNS</t>
  </si>
  <si>
    <t>1. keterlambatan pembayaran gaji dan tunjangan bagi tenaga pendidik
2. Penurunan produktivitas kinerja tenaga pendidik
3. Proses pelaksanaan tridharma perguruan tinggi tidak berjalan dengan lancar</t>
  </si>
  <si>
    <t>Karena adanya keterlambatan pengajuan pembayaran gaji dan tunjangan tenaga pendidik mungkin pembayaran gaji dan tunjangan tenaga pendidik tertunda sehingga menyebabkan penurunan kinerja tenaga dosen</t>
  </si>
  <si>
    <t>PSDKU Kota Kediri-22</t>
  </si>
  <si>
    <t>PEMBAYARAN GAJI DAN TUNJANGAN ASN</t>
  </si>
  <si>
    <t>1. keterlambatan pembayaran gaji dan tunjangan PNS dan PPPK
2. Penurunan produktivitas kinerja PNS dan PPPK
3. Proses administrasi perkantoran dan penunjang akademik tidak berjalan dengan lancar</t>
  </si>
  <si>
    <t>Karena adanya keterlambatan pengajuan pembayaran gaji dan tunjangan PNS dan PPPK mungkin pembayaran gaji dan tunjangan PNS dan PPPK tertunda sehingga menyebabkan penurunan kinerja PNS dan PPPK</t>
  </si>
  <si>
    <t>PSDKU Kota Lumajang-2</t>
  </si>
  <si>
    <t>Bantuan Transport Wisuda Mahasiswa PSDKU Kota Lumajang</t>
  </si>
  <si>
    <t>1. Mahasiswa Harus Menanggung Biaya Transportasi Sendiri, Hal ini bisa menjadi beban finansial tambahan bagi mahasiswa yang berasal dari luar kota atau memiliki keterbatasan ekonomi.
2. Menurunnya Partisipasi Wisuda, Jika biaya transportasi menjadi kendala, beberapa mahasiswa mungkin memilih untuk tidak menghadiri wisuda, yang bisa mengurangi pengalaman akademik mereka.
3. Citra Kampus Bisa Terpengaruh, Jika mahasiswa merasa kurang mendapatkan dukungan dari kampus dalam momen penting seperti wisuda, hal ini bisa memengaruhi kepuasan mereka terhadap layanan institusi.</t>
  </si>
  <si>
    <t>Karena Keterbatasan Kendala Logistik Transportasi, mungkin masalah aksesiblitas yang menjadi kendala, seperti cuaca yang buruk atau kondisi jalan yang rusak, serta terkendala jadwal dan waktu serta keterbatasan kuota mahasiswa yang dapat dibantu sehingga Kegiatan Bantuan Trasport Wisuda untuk Mahasiswa PSDKU Lumajang ke Kampus Pusat tidak dapat dilaksanakan.</t>
  </si>
  <si>
    <t>Kampus bisa mencari alternatif seperti mencari sponsor, berkoordinasi dengan pemerintah daerah untuk subsidi transportasi, atau menyediakan skema bantuan berbasis kebutuhan bagi mahasiswa yang mengalami kesulitan finansial.</t>
  </si>
  <si>
    <t>PSDKU Kota Lumajang-3</t>
  </si>
  <si>
    <t>Belanja Jasa Keamanan Kampus PSDKU Lumajang</t>
  </si>
  <si>
    <t>"Dampak yang terjadi apabila belanja jasa keamanan kampus PSDKU Lumajang tidak dapat dilaksanakan:
1. Tindak kejahatan seperti pencurian, kekerasan, atau perusakan properti bisa meningkat. Keamanan kampus yang lemah membuat lingkungan lebih rentan terhadap tindakan kriminal.
2. Kesulitan dalam Menangani Kejadian Darurat: Tanpa petugas keamanan yang terlatih, kampus mungkin kesulitan dalam menghadapi situasi darurat, seperti kebakaran, bencana alam, atau ancaman lainnya. Keamanan kampus yang memadai sangat penting dalam menangani kejadian-kejadian tersebut dengan cepat dan tepat
3. Kurangnya Pengawasan di Area Terbuka: Area parkir, gedung-gedung yang terisolasi, dan tempat umum di kampus bisa menjadi lebih rentan jika tidak ada pengawasan yang memadai. Hal ini juga dapat mempengaruhi rasa aman bagi mahasiswa dan staf.
4. Tanpa pengawasan keamanan, fasilitas kampus seperti laboratorium, ruang kelas, atau peralatan teknologi dapat lebih mudah rusak atau dicuri. Keamanan yang lemah bisa mengarah pada kerugian finansial bagi institusi."</t>
  </si>
  <si>
    <t>Karena keterbatasan anggaran dan perubahan regulasi dari Kemensaintek terkait penggunaan jasa keamanan dari pihak ketiga terjadi, maka hal ini mungkin dapat mengubah kebijakan atau prosedur yang telah direncanakan instansi terkait jasa keamanan kampus PSDKU Lumajang, salah satunya adalah meniadakan jasa keamanan kampus PSDKU Lumajang dari pihak ketiga, sehingga belanja jasa keamanan kampus PSDKU Lumajang tidak dapat dilaksanakan.</t>
  </si>
  <si>
    <t>Pengadaan SDM yang sesuai kualifikasi melalui pelatihan/training, Pemenuhan prasarana penunjang keamanan kampus dan Peraturan yang tegas dari pihak ketiga terkait SOP pengunduran diri dan kesigapan penyediaan manpower oleh Pihak Ketiga"</t>
  </si>
  <si>
    <t>PSDKU Kota Lumajang-4</t>
  </si>
  <si>
    <t>Belanja Jasa Kebersihan Kampus PSDKU Lumajang</t>
  </si>
  <si>
    <t>"Dampak yang terjadi apabila belanja jasa kebersihan kampus PSDKU Lumajang tidak dapat dilaksanakan:
1. Lingkungan kampus bisa menjadi kotor dan tidak terawat. Ini dapat mengganggu kenyamanan mahasiswa, dosen, dan staf yang berada di kampus. Ruang kelas, toilet, koridor, dan area umum yang tidak bersih bisa menurunkan kualitas belajar dan layanan operasional kampus.
2. Lingkungan yang kotor dan tidak terawat dapat meningkatkan risiko penyebaran penyakit, seperti flu, infeksi saluran pernapasan, atau penyakit kulit. Debu dan sampah yang menumpuk juga bisa menyebabkan alergi atau masalah kesehatan lainnya.
3. Kondisi kampus yang kotor atau tidak terawat dapat merusak citra kampus di mata calon mahasiswa, orang tua, dan pihak luar. Kampus yang terlihat kotor bisa dianggap tidak profesional atau tidak peduli terhadap kesejahteraan mahasiswa, dosen dan staf.
4. Lingkungan yang tidak bersih bisa menyebabkan ketidaknyamanan selama kegiatan perkuliahan atau kegiatan kampus lainnya. Mahasiswa dan dosen mungkin merasa terganggu dengan bau tidak sedap, sampah yang berserakan, atau fasilitas yang tidak terawat."</t>
  </si>
  <si>
    <t>Karena keterbatasan anggaran dan perubahan regulasi dari Kemensaintek terkait penggunaan jasa kebersihan dari pihak ketiga terjadi. Mungkin dapat mengubah kebijakan atau prosedur yang telah direncanakan instansi terkait jasa kebersihan kampus PSDKU Lumajang, salah satunya adalah meniadakan jasa kebersihan kampus PSDKU Lumajang dari pihak ketiga. Sehingga belanja jasa kebersihan kampus PSDKU Lumajang tidak dapat dilaksanakan.</t>
  </si>
  <si>
    <t>Perlu adanya sumber daya manusia yang menangani khusus pengarsipan dan yang mengerti manajemen arsip , sangat diperlukan penyediaan arsip yang aman dan penyimpan arsip Pembayaran Secara Rutin dan berkala sesuai SBM dan Kepatiuhan terhadap aturan yang berlaku sesuai target capaian Unit Kerja</t>
  </si>
  <si>
    <t>PSDKU Kota Lumajang-5</t>
  </si>
  <si>
    <t>Belanja Operasional Penunjang Layanan Pendidikan (HIBAH dan PNBP)</t>
  </si>
  <si>
    <t>1. Layanan Pendidikan Terganggu, Jika dana operasional tidak tersedia, berbagai layanan pendidikan seperti pemeliharaan fasilitas, pengadaan alat pendukung, dan kegiatan akademik bisa terhambat.
2. Menurunnya Kualitas Pendidikan dan Layanan, Tanpa anggaran yang cukup, institusi mungkin kesulitan memberikan layanan yang optimal kepada mahasiswa dan tenaga pendidik.
3. Terhambatnya Kegiatan Akademik dan Kemahasiswaan, Jika dana operasional mencakup kegiatan mahasiswa, maka berbagai program seperti seminar, pelatihan, dan kegiatan ekstrakurikuler bisa mengalami hambatan atau dibatalkan.
4. Risiko Ketidakpatuhan Terhadap Peraturan Keuangan, Jika belanja operasional tidak dilaksanakan sesuai dengan peraturan yang berlaku, bisa timbul masalah administrasi atau bahkan sanksi dari pihak terkait.</t>
  </si>
  <si>
    <t>Karena Tidak memiliki jumlah tim pelaksana yang memenuhi untuk mengatasi banyaknya penanganan pengajuan realisasi GU/TUP, Mungkin menyebabkan Tidak ada Pemetaan program Rencana Anggaran Biaya yang bersumber dari Hibah Pemerintah Kabupaten Lumajang, Sehingga kegiatan Belanja Operasional Penunjang Layanan Pendidikan (HIBAH dan PNBP) tidak dapat dilaksanakan.</t>
  </si>
  <si>
    <t>Melakukan Pembayaran Secara Rutin dan berkala sesuai SBM dan Kepatiuhan terhadapa aturan yang berlaku sesuai target capaian Unit Kerja, melakukan koordinasi dengan pihak terkait agar pencairan dana bisa dipercepat, melakukan perencanaan keuangan yang lebih matang, serta memastikan bahwa regulasi dan persyaratan administrasi terpenuhi agar belanja operasional dapat segera direalisasikan.</t>
  </si>
  <si>
    <t>PSDKU Kota Lumajang-6</t>
  </si>
  <si>
    <t>Belanja Pengadaan Meubelair Perpustakaan Ruang Baca PSDKU Lumajang</t>
  </si>
  <si>
    <t>1. Fasilitas Perpustakaan dan Ruang Baca Tidak Optimal, Mahasiswa dan dosen tidak mendapatkan fasilitas ruang baca yang nyaman, yang bisa berdampak pada efektivitas pembelajaran dan penelitian.
2. Menurunnya Minat Mahasiswa dalam Menggunakan Perpustakaan, Jika fasilitas tidak memadai, mahasiswa mungkin enggan menggunakan ruang baca sebagai tempat belajar dan diskusi.
3. Tertundanya Peningkatan Layanan Akademik, Ruang baca yang belum dilengkapi meubelair bisa membuat perpustakaan tidak berfungsi secara maksimal sebagai pusat referensi dan pembelajaran</t>
  </si>
  <si>
    <t>Karena Kurangnya Minat Mahasiswa dalam hal Literasi dan riset untuk tugas akhir, Mungkin kurangnya membangun kebiasaan belajar dengan konsisten, Sehingga Belanja Pengadaan Meubelair Perpustakaan Ruang Baca PSDKU Lumajang tidak dapat dilaksanakan.</t>
  </si>
  <si>
    <t>Menyediakan Katalog Online untuk menemukan buku atau jurnal yang dibutuhkan dan memperbaiki fasilitas perpustakaan, pihak kampus bisa melakukan strategi seperti percepatan administrasi pengadaan, mencari alternatif penyedia meubelair yang lebih cepat dan efisien, serta memastikan anggaran tersedia sebelum proses pengadaan dimulai.</t>
  </si>
  <si>
    <t>PSDKU Kota Lumajang-9</t>
  </si>
  <si>
    <t>English Speech and Story Telling Competition Grade SMA/SMK/MA PSDKU Kota Lumajang</t>
  </si>
  <si>
    <t>1. Kesempatan Siswa untuk Mengembangkan Kemampuan Bahasa Inggris Berkurang, Kompetisi ini bisa menjadi ajang latihan bagi siswa dalam meningkatkan kemampuan berbicara dan bercerita dalam bahasa Inggris.
2. Menurunnya Branding dan Daya Tarik PSDKU Lumajang, Jika kompetisi ini ditujukan untuk menarik minat calon mahasiswa, pembatalannya bisa mengurangi eksposur kampus terhadap siswa SMA/SMK/MA.
3. Kurangnya Atmosfer Kompetitif dan Pengembangan Soft Skills, Kompetisi seperti ini bisa membantu siswa dalam meningkatkan kepercayaan diri, kemampuan public speaking, dan berpikir kreatif. Jika tidak terlaksana, maka peluang tersebut hilang.</t>
  </si>
  <si>
    <t>Karena terkendala adminstratif dan regulasi, Mungkin kurangnya Sumber Daya Manusia yang mengelola acara, Sehingga peserta English Speech and Story Telling Competition Grade SMA/SMK/MA PSDKU Lumajang tidak dapat dilaksanakan.</t>
  </si>
  <si>
    <t>Mengubah Format Kompetisi menjadi Daring Jika kendala utama adalah tempat dan anggaran, lomba bisa dilakukan secara online dengan peserta mengirimkan video speech atau storytelling mereka dan Menggabungkan Acara dengan Kegiatan Kampus Lain &amp;#8594; Jika kompetisi ini bagian dari promosi kampus, bisa digabung dengan acara lain seperti open house atau seminar agar lebih efisien dalam penggunaan dana dan tenaga.</t>
  </si>
  <si>
    <t>PSDKU Kota Lumajang-10</t>
  </si>
  <si>
    <t>Inisiasi Income generating PSDKU Kota Lumajang</t>
  </si>
  <si>
    <t>PSDKU Kehilangan Potensi Pendapatan Tambahan, Program ini bisa menjadi sumber pendapatan yang dapat membantu operasional kampus, sehingga pembatalannya menghilangkan potensi pemasukan. Jika program ini merupakan bagian dari inovasi kampus, pembatalannya bisa membuat PSDKU dianggap kurang progresif dalam mencari sumber pendapatan alternatif.</t>
  </si>
  <si>
    <t>Karena Keterbatasan Sumber Daya Manusia, Mungkin belum ada regulasi yang mendukung kebijakan internal atau peraturan yang mengatur mekanisme income generating secara jelas di PSDKU Lumajang, Sehingga Kegiatan Income Generating PSDKU Lumajang tidak dapat dilaksanakan.</t>
  </si>
  <si>
    <t>1. Memulai dengan Skala Kecil, Jika kendalanya adalah modal besar, kampus bisa memulai usaha dengan skala lebih kecil yang tidak membutuhkan banyak investasi.
2. Bermitra dengan Pihak Eksternal , Menggandeng industri, UMKM, atau lembaga lain yang sudah berpengalaman bisa membantu dalam pengelolaan dan pendanaan program ini.
3. Menyesuaikan Model Bisnis dengan Sumber Daya yang Ada, Jika usaha yang direncanakan terlalu kompleks, bisa dicari alternatif bisnis yang lebih sesuai dengan sumber daya yang tersedia.</t>
  </si>
  <si>
    <t>PSDKU Kota Lumajang-11</t>
  </si>
  <si>
    <t>Latihan Dasar Kedisiplinan Mahasiswa baru PSDKU Kota Lumajang</t>
  </si>
  <si>
    <t>1. Mahasiswa Baru Tidak Mendapatkan Pembinaan Kedisiplinan Sejak Awal, Latihan ini bertujuan membentuk karakter disiplin mahasiswa, sehingga jika tidak dilaksanakan, mereka kehilangan pengalaman tersebut.
2. Kurangnya Jiwa Korsa dan Kekompakan di antara Mahasiswa Baru, Kegiatan ini bisa menjadi ajang membangun kebersamaan, dan jika tidak ada, interaksi antar mahasiswa bisa berkurang.
3. Minimnya Pemahaman Mahasiswa tentang Tata Tertib dan Etika Kampus, Latihan dasar kedisiplinan sering kali menjadi wadah untuk mengenalkan peraturan kampus, sehingga pembatalannya bisa membuat mahasiswa kurang memahami aturan akademik dan kemahasiswaan.</t>
  </si>
  <si>
    <t>Karena Kesiapan Panitia Penyelenggara yang Kurang Optimal dari segi koordinasi dan persiapan teknis, Mungkin terdapat perubahan kebijakan akademik atau kemahasiswaan yang membatasi kegiatan orientasi mahasiswa baru, sehingga Kegiatan Latihan Dasar Kedisiplinan Mahasiswa Baru tidak dapat dilaksanakan.</t>
  </si>
  <si>
    <t>Melaksanakan kegiatan sesuai dengan jadwal dan rencana, Jika kegiatan ini dianggap penting bagi pembentukan karakter mahasiswa baru, pihak kampus sebaiknya mencari solusi agar tetap bisa dilaksanakan, meskipun dalam format yang lebih fleksibel.</t>
  </si>
  <si>
    <t>PSDKU Kota Lumajang-13</t>
  </si>
  <si>
    <t>Monitoring dan Evaluasi Pembelajaran Tahun 2025 PSDKU Lumajang</t>
  </si>
  <si>
    <t>"1. Penurunan Kualitas Pembelajaran, Tanpa M&amp;E, metode pengajaran mungkin tidak ditinjau atau diperbaiki, sehingga metode yang tidak efektif dapat terus digunakan, mengurangi efektivitas proses belajar-mengajar.
2. Hasil Pembelajaran yang Buruk, Kurangnya evaluasi dapat mengakibatkan kegagalan dalam mencapai tujuan pembelajaran yang telah ditetapkan, karena tidak ada data untuk mengukur pencapaian.
3. Kurangnya Akuntabilitas, sulit untuk menilai kinerja dosen, program studi, atau sistem pendidikan secara keseluruhan, yang dapat menghambat upaya untuk meningkatkan akuntabilitas dan transparansi.
4. Tidak Ada Umpan Balik yang Konstruktif, Mahasiswa dan dosen mungkin kurang termotivasi jika mereka tidak menerima umpan balik yang konstruktif mengenai kemajuan dan kinerja mereka."</t>
  </si>
  <si>
    <t>Karena keterbatasan jumlah staf sehingga bisa menghambat pelaksanaan M&amp;E maka Monev tidak akan terlaksana, Mungkin Kurangnya Dukungan Manajerial sehingga Monev tidak berjalan dengan semestinya, Sehingga kegiatan Monitoring dan Evaluasi Pembelajaran Tahun 2025 PSDKU Lumajang tidak dapat dilaksanakan.</t>
  </si>
  <si>
    <t>PSDKU Kota Lumajang-18</t>
  </si>
  <si>
    <t>Pengadaan Bahan Habis Pakai (BHP) Praktikum Semester Genap Prodi D-III Teknologi Sipil PSDKU Lumajang (HIBAH)</t>
  </si>
  <si>
    <t>Praktikum Tidak Bisa Berjalan Optimal, Tanpa bahan habis pakai, mahasiswa tidak bisa melakukan percobaan atau praktik langsung, sehingga pembelajaran menjadi kurang efektif.</t>
  </si>
  <si>
    <t>Karena Pengadaan barang di institusi pendidikan sering kali memerlukan prosedur birokrasi yang panjang, termasuk persetujuan dan lelang, Mungkin kurangnya Sumber Daya Manusia untuk menyusun pengadaan BHP di prodi D-III Teknologi Sipil, sehingga Pengadaan Bahan Habis Pakai (BHP) Praktikum Semester Genap Prodi D-III Teknologi Sipil PSDKU Lumajang tidak dapat dilaksanakan.</t>
  </si>
  <si>
    <t>1. Memilih tenaga pendidik dalam hal ini teknisi dan kepala bengkel. 
2. Penugasan terhadap kepala bengkel dan teknisi yang di tunjuk untuk melakukan pendataan kebutuhan jumlah BHP 
3. KPS melakukan pengecekan
4. Mengatur tempat sementara untuk lokasi BHP yangakan di gunakan di lab dan bengkel</t>
  </si>
  <si>
    <t>PSDKU Kota Lumajang-19</t>
  </si>
  <si>
    <t>Pengadaan Bahan Habis Pakai (BHP) Praktikum Semester Genap Prodi D-IV Teknologi Rekayasa Otomotif PSDKU Lumajang (HIBAH)</t>
  </si>
  <si>
    <t>1. Praktikum Tidak Bisa Berjalan Optimal, Tanpa bahan habis pakai, mahasiswa tidak bisa melakukan percobaan atau praktik langsung, sehingga pembelajaran menjadi kurang efektif.
2. Menurunnya Kualitas Pembelajaran, Mahasiswa akan kehilangan pengalaman praktik yang penting untuk pengembangan keterampilan mereka di bidang teknologi rekayasa otomotif.</t>
  </si>
  <si>
    <t>Karena kurangnya Sumber daya manusia untuk Menyusun HPS di PSDKU Lumajang yang memahami kesesuaian data pendukung pengadaan BHP, mungkin gagalnya proses lelang, sehingga Pengadaan Bahan Habis Pakai (BHP) Praktikum Semester Genap Prodi D-IV Teknologi Rekayasa Otomotif PSDKU Lumajang tidak bisa dilaksanakan.</t>
  </si>
  <si>
    <t>PSDKU Kota Lumajang-20</t>
  </si>
  <si>
    <t>Pengadaan BHP Praktik Prodi D-III Teknologi Informasi PSDKU Lumajang (HIBAH)</t>
  </si>
  <si>
    <t>"1. Praktikum Tidak Bisa Berjalan Optimal, Tanpa bahan habis pakai, mahasiswa tidak bisa melakukan percobaan atau praktik langsung, sehingga pembelajaran menjadi kurang efektif.
2. Menurunnya Kualitas Pembelajaran, Mahasiswa akan kehilangan pengalaman praktik yang penting untuk pengembangan keterampilan mereka di bidang teknologi rekayasa otomotif."</t>
  </si>
  <si>
    <t>Karena kurangnya Sumber daya manusia untuk Menyusun HPS di PSDKU Lumajang yang memahami kesesuaian data pendukung pengadaan BHP, mungkin gagalnya proses lelang, sehingga Pengadaan Bahan Habis Pakai (BHP) Praktikum Prodi D-III Teknologi Informasi PSDKU Lumajang tidak dapat dilaksanakan.</t>
  </si>
  <si>
    <t>1. Memilih tenaga pendidik dalam hal ini teknisi dan kepala administrasi prodi. 
2. Penugasan terhadap kepala administrasi prodi dan teknisi yang di tunjuk untuk melakukan pendataan kebutuhan jumlah BHP 
3. KPS melakukan pengecekan
4. Mengatur tempat sementara untuk lokasi BHP yang akan di gunakan di prodi D-III Teknologi Informasi</t>
  </si>
  <si>
    <t>PSDKU Kota Lumajang-21</t>
  </si>
  <si>
    <t>Pengadaan dan Instalasi CCTV di Lingkungan Kampus PSDKU Lumajang (HIBAH)</t>
  </si>
  <si>
    <t>Karena dapat memberikan rasa aman dan nyaman bagi semua yang ada didalam lingkungan kampus karena dengan adanya CCTV dapat membantu mencegah tindakan kejahatan seperti pencurian dan vandalisme dengan memberikan pengawasan,selain itu dalam kasus insiden atau kejahatan rekaman CCTV dapat menjadi bukti yang kuat.</t>
  </si>
  <si>
    <t>Karena Kendala Administrasi dan Regulasi Proses perencanaan dan pengadaan yang tidak sesuai dengan prosedur atau regulasi, Mungkin gagalnya proses pengadaan seperti penawaran yang tidak sesuai dengan standar atau harga yang jauh di atas anggaran, Sehingga Pengadaan dan Instalasi CCTV di Lingkungan Kampus PSDKU Lumajang tidak dapat dilaksanakan.</t>
  </si>
  <si>
    <t>Melaksanakan Kegiatan Pengadaan dan Instalasi CCTV di Kampus PSDKU Lumajang Sesuai Waktu Yang Sudah Di Rencanakan</t>
  </si>
  <si>
    <t>PSDKU Kota Lumajang-23</t>
  </si>
  <si>
    <t>Peningkatan Kerjasama Industri Melalui Inisiasi Industri dan Monitoring Mahasiswa PKL</t>
  </si>
  <si>
    <t>1. Tidak tercapainya target Indikator Kinerja Utama dari Perguruan Tinggi 
2. Kurangnya mitra untuk kerjasama dalam Magang Industri ataupun untuk kegiatan Tri Dharma Perguruan Tinggi 
3. Integrasi Kurikulum dengan industri tidak terlaksana 
4. Penurunan Inovasi karena terbatasnya penelitian dan proyek yang tidak terpadu/sinkron dengan dunia industry
Jika kondisi ini terus berlangsung, institusi akan semakin tertinggal dalam mencetak lulusan yang berkualitas dan inovatif. Oleh karena itu, langkah strategis seperti memperluas jaringan kemitraan, mengoptimalkan kerja sama digital, serta meningkatkan keterlibatan alumni dalam menjembatani hubungan dengan industri harus segera dilakukan untuk memastikan keberlanjutan dan relevansi perguruan tinggi dengan kebutuhan dunia kerja"</t>
  </si>
  <si>
    <t>Karena belum adanya kesepakatan atau perjanjian dengan industri, mungkin keterbatasan Sumber Daya untuk Monitoring kunjungan ke Industri/DU/DI, sehingga kegiatan Peningkatan Kerjasama Industri Melalui Inisiasi Industri dan Monitoring Mahasiswa PKL tidak dapat dilaksanakan.</t>
  </si>
  <si>
    <t>Monitoring dan Evaluasi Inisiasi Kerjasama dan Kunjungan Industri dengan mitra DU/DI potensial PSDKU Lumajang, Mengadakan Kerja Sama dengan Industri Lokal atau UKM serta Menjalin Kerja Sama Jangka Panjang dengan Industri</t>
  </si>
  <si>
    <t>PSDKU Kota Lumajang-24</t>
  </si>
  <si>
    <t>Penyempurnaan Dokumen SOP Layanan Operasional dan Kemahasiswaan di Lingkungan PSDKU Lumajang</t>
  </si>
  <si>
    <t>Karena penyusunan dan penyempurnaan dokumen SOP Layanan Operasional dan Kemahasiswaan PSDKU Lumajang tidak dapat dilaksanakan, maka tidak ada SOP yang dapat menjadi panduan dalam pelaksanaan Layanan Operasional untuk Pegawai dan Mahasiswa PSDKU Lumajang sehingga layanan operasional dan kemahasiswaan tidak berjalan secara terstruktur sesuai dengan prosedur. 
Dampak yang terjadi jika tidak ada dokumen SOP Layanan Operasional dan Kemahasiswaan:
1. Ketidakteraturan dalam pelaksanaan layanan operasional dan kemahasiswaan
2. TIdak efisiennya kinerja dalam pelayanan operasional dan kemahasiswaan
3. Kesulitan dalam mengevaluasi kinerja pelayanan operasional dan kemahasiswaan
4. Ketidakpuasan dalam pelayanan operasional dan kemahasiswaan"</t>
  </si>
  <si>
    <t>Kerena Kurangnya Sumber Daya yang memiliki pengalaman dalam penyusunan dokumen dan keterbatasan waktu serta beben kerja yang tinggi. Mungkin Kurangnya Koordinasi Antar Pihak Terkait, Sehingga penyusunan dokumen SOP Layanan Operasional dan Kemahasiswaan PSDKU Lumajang tidak dapat dilaksanakan.</t>
  </si>
  <si>
    <t>Diperlukan strategi seperti pembentukan tim khusus, alokasi waktu yang jelas, serta koordinasi yang lebih baik dengan pihak terkait agar penyempurnaan SOP bisa segera dilaksanakan. Melaksanakan kegiatan Penyempurnaan Dokumen SOP Layanan Akademik dan Kemahasiswaan di Lingkungan PSDKU Lumajang sesuai dengan jadwal yang direncanakan.</t>
  </si>
  <si>
    <t>PSDKU Kota Lumajang-25</t>
  </si>
  <si>
    <t>Prastudi dan Pengenalan Mahasiswa Baru PSDKU Lumajang (HIBAH)</t>
  </si>
  <si>
    <t>1). Penurunan Kemampuan Adaptasi Mahasiswa Baru: Mahasiswa baru mungkin mengalami kesulitan dalam menyesuaikan diri dengan lingkungan kampus, baik secara akademis maupun sosial. Ini bisa menyebabkan mereka merasa terasing atau kurang nyaman di lingkungan baru. 2). Kurangnya Pemahaman tentang Sistem dan Aturan Kampus: Tanpa PKKMB, mahasiswa baru mungkin tidak memahami sistem akademik, aturan disiplin, tata tertib, dan prosedur penting di kampus. Hal ini bisa menyebabkan kesalahan dalam mengambil keputusan terkait perkuliahan atau proses administratif lainnya. 3). Minimnya Keterlibatan dalam Kegiatan Kampus: PKKMB biasanya memperkenalkan mahasiswa baru kepada berbagai organisasi, komunitas, dan kegiatan ekstrakurikuler di kampus. Tanpa PKKMB, partisipasi dalam kegiatan-kegiatan ini mungkin akan berkurang, yang bisa memengaruhi pengembangan soft skills dan jaringan sosial mahasiswa. 4). Kurangnya Dukungan Sosial dan Emosional: PKKMB sering kali menyediakan platform bagi mahasiswa baru untuk bertemu dan menjalin hubungan dengan sesama mahasiswa, dosen, dan staf kampus. Tanpa kesempatan ini, mahasiswa mungkin merasa kurang didukung secara sosial dan emosional, yang bisa mempengaruhi kesejahteraan mental mereka. 5). Rendahnya Pengetahuan tentang Sumber Daya Kampus: PKKMB biasanya memberikan informasi tentang layanan penting di kampus, seperti bimbingan akademik, layanan kesehatan, perpustakaan, dan pusat karier. Tanpa informasi ini, mahasiswa mungkin tidak memanfaatkan sumber daya ini secara optimal. 6). Potensi Penurunan Prestasi Akademik: Tanpa bimbingan awal mengenai strategi belajar yang efektif, manajemen waktu, dan pengaturan prioritas, mahasiswa baru mungkin mengalami kesulitan dalam mencapai prestasi akademik yang optimal. 7). Ketidakpastian dalam Lingkungan Baru: PKKMB membantu mengurangi ketidakpastian dengan memberikan panduan jelas tentang apa yang diharapkan dari mahasiswa baru dan apa yang bisa mereka harapkan dari kampus. Tanpa orientasi ini, mahasiswa mungkin merasa tidak yakin dan bingung dalam menjalani kehidupan kampus.</t>
  </si>
  <si>
    <t>Karena Kesiapan Panitia Penyelenggara yang Kurang Optimal dari segi koordinasi dan persiapan teknis, Mungkin terdapat perubahan kebijakan akademik atau kemahasiswaan yang membatasi kegiatan orientasi mahasiswa baru, sehingga Kegiatan Prastudi dan Pengenalan Mahasiswa Baru PSDKU Lumajang tidak dapat dilaksanakan.</t>
  </si>
  <si>
    <t>Melaksanakan kegiatan sesuai dengan jadwal dan rencana</t>
  </si>
  <si>
    <t>PSDKU Kota Lumajang-26</t>
  </si>
  <si>
    <t>Seminar Hasil Skripsi D-IV Teknologi Rekayasa Otomotif PSDKU Lumajang (HIBAH) - PSDKU Kota Lumajang</t>
  </si>
  <si>
    <t>Mahasiswa Tidak Bisa Melanjutkan ke Tahap Sidang Skripsi, Tertundanya Kelulusan Mahasiswa, Menurunnya Akreditasi Program Studi</t>
  </si>
  <si>
    <t>Karena terkendala Administratif dan regulasi, Mungkin Kurangnya dosen penguji atau ketidaksiapan mahasiswa dalam menyelesaikan tugas skripsi, Sehingga Seminar Hasil Skripsi D-IV Teknologi Rekayasa Otomotif PSDKU Lumajang tidak dapat dilaksanakan.</t>
  </si>
  <si>
    <t>Melaksanakan kegiatan Seminar Hasil Skripsi D-IV Teknologi Rekayasa Otomotif PSDKU Lumajang sesuai dengan waktu yang ditentukan, Mengadakan Seminar Hasil Skripsi Secara Daring dan Mengatur Jadwal Ulang Sesuai Ketersediaan Dosen dan Mahasiswa</t>
  </si>
  <si>
    <t>PSDKU Kota Lumajang-30</t>
  </si>
  <si>
    <t>Pengadaan BHP Penunjang Perkantoran PSDKU Lumajang (HIBAH) - PSDKU Kota Lumajang</t>
  </si>
  <si>
    <t>Karena dapat menyebabkan kerugian baik moril maupun materiil sehingga keterlambatan pengadaan bahan persediaan alat tulis kantor dapat berakibat pada kelancaraan pekerjaan yang membutuhkan BHP perkantoran</t>
  </si>
  <si>
    <t>Karena Kendala Administrasi dan Regulasi Proses perencanaan dan pengadaan yang tidak sesuai dengan prosedur atau regulasi, Mungkin gagalnya proses pengadaan seperti penawaran yang tidak sesuai dengan standar atau harga yang jauh di atas anggaran, Sehingga Pengadaan BHP Penunjang Perkantoran PSDKU Lumajang (HIBAH) tidak dapat dilaksanakan.</t>
  </si>
  <si>
    <t>Mengumpulkan data estimasi kebutuhan tahun sebelumnya dan data tahun berjalan untuk kebutuhan dan penggunaan Bahan Praktikum kuliah dan Alat Tulis Kantor, dan sesuai pengajuan dari seluruh program studi</t>
  </si>
  <si>
    <t>PSDKU Kota Lumajang-32</t>
  </si>
  <si>
    <t>Perawatan Sarana dan Prasarana Kampus PSDKU Lumajang (HIBAH) - PSDKU Kota Lumajang</t>
  </si>
  <si>
    <t>Keterlambatan pemeliharaan dapat berakhibat pada kelancaraan KBM</t>
  </si>
  <si>
    <t>Karena Pengadaan jasa perawatan sering kali memerlukan proses birokrasi yang panjang, seperti lelang atau persetujuan dari berbagai pihak, Mungkin Tidak ada vendor yang tersedia atau belum ada kontrak kerja dengan pihak ketiga untuk perawatan, Sehingga Perawatan Sarana dan Prasarana Kampus PSDKU Lumajang tidak dapat dilaksanakan.</t>
  </si>
  <si>
    <t>Melaksanakan Kegiatan Perawatan Sarana dan Prasarana Kampus PSDKU Lumajang Sesuai Waktu Yang Sudah Ditentukan</t>
  </si>
  <si>
    <t>PSDKU Kota Lumajang-33</t>
  </si>
  <si>
    <t>Rekontruksi Kurikulum Sesuai Permen 53/2023 dan Sesuai Skema LSP P1 PSDKU Kota Lumajang - PSDKU Kota Lumajang</t>
  </si>
  <si>
    <t>Kurikulum Tidak Sesuai dengan Regulasi Terbaru, Kesulitan dalam Akreditasi Program Studi, Jika kurikulum tidak mengikuti standar LSP P1, maka lulusan PSDKU Kota Lumajang mungkin tidak diakui secara nasional dalam skema sertifikasi kompetensi tertentu.</t>
  </si>
  <si>
    <t>Karena Kurangnya Pemahaman terhadap Regulasi Permen 53/2023 dengan standar LSP P1 oleh Tim atau Dosen, Mungkin Prosedur Revisi Kurikulum yang panjang harus melalui berbagai tahapan persetujuan, validasi akademisi, sehingga Rekontruksi Kurikulum Sesuai Permen 53/2023 dan Sesuai Skema LSP P1 PSDKU Kota Lumajang tidak dapat dilaksanakan.</t>
  </si>
  <si>
    <t>Melaksanakan kegiatan Rekontruksi Kurikulum Sesuai Permen 53/2023 dan Sesuai Skema LSP P1 PSDKU Lumajang sesuai waktu yang direncanakan, melakukan revisi kurikulum secara bertahap, Mengadakan Pelatihan bagi Dosen dalam Penyusunan Kurikulum.</t>
  </si>
  <si>
    <t>PSDKU Kota Lumajang-34</t>
  </si>
  <si>
    <t>Seminar Soft Skill Program Kreativitas Kewirausahaan dan Minat Bakat Mahasiswa Akuntansi - PSDKU Kota Lumajang - PSDKU Kota Lumajang</t>
  </si>
  <si>
    <t>Mahasiswa Kehilangan Kesempatan Pengembangan Soft Skill, Minimnya Motivasi Mahasiswa untuk Berwirausaha, Kurangnya Peningkatan Kompetensi Non-Akademik, dan Citra Kampus dalam Pengembangan Mahasiswa Menurun &amp;#8594; Kampus yang aktif mengadakan seminar dan pelatihan memiliki daya tarik lebih bagi calon mahasiswa</t>
  </si>
  <si>
    <t>Karena kendala administrastif belum disetujui oleh oihak kampus, Mungkin Pemateri yang tidak sesuai dan keterbatasan Sumber Daya Manusia, Sehingga Seminar Soft Skill Program Kreativitas Kewirausahaan dan Minat Bakat Mahasiswa Akuntansi tidak dapat dilaksanakan.</t>
  </si>
  <si>
    <t>Berkolaborasi dengan Fakultas atau Organisasi Lain, jika dana atau SDM kurang, seminar bisa bekerja sama dengan fakultas atau organisasi mahasiswa lain untuk berbagi sumber daya.</t>
  </si>
  <si>
    <t>PSDKU Kota Lumajang-37</t>
  </si>
  <si>
    <t>Pengadaan BHP Prodi D-III Akuntansi PSDKU Lumajang (HIBAH) - PSDKU Kota Lumajang</t>
  </si>
  <si>
    <t>1. Praktikum Tidak Bisa Berjalan Optimal, Tanpa bahan habis pakai, mahasiswa tidak bisa melakukan percobaan atau praktik langsung, sehingga pembelajaran menjadi kurang efektif.
2. Menurunnya Kualitas Pembelajaran, Mahasiswa akan kehilangan pengalaman praktik yang penting untuk pengembangan keterampilan mereka di bidang teknologi rekayasa otomotif."</t>
  </si>
  <si>
    <t>Karena kurangnya Sumber daya manusia untuk Menyusun HPS di PSDKU Lumajang yang memahami kesesuaian data pendukung pengadaan BHP, mungkin gagalnya proses lelang, sehingga Pengadaan BHP Prodi D-III Akuntansi PSDKU Lumajang tidak dapat dilaksanakan.</t>
  </si>
  <si>
    <t>1. Memilih tenaga pendidik dalam hal ini teknisi dan kepala administrasi prodi. 
2. Penugasan terhadap kepala administrasi prodi dan teknisi yang di tunjuk untuk melakukan pendataan kebutuhan jumlah BHP 
3. KPS melakukan pengecekan
4. Mengatur tempat sementara untuk lokasi BHP yang akan di gunakan di prodi D-III Akuntansi</t>
  </si>
  <si>
    <t>PSDKU Kota Lumajang-38</t>
  </si>
  <si>
    <t>Pengadaan Sarana dan Prasarana Kampus PSDKU Lumajang (HIBAH) - PSDKU Kota Lumajang</t>
  </si>
  <si>
    <t>Karena jika kegiatan Pengadaan Sarana dan Prasarana tidak dilaksanakan akan berdampak terhadap kelancaran dan kenyamanan proses KBM sehingga dapat mempengaruhi kepuasan mahasiswa.</t>
  </si>
  <si>
    <t>Karena Kendala Administrasi dan Regulasi Proses perencanaan dan pengadaan yang tidak sesuai dengan prosedur atau regulasi, Mungkin gagalnya proses pengadaan seperti penawaran yang tidak sesuai dengan standar atau harga yang jauh di atas anggaran, Sehingga Pengadaan Sarana dan Prasarana Kampus PSDKU Lumajang (HIBAH) tidak dapat dilaksanakan.</t>
  </si>
  <si>
    <t>Melaksanaan pengadaan sesuai waktu yang direncanakan</t>
  </si>
  <si>
    <t>PSDKU Kota Lumajang-39</t>
  </si>
  <si>
    <t>Peningkatan Kerjasama Industri Melalui Inisiasi Industri</t>
  </si>
  <si>
    <t>PSDKU Kota Pamekasan-8</t>
  </si>
  <si>
    <t>Kunjungan Ke DUDI Dalam Rangka Pelaksanaan Pembelajaran Menggunakan CM, PBL, dan Pelaksanaan Inisiasi Kerjasama - PSDKU Kota Pamekasan - PSDKU Kota Pamekasan - PSDKU Kota Pamekasan</t>
  </si>
  <si>
    <t>1. Efektivitas Pembelajaran 2. Kerja Tim yang Buruk 3. Kualitas Hasil</t>
  </si>
  <si>
    <t>Karena kegagalan produk atau mungkin pembelajaran yang tidak optimal, keterbatasan sumber daya manusia atau fasilitas yang kurang memadai, serta kurangnya kolaborasi efektif dengan pihak dosen terkait sehingga menyebabkan proyek tidak berjalan dengan baik.</t>
  </si>
  <si>
    <t>1. Perencanaan yang Cermat 2. Komunikasi yang Efektif 3. Pemilihan Kelompok yang Tepat 4. Bimbingan Dosen 5. Evaluasi Berkala 6. Monitoring Proyek 7. Evaluasi dan Pembelajaran</t>
  </si>
  <si>
    <t>PSDKU Kota Pamekasan-10</t>
  </si>
  <si>
    <t>Pembinaaan mahasiswa untuk mengikuti Lomba Akuntansi Tingkat Nasional (SNAV) - PSDKU Kota Pamekasan</t>
  </si>
  <si>
    <t>tidak bisa mempersiapkan mahasiswa dengan baik karena tergantung dengan kesiapan mahasiswa yang akan mengikuti lomba</t>
  </si>
  <si>
    <t>Karena kegiatan ini yidak terlaksana mungkin tidak ada mahasiswa yang berminat sehingga memiliki kompetensi di bidang yang dilombakan.</t>
  </si>
  <si>
    <t>dilakukan sosialisasi awal kepada mahasiswa, lomba apa saja yang bisa diikuti dan menyesuaikan dengan minat dan kompetensi mahasiswa dengan lomba yang akan diikuti.</t>
  </si>
  <si>
    <t>S-2 Rekayasa Teknologi Informasi-2</t>
  </si>
  <si>
    <t>Sinkronisasi Dokumen Kurikulum dengan Capaian - S-2 Rekayasa Teknologi Informasi - S-2 Rekayasa Teknologi Informasi</t>
  </si>
  <si>
    <t>Penyusunan LKPS dan persiapan Akreditasi S2 MRTI menjadi terhambat.</t>
  </si>
  <si>
    <t>Karena adanya kekurangan data/sumber data yang dikumpulkan, mungkin data yang disampaikan tidak akurat/up-to-date, sehingga penyusunan LKPS dan persiapan Akreditasi menjadi terhambat.</t>
  </si>
  <si>
    <t>1. Memastikan bahwa petugas/tim yang menangani penyusunan LKPS dan persiapan Akreditasi S2 dapat mengumpulkan data sejak awal secara bertahap dan sistematis 
2. Memastikan data yang dikumpulkan sudah data terbaru/up to date</t>
  </si>
  <si>
    <t>S-2 Rekayasa Teknologi Manufaktur-1</t>
  </si>
  <si>
    <t>Penyusunan LKPS - S-2 Rekayasa Teknologi Manufaktur</t>
  </si>
  <si>
    <t>Berkurangnya Masukan terhadap perbaikan kurikulum serta terhambatnya up dating data untuk persiapan akreditasi</t>
  </si>
  <si>
    <t>Karena beberapa data isian yang melibatkan eksternal seperti tracer study dari alumni maupun masukan dari stakeholder yang kurang maksimal dalam perolehan data kemungkinan karena kesibukan alumni di dunia kerja sehingga dokumen dalam pemenuhan kriteria belum maksimum.</t>
  </si>
  <si>
    <t>Serius bekerja menyusun LKPS secara bertahap perlu ditingkatkan komunikasi dan pengelolaan data sehingga semua data terkoleksi dengan baik</t>
  </si>
  <si>
    <t>S-2 Rekayasa Teknologi Manufaktur-2</t>
  </si>
  <si>
    <t>Penjajagan Kerjasama S2 dengan industri - S-2 Rekayasa Teknologi Manufaktur</t>
  </si>
  <si>
    <t>Karena belum adanya pemetaan yang tepat untuk pengembangan kerjasama Prodi S2 RTM dengan perguruan tinggi di luar negeri mungkin masih minimnya usaha prodi S2 RTM untuk menjalin hubungan dengan perguruan tinggi di luar negeri dalam pengembangan kerjasama di bidang tri dharma sehingga Pengembangan Kerjasama Prodi S2 RTM dengan Perguruan Tinggi di luar negeri belum berjalan secara efektif dan program internasionalisasi bisa terhambat</t>
  </si>
  <si>
    <t>Perlu dilakukan kegiatan Pengembangan Kerjasama Prodi S2 RTM dengan Perguruan Tinggi di luar negeri dengan pemetaan yang tepat</t>
  </si>
  <si>
    <t>S-2 Sistem Informasi Akuntansi-3</t>
  </si>
  <si>
    <t>INTERNATIONAL COMPETITION "TREASURE" 2025 - S-2 SISTEM INFORMASI AKUNTANSI</t>
  </si>
  <si>
    <t>jumlah minimal 4 negara peserta untuk lomba internasional tidak terpenuhi</t>
  </si>
  <si>
    <t>Karena keterbatasan persiapan, mungkin kurang bisa menjaring peserta dari negara lain, sehingga jumlah minimal 4 negara peserta untuk lomba internasional tidak terpenuhi</t>
  </si>
  <si>
    <t>1. Melakukan persiapan intensif termasuk kegiatan promosi untuk menjaring peserta.
2. Menggunakan database dan berkomunikasi dengan kampus yang telah memiliki kerjasama / MoU dengan Polinema</t>
  </si>
  <si>
    <t>S-2 Sistem Informasi Akuntansi-4</t>
  </si>
  <si>
    <t>PENINGKATAN KERJASAMA PROGRAM STUDI MELALUI FGD DENGAN INDUSTRI PRODI S-2 SISTEM INFORMASI AKUNTANSI</t>
  </si>
  <si>
    <t>tidak memiliki database industri yang akan dikunjungi Kegiatan tidak berjalan sesuai waktu yang telah direncanakan di awal (di simkeu)</t>
  </si>
  <si>
    <t>Karena objek kunjungan merupakan mitra industri, waktu perlu menyesuaikan dengan kesibukan mitra industri, dan tidak memiliki database industri yang akan dikunjungi mungkin Industri Sasaran yang sesuai untuk Pengembangan Kerjasama belum siap untuk dikunjungi sehingga kegiatan tidak berjalan sesuai skedul yang direncanakan (di simkeu)</t>
  </si>
  <si>
    <t>menentukan tujuan industri dan menghubungi pihak industri terkait dengan pelaksanaan kegiatan kunjungan industri</t>
  </si>
  <si>
    <t>S-2 Teknik Elektro-2</t>
  </si>
  <si>
    <t>Implementasi Kerjasama Tri Dharma dengan UTeM - S-2 Teknik Elektro - S-2 Teknik Elektro</t>
  </si>
  <si>
    <t>karena tidak ada acuan RPS dengan metode pembelajaran CM dan PBL, mungkin tidak ada SDM untuk menyusun RPS, sehingga mengakibatkan tidak tersedianya RPS dengan metode pembelajaran CM dan PBL</t>
  </si>
  <si>
    <t>S-2 Teknik Elektro-3</t>
  </si>
  <si>
    <t>Workshop Rekonstruksi Kurikulum dan Pembuatan SOP - S-2 Teknik Elektro</t>
  </si>
  <si>
    <t>SENAT-1</t>
  </si>
  <si>
    <t>Workshop Tata Kelola Data dan Sistem informasi</t>
  </si>
  <si>
    <t>pengukuran dampak dari kebijakan baru, terutama jika tidak ada mekanisme evaluasi yang jelas dan berkelanjutan.</t>
  </si>
  <si>
    <t>Salah satu risiko utama adalah kemungkinan kurangnya adopsi atau implementasi dari kebijakan yang diusulkan karena adanya perbedaan prioritas atau kurangnya dukungan dari pemangku kepentingan lain di institusi. Selain itu, risiko lain meliputi potensi ketidaklengkapan pemahaman peserta terhadap materi yang kompleks, yang dapat menghambat efektivitas kebijakan yang diterapkan. Ada juga risiko terkait dengan pengukuran dampak dari kebijakan baru, terutama jika tidak ada mekanisme evaluasi yang jelas dan berkelanjutan. Sebagai tambahan, risiko operasional seperti logistik atau teknologi selama pelaksanaan workshop juga bisa mempengaruhi pencapaian tujuan kegiatan</t>
  </si>
  <si>
    <t>Pertama, penting untuk melakukan asesmen risiko awal guna mengidentifikasi potensi kendala, baik dari sisi kesiapan peserta maupun tantangan teknis, dan menyiapkan rencana mitigasi yang sesuai. Memastikan adanya komunikasi yang efektif sebelum dan selama workshop sangat penting untuk menyelaraskan tujuan dan mendapatkan dukungan dari para peserta serta pemangku kepentingan lainnya. Fasilitator workshop harus mampu menyederhanakan materi yang kompleks dan menyediakan sumber daya tambahan untuk mengatasi kesenjangan pemahaman. Pembentukan kelompok kerja atau tim tindak lanjut dapat membantu memperkuat adopsi kebijakan dengan mekanisme evaluasi dan penyesuaian berkelanjutan. Selain itu, memastikan aspek logistik dan teknis berjalan lancar melalui uji coba sebelumnya dapat mengurangi risiko operasional yang dapat mengganggu jalannya kegiatan.</t>
  </si>
  <si>
    <t>SENAT-4</t>
  </si>
  <si>
    <t>Operasional Kesekretariatan Senat (Tahun 2025) - SENAT - SENAT - SENAT</t>
  </si>
  <si>
    <t>Tidak tersedianya barang habis pakai di senat akademik dapat menganggu kegiatan yang seharusnya terlaksana</t>
  </si>
  <si>
    <t>KARENA tidak adanya sdm penyusun hps di Senat Akademik MUNGKIN proses pengadaan bahan habis pakai menjadi terlambat SEHINGGA tidak tersedia bahan habis pakai di Senat Akademik</t>
  </si>
  <si>
    <t>Mengajukan kegiatan dalam penyusunan hps untuk kebutuhan seperti pelatihan SDM terkait hal tersebut</t>
  </si>
  <si>
    <t>SENAT-5</t>
  </si>
  <si>
    <t>Benchmarking Polinema Menuju PTNBH ke ITB - SENAT</t>
  </si>
  <si>
    <t>Benchmarking menuju PTNBH akan memberikan dampak yang signifikan terhadap pengelolaan operasional perguruan tinggi, baik dalam hal peningkatan kinerja administratif, pengelolaan keuangan, pengembangan SDM, maupun pada bidang pendidikan dan riset.</t>
  </si>
  <si>
    <t>Karena dapat membantu dalam mengidentifikasi dan mengelola potensi masalah yang mungkin terjadi selama pelaksanaan kegiatan benchmarking untuk mencapai tujuan menuju kampus PTNBH dapat berjalan lancar dan memberikan hasil yang optimal.</t>
  </si>
  <si>
    <t>Dengan pengendalian operasional yang baik, kegiatan benchmarking dapat berjalan sesuai rencana dan menghasilkan keputusan strategis yang mendukung transformasi perguruan tinggi menuju status PTNBH.</t>
  </si>
  <si>
    <t>SENAT-6</t>
  </si>
  <si>
    <t>Benchmarking Pertimbangan Senat tentang Manajemen Resiko Kegiatan, Institusi, dan Fraud - SENAT</t>
  </si>
  <si>
    <t>Secara keseluruhan kegiatan benchmarking ini akan membantu memperkuat sistem pengelolaan risiko di institusi dan mendorong perubahan yang lebih baik dalam manajemen risiko terkait kegiatan, institusi, dan fraud, yang pada gilirannya akan berdampak pada peningkatan kinerja dan reputasi organisasi tersebut.</t>
  </si>
  <si>
    <t>Karen dengan mengidentifikasi dan mengelola risiko operasional ini, kegiatan benchmarking dapat dilaksanakan dengan lebih efektif dan mungkin bisa memberikan masukan yang bermanfaat bagi Senat dalam pengambilan keputusan terkait manajemen risiko kegiatan, institusi, dan fraud.</t>
  </si>
  <si>
    <t>Pengendalian operasional ini bertujuan untuk memastikan bahwa organisasi tidak hanya memiliki kebijakan yang efektif untuk mengelola risiko, tetapi juga dapat memitigasi potensi fraud dan menjaga kredibilitas serta integritas institusi</t>
  </si>
  <si>
    <t>SENAT-7</t>
  </si>
  <si>
    <t>Benchmarking Instrumentasi Pengawasan Senat dalam Pelaksanaan Penjaminan Mutu Sesuai Permenristekdikti Nomor 53 Tahun 2023 - SENAT</t>
  </si>
  <si>
    <t>Benchmarking memberikan data dan informasi yang lebih objektif untuk pengambilan keputusan.</t>
  </si>
  <si>
    <t>Karena membantu menilai kinerja mereka dengan membandingkan hasil proses, produk, atau layanan mereka dengan yang terbaik di perguruan tinggi lain. Mungkin bis Menganalisis dan membandingkan proses antara organisasi untuk menemukan cara-cara yang lebih baik dalam mengelola atau meningkatkan suatu proses.</t>
  </si>
  <si>
    <t>Membantu memastikan bahwa benchmarking memberikan nilai yang maksimal bagi organisasi dan bahwa perubahan yang diusulkan benar-benar memberikan perbaikan yang diinginkan.</t>
  </si>
  <si>
    <t>SENAT-8</t>
  </si>
  <si>
    <t>Benchmarking Instrumen Pengawasan Senat ke PNJ - SENAT - SENAT</t>
  </si>
  <si>
    <t>Kegiatan benchmarking tidak dilaksanakan</t>
  </si>
  <si>
    <t>KARENA belum ada kesepakatan tentang jadwal benchmarking, MUNGKIN perguruan tinggi yang dituju akan melakukan pembatalan secara sepihak SEHINGGA benchmarking tidak terlaksana</t>
  </si>
  <si>
    <t>Menyiapkan beberapa alternatif obyek benchmarking</t>
  </si>
  <si>
    <t>SENAT-9</t>
  </si>
  <si>
    <t>Benchmark Kebijakan Pengelolaan Lisensi KI Polinema untuk Hilirisasi/Komersialisasi - SENAT</t>
  </si>
  <si>
    <t>Sangat bergantung pada bagaimana kegiatan ini dijalankan. Jika dilakukan dengan tepat dan bijak, benchmarking bisa menjadi alat yang sangat efektif untuk meningkatkan kinerja.</t>
  </si>
  <si>
    <t>Karena benchmarking tidak dianalisis dengan tepat atau disalahpahami, ini dapat mengarah pada keputusan yang salah dalam perencanaan atau pelaksanaan. Mungkin Benchmarking sering digunakan untuk meningkatkan inovasi baru, dan menetapkan tujuan kinerja yang lebih baik.</t>
  </si>
  <si>
    <t>Pastikan bahwa data yang dikumpulkan relevan dan dapat dipercaya.</t>
  </si>
  <si>
    <t>SPI-3</t>
  </si>
  <si>
    <t>MONITORING DAN EVALUASI PEMUTAKHIRAN SISTEM INFORMASI TATA KELOLA MANAJEMEN SPI POLITEKNIK NEGERI MALANG TAHUN 2025 - SPI</t>
  </si>
  <si>
    <t>1. Keterlambatan dalam Penyelesaian Pemutakhiran Sistem: Proses pembaruan sistem informasi menjadi lebih lambat dari jadwal yang telah ditetapkan, yang berpotensi menghambat implementasi kebijakan tata kelola manajemen SPI.
2. Sistem informasi yang tidak diperbarui atau kurang optimal dapat memperlambat proses kerja, meningkatkan beban administrasi manual, dan mengurangi efisiensi operasional secara keseluruhan.
3. Kurangnya pemutakhiran dapat menyebabkan data yang dihasilkan oleh sistem tidak akurat atau tidak terintegrasi dengan baik, sehingga menyulitkan pengambilan keputusan yang berbasis data.</t>
  </si>
  <si>
    <t>Karena adanya keterbatasan sumber daya manusia yang kompeten dan terlatih dalam pemutakhiran sistem informasi tata kelola manajemen SPI, serta kurangnya koordinasi antar unit terkait, mungkin pemutakhiran sistem informasi tidak berjalan sesuai rencana, terjadi keterlambatan implementasi, atau kualitas pembaruan sistem tidak optimal, sehingga meningkatkan risiko tidak tercapainya tujuan pemutakhiran sistem informasi untuk mendukung tata kelola manajemen SPI yang efektif dan efisien di Politeknik Negeri Malang tahun 2025.</t>
  </si>
  <si>
    <t>Untuk memitigasi dampak ini, diperlukan penguatan kompetensi SDM melalui pelatihan, peningkatan koordinasi lintas unit, dan pengawasan ketat terhadap setiap tahap pemutakhiran sistem informasi.</t>
  </si>
  <si>
    <t>SPI-7</t>
  </si>
  <si>
    <t>PENDAMPINGAN PENGENDALIAN INTERNAL PSDKU KOTA KEDIRI TAHUN 2025 - SPI</t>
  </si>
  <si>
    <t>Ketidaksesuaian antara rencana dengan kondisi lapangan juga dapat menyebabkan kegiatan pendampingan tidak efektif, karena tidak sesuai dengan kebutuhan atau tantangan yang dihadapi oleh PSDKU Kediri. Hal ini dapat mengakibatkan PSDKU Kediri tidak dapat mempertahankan atau meningkatkan kualitas pengendalian internnya, sehingga menimbulkan risiko terjadinya pelanggaran atau kegagalan dalam pengelolaan keuangan dan tidak terpenuhinya opini atas hasil audit Laporan Keuangan</t>
  </si>
  <si>
    <t>karena ketidaksesuaian antara rencana pengendalian internal dengan kondisi yang sebenarnya di lapangan mungkin akan mengakibatkan tidak terlaksananya kegiatan pendampingan sehingga tidak tercapainya sasaran keberhasilan pendampingan pengendalian internal</t>
  </si>
  <si>
    <t>1. Menyusun dan menetapkan rencana pendampingan pengendalian internal yang sesuai dengan kebutuhan dan tantangan yang dihadapi oleh PSDKU Kediri. 
2. Menyusun dan menetapkan mekanisme yang jelas untuk mengupdate rencana pendampingan pengendalian internal sesuai dengan perkembangan kondisi lapangan yang terjadi. 
3. Memastikan bahwa semua unit kerja yang terkait dengan kegiatan pendampingan pengendalian internal memahami kewajiban dan tanggung jawabnya dalam menyediakan data dan informasi yang dibutuhkan.</t>
  </si>
  <si>
    <t>UPA Bahasa-2</t>
  </si>
  <si>
    <t>Pengadaan Sarana Pendukung Pengembangan Kursus Bahasa dan Layanan Bahasa Lainnya</t>
  </si>
  <si>
    <t>Karena tidak ada SDM yang bertanggungjawab dalam menentukan sarana yang sesuai dengan kebutuhan, dan mungkin tidak ada ketersediaan pendukung sarana yang dibutuhkan membuat kegiatan PENGADAAN SARANA PENDUKUNG PENGEMBANGAN KURSUS BAHASA DAN LAYANAN BAHASA LAINNYA tidak berjalan.</t>
  </si>
  <si>
    <t>Untuk mengatasi resiko yang mungkin terjadi, maka cara mengendalikan dampak nya adalah: 1) melakukan pendataan kebutuhan peralatan; 2) melakukan pengadaan sarana yang sesuai dengan kebutuhan; 3) melakukan perawatan sarana yang sudah ada.</t>
  </si>
  <si>
    <t>UPA Bahasa-3</t>
  </si>
  <si>
    <t>PENGEMBANGAN KURSUS BAHASA DAN LAYANAN BAHASA LAINNYA - UPA Bahasa</t>
  </si>
  <si>
    <t>Karena tidak ada SDM yang bertanggungjawab dalam memetakan dan membuat database tutor bahasa asing yang potensial dan mumpuni di bidang nya, dan mungkin tidak ada tutor bahasa asing sesuai dengan kebutuhan layanan sehingga kegiatan PENGEMBANGAN KURSUS BAHASA DAN LAYANAN BAHASA LAINNYA tidak berjalan.</t>
  </si>
  <si>
    <t>Untuk mengatasi resiko yang mungkin terjadi, maka cara mengendalikan dampak nya adalah: 1) mensosialisasikan kegiatan jauh jauh hari baik melalui jurusan, program studi dan media sosial; 2) menghadirkan tutor bahasa asing yang kompeten; 3) merancang kegiatan pembelajaran yang menarik, interaktif, mengimplementasikan metode pembalajaran terkini dan menambah praktek serta mengurangi teori sehingga kursus dapat menarik minat lebih banyak peserta dan meningkatkan keterampilan berbahasa peserta</t>
  </si>
  <si>
    <t>UPA Bahasa-4</t>
  </si>
  <si>
    <t>PENINGKATAN KOMPETENSI BAHASA INGGRIS PROFESIONAL UNTUK TENAGA KEPENDIDIKAN - UPA Bahasa</t>
  </si>
  <si>
    <t>1. Memberikan keyakinan yang memadai bagi tercapainya efektivitas dan efisiensi pencapaian tujuan penyelenggaraan pemerintahan negara</t>
  </si>
  <si>
    <t>Karena tidak ada SDM yang bertanggungjawab dalam memetakan dan membuat database narasumber potensial dan mumpuni di bidang nya, dan mungkin tidak ada pemetaan peserta yang potensial sehingga kegiatan PENINGKATAN KOMPETENSI BAHASA INGGRIS PROFESIONAL UNTUK TENAGA KEPENDIDIKAN tidak berjalan.</t>
  </si>
  <si>
    <t>Untuk mengatasi resiko yang mungkin terjadi, maka cara mengendalikan dampak nya adalah: 1) melakukan sosialiasi jauh-jauh hari melalui jurusan dan sosial media, 2) bekerja sama dengan jurusan dan program studi untuk memilih SDM yang potensial, 3) memetakan institusi yang memiliki narasumber potensial sesuai dengan topik pelatihan dari UPA Bahasa; 4) menjalin kerjasama dengan institusi tersebut</t>
  </si>
  <si>
    <t>UPA Bahasa-5</t>
  </si>
  <si>
    <t>UJIAN TOEIC - MALA DAN IISMA 2025 - UPA BAHASA</t>
  </si>
  <si>
    <t>Karena kurang adanya koordinasi dengan masing-masing jurusan baik di kampus utama maupun PSDKU terkait sosialisasi TOEIC untuk MALA, dan mungkin karena tidak ada sosialisasi terstruktur terkait TOEIC kepada MALA sehingga kegiatan ujian TOEIC MALA tidak berjalan.</t>
  </si>
  <si>
    <t>Untuk mengatasi resiko yang mungkin terjadi, maka cara mengendalikan dampaknya adalah: 1) melakukan koordinasi dengan semua jurusan baik di kampus utama maupun PSDKU; 2) memberikan sosialisasi mengenai ujian TOEIC dan memberikan kesempatan mahasiswa tingkat akhir mempersiapkan diri secara mandiri dengan menyediakan soal-soal latihan TOEIC dengan menggunakan platform seperti google classroom atau moodle.</t>
  </si>
  <si>
    <t>UPA Bahasa-6</t>
  </si>
  <si>
    <t>WORKSHOP PENYUSUNAN SOP LAYANAN EDITING DAN TRANSLATION DAN REVENUE GENERATING LAINNYA - UPA Bahasa</t>
  </si>
  <si>
    <t>Karena tidak ada SDM yang bertugas memetakan dan membuat database narasumber potensial sesuai bidang yang menjadi topik workshop dan mungkin terdapat kesulitan untuk memetakan peserta potensial sehingga WORKSHOP PENYUSUNAN SOP LAYANAN EDITING DAN TRANSLATION DAN REVENUE GENERATING LAINNYA tidak terlaksana</t>
  </si>
  <si>
    <t>Untuk mengatasi resiko yang mungkin terjadi, maka cara mengendalikan dampaknya adalah: 1) melakukan sosialisasi kegiatan jauh-jauh hari melalui pengumuman di setiap jurusan dan sosial media, 2) memetakan institusi yang memiliki narasumber potensial sesuai dengan topik pelatihan, 3) menjali kerja sama dengan institusi yang bersangkutan</t>
  </si>
  <si>
    <t>UPA Bahasa-7</t>
  </si>
  <si>
    <t>PELATIHAN BAHASA INGGRIS SEBAGAI BAHASA PENGANTAR BAGI PENGAJAR KELAS INTERNASIONAL - UPA Bahasa</t>
  </si>
  <si>
    <t>Karena tidak ada SDM yang bertanggungjawab dalam memetakan dan membuat database narasumber potensial dan mumpuni di bidang nya, dan mungkin tidak ada database dan narasumber sesuai dengan target yang dihadirkan, serta terdapat kesulitan dalam menentukan peserta potensial sehingga kegiatan PELATIHAN BAHASA INGGRIS SEBAGAI BAHASA PENGANTAR BAGI PENGAJAR KELAS INTERNASIONAL tidak berjalan.</t>
  </si>
  <si>
    <t>Untuk mengatasi resiko yang mungkin terjadi, maka cara mengendalikan dampak nya adalah: 1) mensosialisasikan kegiatan jauh jauh hari baik melalui jurusan, program studi dan sosial media; 2) bekerja sama dengan jurusan dan prodi untuk menentukan peserta potensial, 3) menghadirkan pemateri yang mumpuni di bidangnya; 4) merancang kegiatan yang menarik, interaktif dan memberikan manfaat lebih. Misalnya pelatihan diisi dengan lebih banyak praktik, mengaktifkan metode diskusi dan mengurangi teori</t>
  </si>
  <si>
    <t>UPA Layanan Uji Kompetensi-1</t>
  </si>
  <si>
    <t>FULL ASSESMENT SKEMA TERVERIFIKASI BNSP 2025 - UPA Layanan Uji Kompetensi</t>
  </si>
  <si>
    <t>Dampak yang dapat muncul adalah terhambatnya proses sertifikasi kompetensi mahasiswa</t>
  </si>
  <si>
    <t>Belum adanya pemetaan skema lama dan usulan skema baru LSP dan rencana kinerja manajemen termasuk kaji ulang skemanya.</t>
  </si>
  <si>
    <t>Kegiatan harus dilaksanakan sesuai aturan yang berlaku dan dimonitoring dengan ketat</t>
  </si>
  <si>
    <t>UPA Layanan Uji Kompetensi-2</t>
  </si>
  <si>
    <t>RECOGNITION OF CURRENT COMPETENCIES (RCC) BNSP 2025 - UPA Layanan Uji Kompetensi</t>
  </si>
  <si>
    <t>Dampak dari kegiatan ini adalah menurunnya jumlah dosen yang menjadi asesor kompetensi sehingga dapat mengganggu pelaksanaan sertifikasi kompetensi</t>
  </si>
  <si>
    <t>Karena Belum adanya pemetaan dan inventarisasi terhadap para asesor di Polinema yang sudah waktunya mengikuti RCC BNSP, mungkin Belum harmonisnya komunikasi antara LSP dan TUK di tiap prodi di Polinema sehingga informasi tentang RCC tidak sampai kepada Asesor yang ada di tiap TUK sehingga RCC BNSP bagi Asesor Kompetensi di Polinema - UPA Layanan Uji Kompetensi belum dilaksanakan</t>
  </si>
  <si>
    <t>UPA Layanan Uji Kompetensi-3</t>
  </si>
  <si>
    <t>SERTIFIKASI KOMPETENSI MAHASISWA BERSERTIFIKAT INTERNASIONAL - UPA Layanan Uji Kompetensi</t>
  </si>
  <si>
    <t>Dampak yang bisa mungkin timbul adalah berkurangnya serapan alumni di industri karena tidak adanya peningkatan bekal pelatihan yang diikuti</t>
  </si>
  <si>
    <t>Karena belum adanya sosialisasi dan penjadwalan bagi mahasiswa di Kelas Internasional untuk mengikuti Sertifikat Kompetensi Internasional sesuai bidangnya sebagai syarat kelulusan, mungkin Belum adanya pemetaan dan inventarisasi terhadap mahasiswa untuk pelaksanaan Sertikom di Prodi yang terdapat kelas internasionalnya, sehingga Sertifikasi Kompetensi Mahasiswa Kelas Internaskional BELUM DILAKSANAKAN</t>
  </si>
  <si>
    <t>UPA Layanan Uji Kompetensi-4</t>
  </si>
  <si>
    <t>SERTIFIKASI KOMPETENSI MAHASISWA D-III ADMINISTRASI BISNIS</t>
  </si>
  <si>
    <t>Dampak yang dapat muncul adalah tidak terlaksananya proses sertifikasi kompetensi mahasiswa</t>
  </si>
  <si>
    <t>Karena belum adanya sosialisasi dan penjadwalan bagi mahasiswa D-III Administrasi Bisnis untuk mengikuti Sertifikat Kompetensi Skema D-III Administrasi Bisnis sebagai syarat kelulusan, mungkin Belum adanya pemetaan dan inventarisasi terhadap mahasiswa untuk pelaksanaan Sertikom di Skema Administrasi Bisnis, sehingga Sertifikasi Kompetensi Mahasiswa Skema Administrasi Bisnis BELUM DILAKSANAKAN</t>
  </si>
  <si>
    <t>UPA Layanan Uji Kompetensi-5</t>
  </si>
  <si>
    <t>SERTIFIKASI KOMPETENSI MAHASISWA D-III AKUNTANSI ( PSDKU KEDIRI )</t>
  </si>
  <si>
    <t>Karena belum adanya sosialisasi dan penjadwalan bagi mahasiswa D-III Akuntansi PSDKU Kediri untuk mengikuti Sertifikat Kompetensi Skema Akuntansi sebagai syarat kelulusan, mungkin Belum adanya pemetaan dan inventarisasi terhadap mahasiswa untuk pelaksanaan Sertikom di Prodi D-III Akuntansi, sehingga Sertifikasi Kompetensi Mahasiswa Prodi D-III Akuntansi PSDKU Kediri BELUM DILAKSANAKAN</t>
  </si>
  <si>
    <t>UPA Layanan Uji Kompetensi-6</t>
  </si>
  <si>
    <t>SERTIFIKASI KOMPETENSI MAHASISWA D-III AKUNTANSI (PSDKU LUMAJANG )</t>
  </si>
  <si>
    <t>Karena belum adanya sosialisasi dan penjadwalan bagi mahasiswa D-III Akuntansi PSDKU Lumajang untuk mengikuti Sertifikat Kompetensi Skema Akuntansi sebagai syarat kelulusan, mungkin Belum adanya pemetaan dan inventarisasi terhadap mahasiswa untuk pelaksanaan Sertikom di Prodi D-III Akuntansi Lumajang, sehingga Sertifikasi Kompetensi Mahasiswa Prodi D-III Akuntansi PSDKU Lumajang BELUM DILAKSANAKAN</t>
  </si>
  <si>
    <t>UPA Layanan Uji Kompetensi-7</t>
  </si>
  <si>
    <t>SERTIFIKASI KOMPETENSI MAHASISWA D-III AKUNTANSI - UPA Layanan Uji Kompetensi</t>
  </si>
  <si>
    <t>Dampak dari kegiatan ini adalah pelaksanaan sertikom bisa terganggu/tertunda/terhambat</t>
  </si>
  <si>
    <t>Karena belum adanya sosialisasi dan penjadwalan bagi mahasiswa D-III Akuntansi untuk mengikuti Sertifikat Kompetensi Skema Akuntansi sebagai syarat kelulusan, mungkin Belum adanya pemetaan dan inventarisasi terhadap mahasiswa untuk pelaksanaan Sertikom di Prodi D-III Akuntansi, sehingga Sertifikasi Kompetensi Mahasiswa Prodi D-III Akuntansi BELUM DILAKSANAKAN</t>
  </si>
  <si>
    <t>UPA Layanan Uji Kompetensi-8</t>
  </si>
  <si>
    <t>SERTIFIKASI KOMPETENSI MAHASISWA D-III TEKNIK KIMIA</t>
  </si>
  <si>
    <t>Karena belum adanya sosialisasi dan penjadwalan bagi mahasiswa Teknik Kimia untuk mengikuti Sertifikat Kompetensi Skema Teknik Kimia sebagai syarat kelulusan, mungkin Belum adanya pemetaan dan inventarisasi terhadap mahasiswa untuk pelaksanaan Sertikom di jurusan Teknik Kimia, sehingga Sertifikasi Kompetensi Mahasiswa Jurusan Teknik Kimia BELUM DILAKSANAKAN</t>
  </si>
  <si>
    <t>UPA Layanan Uji Kompetensi-9</t>
  </si>
  <si>
    <t>SERTIFIKASI KOMPETENSI MAHASISWA D-III TEKNIK MESIN</t>
  </si>
  <si>
    <t>Karena Belum adanya sosialisasi dan penjadwalan bagi mahasiswa Jurusan teknik Mesin untuk mengikuti Sertifikat Kompetensi Skema Pembuatan Komponen Dasar Mesin Industri sebagai syarat kelulusan MUNGKIN Belum adanya pemetaan dan inventarisasi terhadap mahasiswa untuk pelaksanaan Sertikom di jurusan teknik Mesin SEHINGGA Sertifikasi Kompetensi Mahasiswa Pembuatan Komponen Dasar Mesin Industri - UPA Layanan Uji Kompetensi BELUM DILAKSANAKAN</t>
  </si>
  <si>
    <t>UPA Layanan Uji Kompetensi-10</t>
  </si>
  <si>
    <t>SERTIFIKASI KOMPETENSI MAHASISWA D-III TEKNIK MESIN (PSDKU KEDIRI) - UPA Layanan Uji Kompetensi</t>
  </si>
  <si>
    <t>Karena Belum adanya sosialisasi dan penjadwalan bagi mahasiswa Jurusan teknik Mesin untuk mengikuti Sertifikat Kompetensi Skema Pembuatan Komponen Dasar Mesin Industri sebagai syarat kelulusan MUNGKIN Belum adanya pemetaan dan inventarisasi terhadap mahasiswa untuk pelaksanaan Sertikom di Prodi D-III T.Mesin PSDKU Kediri SEHINGGA Sertifikasi Kompetensi Mahasiswa Pembuatan Komponen Dasar Mesin Industri - UPA Layanan Uji Kompetensi BELUM DILAKSANAKAN</t>
  </si>
  <si>
    <t>UPA Layanan Uji Kompetensi-11</t>
  </si>
  <si>
    <t>SERTIFIKASI KOMPETENSI MAHASISWA D-III TEKNIK SIPIL</t>
  </si>
  <si>
    <t>Karena belum adanya sosialisasi dan penjadwalan bagi mahasiswa D-III Teknik Sipil untuk mengikuti Sertifikat Kompetensi Skema Teknik Sipil sebagai syarat kelulusan, mungkin Belum adanya pemetaan dan inventarisasi terhadap mahasiswa untuk pelaksanaan Sertikom di Prodi D-III Teknik Sipil, sehingga Sertifikasi Kompetensi Mahasiswa Prodi D-III Teknik Sipil BELUM DILAKSANAKAN</t>
  </si>
  <si>
    <t>UPA Layanan Uji Kompetensi-12</t>
  </si>
  <si>
    <t>SERTIFIKASI KOMPETENSI MAHASISWA D-III TEKNOLOGI KONSTRUKSI JALAN, JEMBATAN, DAN BANGUNAN AIR DAN TEKNOLOGI PERTAMBANGAN - UPA Layanan Uji Kompetensi</t>
  </si>
  <si>
    <t>Karena belum adanya sosialisasi dan penjadwalan bagi mahasiswa D-III TRKJJ untuk mengikuti Sertifikat Kompetensi Skema Teknik Sipil sebagai syarat kelulusan, mungkin Belum adanya pemetaan dan inventarisasi terhadap mahasiswa untuk pelaksanaan Sertikom di Prodi D-III TRKJJ, sehingga Sertifikasi Kompetensi Mahasiswa Prodi D-III TRKJJ BELUM DILAKSANAKAN</t>
  </si>
  <si>
    <t>UPA Layanan Uji Kompetensi-13</t>
  </si>
  <si>
    <t>SERTIFIKASI KOMPETENSI MAHASISWA D-IV USAHA PERJALANAN WISATA</t>
  </si>
  <si>
    <t>Karena belum adanya sosialisasi dan penjadwalan bagi mahasiswa D-IV Usaha Perjalanan Wisata untuk mengikuti Sertifikat Kompetensi Skema Tenaga Pemasar Manajerial sebagai syarat kelulusan, mungkin Belum adanya pemetaan dan inventarisasi terhadap mahasiswa untuk pelaksanaan Sertikom di Prodi D-IV Usaha perjalanan Wisata, sehingga Sertifikasi Kompetensi Mahasiswa Skema Tenaga Pemasar Manajerial BELUM DILAKSANAKAN</t>
  </si>
  <si>
    <t>UPA Layanan Uji Kompetensi-14</t>
  </si>
  <si>
    <t>SERTIFIKASI KOMPETENSI MAHASISWA D-IV AKUNTANSI MANAJEMEN - UPA Layanan Uji Kompetensi</t>
  </si>
  <si>
    <t>Karena belum adanya sosialisasi dan penjadwalan bagi mahasiswa D-IV Akuntansi Manajemen untuk mengikuti Sertifikat Kompetensi Skema Akuntansi sebagai syarat kelulusan, mungkin Belum adanya pemetaan dan inventarisasi terhadap mahasiswa untuk pelaksanaan Sertikom di Prodi D-IV Akuntansi Manajemen, sehingga Sertifikasi Kompetensi Mahasiswa di Prodi D-IV Akuntansi Manajemen BELUM DILAKSANAKAN</t>
  </si>
  <si>
    <t>UPA Layanan Uji Kompetensi-15</t>
  </si>
  <si>
    <t>SERTIFIKASI KOMPETENSI MAHASISWA D-IV KEUANGAN ( PSDKU KEDIRI ) - UPA Layanan Uji Kompetensi</t>
  </si>
  <si>
    <t>Karena belum adanya sosialisasi dan penjadwalan bagi mahasiswa Prodi D-IV Keuangan PSDKU Kediri untuk mengikuti Sertifikat Kompetensi Skema Keuangan sebagai syarat kelulusan, mungkin Belum adanya pemetaan dan inventarisasi terhadap mahasiswa untuk pelaksanaan Sertikom di Program Studi D-IV Keuangan PSDKU Kediri, sehingga Sertifikasi Kompetensi Mahasiswa Program Studi D-IV Keuangan PSDKU KEDIRI BELUM DILAKSANAKAN</t>
  </si>
  <si>
    <t>UPA Layanan Uji Kompetensi-16</t>
  </si>
  <si>
    <t>SERTIFIKASI KOMPETENSI MAHASISWA D-IV KEUANGAN - UPA Layanan Uji Kompetensi</t>
  </si>
  <si>
    <t>Karena belum adanya sosialisasi dan penjadwalan bagi mahasiswa Keuangan untuk mengikuti Sertifikat Kompetensi Skema Keuangan sebagai syarat kelulusan, mungkin Belum adanya pemetaan dan inventarisasi terhadap mahasiswa untuk pelaksanaan Sertikom di Program Studi Keuangan, sehingga Sertifikasi Kompetensi Mahasiswa Program Studi Keuangan BELUM DILAKSANAKAN</t>
  </si>
  <si>
    <t>UPA Layanan Uji Kompetensi-17</t>
  </si>
  <si>
    <t>SERTIFIKASI KOMPETENSI MAHASISWA D-IV MANAJEMEN PEMASARAN</t>
  </si>
  <si>
    <t>Karena belum adanya sosialisasi dan penjadwalan bagi mahasiswa Prodi D-IV Manajemen Pemasaran untuk mengikuti Sertifikat Kompetensi Skema Tenaga Pemasar Manajerial sebagai syarat kelulusan, mungkin Belum adanya pemetaan dan inventarisasi terhadap mahasiswa untuk pelaksanaan Sertikom di Prodi D-IV Manajemen Pemasaran, sehingga Sertifikasi Kompetensi Mahasiswa Skema Tenaga Pemasar Manajerial BELUM DILAKSANAKAN</t>
  </si>
  <si>
    <t>UPA Layanan Uji Kompetensi-18</t>
  </si>
  <si>
    <t>SERTIFIKASI KOMPETENSI MAHASISWA D-IV MANAJEMEN REKAYASA KONSTRUKSI - UPA Layanan Uji Kompetensi</t>
  </si>
  <si>
    <t>Karena belum adanya sosialisasi dan penjadwalan bagi mahasiswa DI-IV Manajemen Rekayasa Konstruksi untuk mengikuti Sertifikat Kompetensi Skema Teknik Sipil sebagai syarat kelulusan, mungkin Belum adanya pemetaan dan inventarisasi terhadap mahasiswa untuk pelaksanaan Sertikom di Prodi D-IV MRK, sehingga Sertifikasi Kompetensi Mahasiswa Prodi D-IV MRK BELUM DILAKSANAKAN</t>
  </si>
  <si>
    <t>UPA Layanan Uji Kompetensi-19</t>
  </si>
  <si>
    <t>SERTIFIKASI KOMPETENSI MAHASISWA D-IV TEKNIK KIMIA INDUSTRI</t>
  </si>
  <si>
    <t>Karena belum adanya sosialisasi dan penjadwalan bagi mahasiswa D-IV Teknik Kimia Industri untuk mengikuti Sertifikat Kompetensi Skema Teknik Kimia sebagai syarat kelulusan, mungkin Belum adanya pemetaan dan inventarisasi terhadap mahasiswa untuk pelaksanaan Sertikom di Prodi D-IV Teknik Kimia Industri, sehingga Sertifikasi Kompetensi Mahasiswa Prodi D-IV Teknik Kimia Industri BELUM DILAKSANAKAN</t>
  </si>
  <si>
    <t>UPA Layanan Uji Kompetensi-20</t>
  </si>
  <si>
    <t>SERTIFIKASI KOMPETENSI MAHASISWA D-IV TEKNIK MESIN PRODUKSI DAN PERAWATAN</t>
  </si>
  <si>
    <t>Karena Belum adanya sosialisasi dan penjadwalan bagi mahasiswa Jurusan teknik Mesin untuk mengikuti Sertifikat Kompetensi Skema Pembuatan Komponen Komplek Mesin Industri sebagai syarat kelulusan MUNGKIN Belum adanya pemetaan dan inventarisasi terhadap mahasiswa untuk pelaksanaan Sertikom di jurusan teknik Mesin SEHINGGA Sertifikasi Kompetensi Mahasiswa Pembuatan Komponen Komplek Mesin Industri - UPA Layanan Uji Kompetensi BELUM DILAKSANAKAN</t>
  </si>
  <si>
    <t>UPA Layanan Uji Kompetensi-21</t>
  </si>
  <si>
    <t>SERTIFIKASI KOMPETENSI MAHASISWA D-IV TEKNIK OTOMOTIF ELEKTRONIK</t>
  </si>
  <si>
    <t>Karena belum adanya sosialisasi dan penjadwalan bagi mahasiswa D-IV TOE untuk mengikuti Sertifikat Kompetensi Skema Teknik Elektronika sebagai syarat kelulusan, mungkin Belum adanya pemetaan dan inventarisasi terhadap mahasiswa untuk pelaksanaan Sertikom di Program Studi D-IV TOE, sehingga Sertifikasi Kompetensi Mahasiswa Program Studi D-IV TOE BELUM DILAKSANAKAN</t>
  </si>
  <si>
    <t>UPA Layanan Uji Kompetensi-22</t>
  </si>
  <si>
    <t>SERTIFIKASI KOMPETENSI MAHASISWA D-IV TEKNOLOGI INFORMASI</t>
  </si>
  <si>
    <t>Karena belum adanya sosialisasi dan penjadwalan bagi mahasiswa Pemrograman Software Komputer untuk mengikuti Sertifikat Kompetensi Skema Pemrograman Software Komputer sebagai syarat kelulusan, mungkin Belum adanya pemetaan dan inventarisasi terhadap mahasiswa untuk pelaksanaan Sertikom di Skema Pemrograman Software Komputer, sehingga Sertifikasi Kompetensi Mahasiswa Skema Pemrograman Software Komputer BELUM DILAKSANAKAN</t>
  </si>
  <si>
    <t>UPA Layanan Uji Kompetensi-23</t>
  </si>
  <si>
    <t>SERTIFIKASI KOMPETENSI MAHASISWA D-IV TEKNOLOGI REKAYASA KONSTRUKSI JALAN DAN JEMBATAN - UPA Layanan Uji Kompetensi</t>
  </si>
  <si>
    <t>Karena belum adanya sosialisasi dan penjadwalan bagi mahasiswa D-IV TRKJJ untuk mengikuti Sertifikat Kompetensi Skema Teknik Sipil sebagai syarat kelulusan, mungkin Belum adanya pemetaan dan inventarisasi terhadap mahasiswa untuk pelaksanaan Sertikom di Prodi D-IV TRKJJ, sehingga Sertifikasi Kompetensi Mahasiswa Prodi D-IV TRKJJ BELUM DILAKSANAKAN</t>
  </si>
  <si>
    <t>UPA Layanan Uji Kompetensi-24</t>
  </si>
  <si>
    <t>SERTIFIKASI KOMPETENSI MAHASISWA PSDKU D-III TEKNOLOGI INFORMASI</t>
  </si>
  <si>
    <t>Karena belum adanya sosialisasi dan penjadwalan bagi mahasiswa D-III Teknologi Informasi untuk mengikuti Sertifikat Kompetensi Skema Pembuatan Aplikasi Mobile Berbasis Database sebagai syarat kelulusan, mungkin Belum adanya pemetaan dan inventarisasi terhadap mahasiswa untuk pelaksanaan Sertikom di Prodi D-III Teknologi Informasi, sehingga Sertifikasi Kompetensi Mahasiswa Skema Pembuatan Aplikasi Mobile Berbasis Database BELUM DILAKSANAKAN</t>
  </si>
  <si>
    <t>UPA Layanan Uji Kompetensi-25</t>
  </si>
  <si>
    <t>SERTIFIKASI KOMPETENSI MAHASISWA TEKNIK ELEKTRONIKA</t>
  </si>
  <si>
    <t>Karena belum adanya sosialisasi dan penjadwalan bagi mahasiswa Teknik Elektronika untuk mengikuti Sertifikat Kompetensi Skema Teknik Elektronika sebagai syarat kelulusan, mungkin Belum adanya pemetaan dan inventarisasi terhadap mahasiswa untuk pelaksanaan Sertikom di Program Studi Teknik Elektronika, sehingga Sertifikasi Kompetensi Mahasiswa Program Studi Teknik Elektronika BELUM DILAKSANAKAN</t>
  </si>
  <si>
    <t>UPA Layanan Uji Kompetensi-26</t>
  </si>
  <si>
    <t>SERTIFIKASI KOMPETENSI MAHASISWA TEKNIK LISTRIK - UPA Layanan Uji Kompetensi</t>
  </si>
  <si>
    <t>Karena belum adanya sosialisasi dan penjadwalan bagi mahasiswa Teknik Listrik untuk mengikuti Sertifikat Kompetensi Skema Teknik Listrik sebagai syarat kelulusan, mungkin Belum adanya pemetaan dan inventarisasi terhadap mahasiswa untuk pelaksanaan Sertikom di Program Studi Teknik Listrik, sehingga Sertifikasi Kompetensi Mahasiswa Program Studi Teknik Listrik BELUM DILAKSANAKAN</t>
  </si>
  <si>
    <t>UPA Layanan Uji Kompetensi-27</t>
  </si>
  <si>
    <t>SERTIFIKASI KOMPETENSI MAHASISWA TEKNIK TELEKOMUNIKASI - UPA Layanan Uji Kompetensi</t>
  </si>
  <si>
    <t>Karena belum adanya sosialisasi dan penjadwalan bagi mahasiswa Teknik Telekomunikasi untuk mengikuti Sertifikat Kompetensi Skema Teknik Telekomunikasi sebagai syarat kelulusan, mungkin Belum adanya pemetaan dan inventarisasi terhadap mahasiswa untuk pelaksanaan Sertikom di Program Studi Teknik Telekomunikasi, sehingga Sertifikasi Kompetensi Mahasiswa Program Studi Teknik Telekomunikasi BELUM DILAKSANAKAN</t>
  </si>
  <si>
    <t>UPA Layanan Uji Kompetensi-28</t>
  </si>
  <si>
    <t>PELATIHAN ASESOR KOMPETENSI BNSP 2025 - UPA Layanan Uji Kompetensi</t>
  </si>
  <si>
    <t>Karena Belum adanya pemetaan dan inventarisasi terhadap para asesor di Polinema yang sudah waktunya mengikuti Askom BNSP, mungkin Belum harmonisnya komunikasi antara LSP dan TUK di tiap prodi di Polinema sehingga informasi tentang RCC tidak sampai kepada Asesor yang ada di tiap TUK sehingga RCC BNSP bagi Asesor Kompetensi di Polinema - UPA Layanan Uji Kompetensi belum dilaksanakan</t>
  </si>
  <si>
    <t>UPA Pengembangan Karir dan Kewirausahaan-8</t>
  </si>
  <si>
    <t>Pembinaan karir dan konseling mahasiswa - UPA Pengembangan Karir dan Kewirausahaan</t>
  </si>
  <si>
    <t>1. mengakibatkan kegiatan ini tidak efektif.
2. terhambat pelaksanaan kegiatan</t>
  </si>
  <si>
    <t>karena koordinasi dengan jurusan terhambat sehingga menyebabkan pelaksanaan kegiatan konseling tidak berjalan dengan baik</t>
  </si>
  <si>
    <t>membangun komunikasi yang baik antar unit dan membuat perencanaan dengan jurusan melalui koordinator / administasi jurusan.</t>
  </si>
  <si>
    <t>UPA Pengembangan Karir dan Kewirausahaan-9</t>
  </si>
  <si>
    <t>persiapan pelatihan dan uji sertifikasi kewirausahaan - UPA Pengembangan Karir dan Kewirausahaan</t>
  </si>
  <si>
    <t>1. jadwal mundur</t>
  </si>
  <si>
    <t>karena penjadwalan yang tidak tepat sehingga menyebabkan pelaksanaan kegiatan terhambat</t>
  </si>
  <si>
    <t>menjadwal lebih awal</t>
  </si>
  <si>
    <t>UPA Pengembangan Karir dan Kewirausahaan-11</t>
  </si>
  <si>
    <t>Sosialisasi PMW (Program Mahasiswa Wirausaha) Polinema 2025 - UPA Pengembangan Karir dan Kewirausahaan</t>
  </si>
  <si>
    <t>karena jawal dan pelaksanaan kegiatan tiak sesuai jadwal sehingga dampaknya menyebabkan mundur nya jadwal kegiatan dan beberapa kegiatan lain yang berkaitan juga akan terlambat.</t>
  </si>
  <si>
    <t>karena penjadwalan tidak tepat sehingga menyebabkan pelaksanaan kegiatan tidak sesuai (terlambat) yang berakibat kegiatan lain juga akan terlambat pelaksanaannya.</t>
  </si>
  <si>
    <t>1. membuat jadwal kegiatan dengan baik
2. pelaksanaan kegiatan sesuai jadwal
3. selalu koordinasi</t>
  </si>
  <si>
    <t>UPA Perpustakaan-1</t>
  </si>
  <si>
    <t>Pengadaan Konsorsium e-journal FPPTI Jatim tahun 2025 - UPA Perpustakaan - UPA Perpustakaan</t>
  </si>
  <si>
    <t>Tidak adanya akses ejournal berlangganan sehingga berdampak jumlah koleksi perpustakaan yang kurang lengkap</t>
  </si>
  <si>
    <t>Tidak memiliki akses ejurnal berlangganan sehingga layanan perpustakaan tidak optimal</t>
  </si>
  <si>
    <t>Menyiapkan akses ejournal sesuai kebutuhan
Melakukan kebutuhan akses ejournal
Menentuan kebutuhan akses ejournal</t>
  </si>
  <si>
    <t>UPA Perpustakaan-6</t>
  </si>
  <si>
    <t>Pengadaan Buku Lokal - UPA Perpustakaan - UPA Perpustakaan - UPA Perpustakaan</t>
  </si>
  <si>
    <t>Koleksi buku tidak bertambah</t>
  </si>
  <si>
    <t>Karena tidak memiliki database judul buku yang terpercaya, sehingga kegiatan Pengadaan Buku Literatur Lokal tidak bisa dilaksanakan.</t>
  </si>
  <si>
    <t>Perlu menjalin kerjasama dengan berbagai penerbit untuk mendapatkan informasi terbaru mengenai berbagai buku literatur lokal, dan melakukan sosialisasi kepada para Pemustaka atau Jurusan</t>
  </si>
  <si>
    <t>UPA Perpustakaan-7</t>
  </si>
  <si>
    <t>Upgrade PC untuk Keperluan Repository Karya Ilmiah Civitas Akademika - UPA Perpustakaan - UPA Perpustakaan</t>
  </si>
  <si>
    <t>Jika Upgrade PC untuk Keperluan Repository Karya Ilmiah Civitas Akademika tidak bisa dilaksanakan maka server untuk repository karya ilmiah akan sangat riskon terjadi error saat banyak civitas akademika yang mengaksesnya.</t>
  </si>
  <si>
    <t>Karena tidak memiliki database terkait dengan penyedia upgrade pc mungkin tidak ada pemetaan terhadap penyedia upgrade pc sehingga upgrade pc untuk keperluan repository karya ilmiah civitas akademika tidak bisa dilaksanakan.</t>
  </si>
  <si>
    <t>Melakukan komunikasi aktif dengan penyedia upgrade pc.</t>
  </si>
  <si>
    <t>UPA TIK-6</t>
  </si>
  <si>
    <t>Pengadaan Bahan Jaringan Komputer (BHP)</t>
  </si>
  <si>
    <t>Karena tenaga pengadaan BHP Puskom kurang memahami ketentuan-ketentuan pengadaan baru mungkin adanya kebijakan prosedur pengadaan terkait pengadaan BHP Puskom sehingga proses pengadaan Bahan Habis Pakai - UPA TIK terhambat</t>
  </si>
  <si>
    <t>Persiapan pengadaan lebih awal</t>
  </si>
  <si>
    <t>WADIR I-3</t>
  </si>
  <si>
    <t>AKREDITASI INTERNASIONAL dan BANTUAN AKREDITASI PRODI - WADIR I</t>
  </si>
  <si>
    <t>upgrading akreditasi menjadi kewajiban yang tidak dapat dielakkan. dampak jangka pendek dan jangka panjang yang melekat pada capaian akreditasi sangat bermanfaat bagi seluruh stakeholder Polinema. resiko stagnasi ketika suatu institusi tidak mempercepat langkah dalam program akreditasi baik itu tuntutan akreditasi nasional dan internasional</t>
  </si>
  <si>
    <t>Kerena akreditasi "Unggul" tidak tercapai dalam waktu 6 bulan, mungkin angka partisipasi program studi sangat rendah, sehingga kegiatan Upgrade Akreditasi nasional dan inisiasi sertifikasi / akreditasi internasional tidak berjalan.</t>
  </si>
  <si>
    <t>upaya pemenuhan syarat-syarat akreditasi nasional dan internasional</t>
  </si>
  <si>
    <t>WADIR I-7</t>
  </si>
  <si>
    <t>Peningkatan Kuantitas dan Kualitas Lulusan melalui Kegiatan Wisuda - WADIR I</t>
  </si>
  <si>
    <t>Bentuk dukungan kepada lulusan dan menggeser status menjadi alumni</t>
  </si>
  <si>
    <t>Karena jumlah mahasiswa yang lulus di tahun berjalan tidak menentu mungkin akan kesulitan menyesuaikan dengan jadwal yang sudah direncanakan sehingga kegiatan Peningkatan Kualitas Lulusan melalui Kegaiatan Wisuda. - PEMBANTU DIREKTUR I tidak bisa dijalankan.</t>
  </si>
  <si>
    <t>melibatkan akademik prodi dan akademik pusat serta seluruh civitas untuk bertanggung jawab terhadap kelulusan</t>
  </si>
  <si>
    <t>WADIR I-8</t>
  </si>
  <si>
    <t>PERCEPATAN PENINGKATAN STATUS AKREDITASI PROGRAM STUDI - WADIR I</t>
  </si>
  <si>
    <t>WADIR II-1</t>
  </si>
  <si>
    <t>BELANJA PEGAWAI : Dosen Industri Khusus (TPPU)</t>
  </si>
  <si>
    <t>kepuasan layanan pembayaran honor Pendidik Non-PNS rendah</t>
  </si>
  <si>
    <t>Karena Kurang tertib kinerja dari staff kepegawaian menyerahkan data kehadiran dan data dukung individu terbaru mungkin penyerahan/pemutahiran data dukung dalam sistem pembayaran honor oeprasional satker menjadi terlambat sehingga Pembayarannya tidak tepat waktu.</t>
  </si>
  <si>
    <t>WADIR II-2</t>
  </si>
  <si>
    <t>BELANJA PEGAWAI : Dosen Industri/Profesi (NUP)</t>
  </si>
  <si>
    <t>WADIR II-3</t>
  </si>
  <si>
    <t>BELANJA PEGAWAI : Pembayaran Gaji Dosen Kontrak Non PPNPN</t>
  </si>
  <si>
    <t>WADIR II-4</t>
  </si>
  <si>
    <t>BELANJA PEGAWAI : Dosen Kontrak PPNPN</t>
  </si>
  <si>
    <t>WADIR II-5</t>
  </si>
  <si>
    <t>BELANJA PEGAWAI : Dosen Luar Biasa (NIDN)</t>
  </si>
  <si>
    <t>WADIR II-7</t>
  </si>
  <si>
    <t>DUKUNGAN OPERASIONAL PENYELENGGARAAN PENDIDIKAN (Gaji Tendik PPNPN dan Operasional)</t>
  </si>
  <si>
    <t>kepuasan layanan pembayaran honor Tendik Non PNS Satker rendah</t>
  </si>
  <si>
    <t>Karena Kurang tertib kinerja dari staff kepegawaian menyerahkan data kehadiran dan data dukung individu terbaru mungkin penyerahan/pemutahiran data dukung dalam sistem pembayaran honor Tendik Non-PNS menjadi terlambat sehingga Pembayarannya tidak tepat waktu.</t>
  </si>
  <si>
    <t>WADIR II-12</t>
  </si>
  <si>
    <t>BELANJA PEGAWAI : PEMBAYARAN HONOR TENDIK NON-PNS</t>
  </si>
  <si>
    <t>kepuasan layanan pembayaran honor honor Tendik Non-PNS Satker rendah</t>
  </si>
  <si>
    <t>WADIR II-13</t>
  </si>
  <si>
    <t>PENGADAAAN KENDARAAN BERMOTOR</t>
  </si>
  <si>
    <t>Mendapatkan persetujuan usulan pemanfaatan saldo awal kepada dewan pengawas untuk pengadaan penggantian penghapusan kendaraan dinas tahun 2022.</t>
  </si>
  <si>
    <t>Karena kurangnya koordinasi antara perencanaan dan tim teknis untuk pengadaan kendaraan dinas konvensional (bukan kendaraan listrik), mungkin ijin pemanfaatan dana saldo awal oleh dewas belum mendapat persetujuan sehingga pengadaan kendaraan operasional tidak sesuai ketentuan.</t>
  </si>
  <si>
    <t>Kontrol kesiapan RAB, HPS dan vendor penyedia kendaraan dinas agar Pengadaan Kendaraan Dinas dapat segera terealisasi</t>
  </si>
  <si>
    <t>WADIR II-14</t>
  </si>
  <si>
    <t>PENYELENGGARAAN OPERASIONAL - BIAYA LANGGANAN LISTRIK, TELPON, INTERNET DAN AIR</t>
  </si>
  <si>
    <t>Pemadaman Listrik, Air, Telpon dan Internet</t>
  </si>
  <si>
    <t>Karena Tidak ada perencanaan yang baik akan kebutuhan Listrik, telpon, air dan internet terkait adanya kenaikan aktifitas di kampus mungkin Penggunaan Listrik, telpon dan internet yang melewati batas yang direncanakan sehingga Pembayaran Langganan Listrik, Air, Telpon dan Internet tidak sesuai dengan perencanaan di awal tahun.</t>
  </si>
  <si>
    <t>Agar ada pengawasan dalam penggunakan listrik, air, telepon dan internet dan jangan sampai tidak terbayar tepat waktu</t>
  </si>
  <si>
    <t>WADIR II-15</t>
  </si>
  <si>
    <t>PENYELENGGARAAN OPERASIONAL PERKANTORAN - WADIR II</t>
  </si>
  <si>
    <t>Kepuasan Penyelenggaraan operasional perkantoran rendah</t>
  </si>
  <si>
    <t>Karena tidak adanya SOP yang jelas untuk setiap kegiatan operasional perkantoran mungkin jalannya kegiatan operasional perkantoran tidak terawasi dengan baik sehingga Penyelenggaraan Operasional Perkantoran tidak berjalan dengan tertib.</t>
  </si>
  <si>
    <t>Agar segera dibuatkan dan diterbitkan SOP yang sesuai sehingga semua berjalan dengan lancar</t>
  </si>
  <si>
    <t>WADIR II-17</t>
  </si>
  <si>
    <t>PENYUSUNAN DOKUMEN DAN LAPORAN SISTEM TATA KELOLA DAN KELEMBAGAAN - WADIR II</t>
  </si>
  <si>
    <t>Dokumen/Laporan Sistem Tata Kelola dan Kelembagaan tidak tersusun dengan baik</t>
  </si>
  <si>
    <t>Karena kurang adanya kontrol kinerja dari pimpinan mungkin pengumpulan data dukung tidak berjalan dengan baik sehingga Penyusunan Dokumen/Laporan Sistem Tata Kelola dan Kelembagaan tidak terlaksana dengan baik.</t>
  </si>
  <si>
    <t>Adanya kontrol kinerja staf sehingga pengumpulan data dukung tidak terlambat dan dokumen bisa tersusun dengan tepat</t>
  </si>
  <si>
    <t>WADIR II-22</t>
  </si>
  <si>
    <t>BELANJA PEGAWAI : Pembayaran Gaji Tendik Kontrak Non PPNPN</t>
  </si>
  <si>
    <t>WADIR II-34</t>
  </si>
  <si>
    <t>PEMBAYARAN HONOR TENDIK NON-PNS</t>
  </si>
  <si>
    <t>WADIR II-35</t>
  </si>
  <si>
    <t>Pembayaran Gaji Tendik Kontrak Non PPNPN</t>
  </si>
  <si>
    <t>WADIR II-36</t>
  </si>
  <si>
    <t>DUKUNGAN OPERASIONAL PENYELENGGARAAN PENDIDIKAN (Gaji Tendik Kontrak PPNPN dan Operasional)</t>
  </si>
  <si>
    <t>WADIR II-37</t>
  </si>
  <si>
    <t>Dosen Tetap</t>
  </si>
  <si>
    <t>WADIR II-38</t>
  </si>
  <si>
    <t>Pembayaran Gaji Dosen Kontrak Non PPNPN</t>
  </si>
  <si>
    <t>WADIR II-39</t>
  </si>
  <si>
    <t>Dosen Luar Biasa (NIDN)</t>
  </si>
  <si>
    <t>WADIR II-40</t>
  </si>
  <si>
    <t>Dosen Industri/Profesi (NUP)</t>
  </si>
  <si>
    <t>WADIR II-41</t>
  </si>
  <si>
    <t>Dosen Kontrak PPNPN</t>
  </si>
  <si>
    <t>WADIR II-49</t>
  </si>
  <si>
    <t>Dosen Industri Khusus (TPPU)</t>
  </si>
  <si>
    <t>WADIR II-52</t>
  </si>
  <si>
    <t>TUNJANGAN TENDIK NON-ASN</t>
  </si>
  <si>
    <t>kepuasan layanan pembayaran tunjuangan Tendik Non ASN satker rendah</t>
  </si>
  <si>
    <t>Karena kurang tertib kinerja dari Staf Kepegawaian menyerahkan data kehadiran dan data dukung individu terbaru mungkin penyerahan/pemutahiran data dukung tunjangan Tendik Non-ASN menjadi terlambat sehingga pembayaran tidak tepat waktu</t>
  </si>
  <si>
    <t>Agar tidak terlambat, dilakukan prosedur supervisi berkala/rutin dalam pemutahiran basis data kepegawaian</t>
  </si>
  <si>
    <t>WADIR II-53</t>
  </si>
  <si>
    <t>ASURANSI MAHASISWA</t>
  </si>
  <si>
    <t>kepuasan pada penggunaan asuransi untuk Mahasiswa memerlukan waktu lama</t>
  </si>
  <si>
    <t>Karena adanya perubahan penggunaan anggaran karena adanya kebutuhan mendadak mungkin pembayaran asuransi dari kampus tertunda sehingga Asuransi mahasiswa tidak berjalan dengan baik.</t>
  </si>
  <si>
    <t>Diperlukan koordinasi dan konfirmasi yang intens antara Polinema dengan pihak Asuransi sehingga penggunaan Asuransi untuk Mahasiswa pencairannya tidak membutuhkan waktu yang lama</t>
  </si>
  <si>
    <t>WADIR II-54</t>
  </si>
  <si>
    <t>Bantuan Beasiswa Mahasiswa</t>
  </si>
  <si>
    <t>Kurangnya koordinasi antara pihak akademik, kemahasiswaan dan keuangan sehingga mengakibatkan terjadinya keterlambatan pembayaran dan adanya permasalahan kelebihan bayar</t>
  </si>
  <si>
    <t>Karena Tidak ada koordinasi yang bagus antara pihak akademik dan kemahasiswaan mungkin akan terjadi keterlambatan pembayaran dan adanya permasalahan kelebihan bayar karena keabsahannya</t>
  </si>
  <si>
    <t>Adanya kontrol dan koordinasi antara pihak akademik, kemahasiswaan dan keuangan akan mencegah adanya keterlambatan pembayaran dan adanya permasalahan kelebihan bayar</t>
  </si>
  <si>
    <t>WADIR II-55</t>
  </si>
  <si>
    <t>Bantuan Biaya Studi Lanjut Tenaga Pendidikan</t>
  </si>
  <si>
    <t>Kurang aktifnya kepegawaian sosialisasi tentang Biaya Studi Lanjut untuk para Tendik maka tidak ada yang layak menerima bantuan biaya studi lanjut sehingga Bantuan biaya studi&amp;#160;lanjut&amp;#160;tendik tidak berjalan.</t>
  </si>
  <si>
    <t>Karena Tidak ada koordinasi yang bagus antara pihak kepegawaian dan keuangan mungkin Tendik tidak ada yang layak menerima bantuan biaya studi lanjut sehingga Bantuan biaya studi&amp;#160;lanjut&amp;#160;tendik tidak berjalan.</t>
  </si>
  <si>
    <t>Adanya kontrol dan keaktifan Kepegawaian untuk sosialiasasi tentang Biaya Studi Lanjut untuk para Tendik penerima biaya studi lanjut dapat tersalurkan.</t>
  </si>
  <si>
    <t>WADIR III-1</t>
  </si>
  <si>
    <t>Implementasi Satuan Kredit Kegiatan Mahasiswa (SKKM) - WADIR III</t>
  </si>
  <si>
    <t>1. Mahasiswa memiliki tanggungan SKKM 
2. Mahasiswa tidak dapat mengikuti ujian tugas akhir</t>
  </si>
  <si>
    <t>KARENA Kurangnya informasi tentang kegiatan kemahasiswaan, MUNGKIN Mahasiswa yang kurang aktif dalam kegiatan kemahasiswaan, SEHINGGA Implementasi Satuan Kredit Kegiatan Mahasiswa (SKKM) tidak dapat berjalan dengan efektif</t>
  </si>
  <si>
    <t>1. Sosialisasi seawal mungkin kepada setiap angakatn 
2. Melakukan reminder kepada setiap angkatan sebelum batas waktu upload 
3. Melakukan reminder kepada mahasiswa yang belum memenuhi poin kreditnya 
4. Menawarkan kepesertaan berbagai kegiatan untuk memperoleh poin kredit</t>
  </si>
  <si>
    <t>WADIR III-3</t>
  </si>
  <si>
    <t>Pengiriman Delegasi Mahasiswa ke Forum-forum Organisasi Kemahasiswaan Nasional - WADIR III</t>
  </si>
  <si>
    <t>1. Jumlah delegasi mahasiswa yang dikirim terbatas 
2. Jumlah forum yang diikuti dibatasi</t>
  </si>
  <si>
    <t>KARENA Terbatasnya biaya yang disediakan untuk elemen organisasi kemahasiswaan intra (OKI) Polinema MUNGKIN Terbatasnya jumlah mahasiswa yang dapat dikirim ke forum-forum organisasi kemahasiswaan nasional, SEHINGGA Program kerja Pengiriman Delegasi Mahasiswa Ke Forum-forum Organisasi Kemahasiswaan Nasional tidak dapat terlaksana dengan baik.</t>
  </si>
  <si>
    <t>1. Membuat skala prioritas forum yang akan diikuti sesuai levelnya 
2. Memilih personel anggota delegasi yang paling relevan dg jenis forum</t>
  </si>
  <si>
    <t>WADIR III-4</t>
  </si>
  <si>
    <t>Peningkatan Wawasan Berorganisasi bagi Fungsionaris Organisasi Kemahasiswaan - WADIR III</t>
  </si>
  <si>
    <t>1. Terbatasnya jumlah kader fungsionaris yang lebih memiliki wawasan berorganisasi secara lebih luas. 
2. Dinamika perkembangan organisasi kemahasiswaan kurang memiliki inovasi kegiatan</t>
  </si>
  <si>
    <t>KARENA kurangnya keterwakilan seluruh kader fungsionaris organisasi kemahasisswaan, MUNGKIN program kerja Peningkatan Wawasan Berorganisasi Bagi Fungsionaris Organisasi Kemahasiswaan tidak dapat berjalan dengan maksimal SEHINGGA tidak maksimalnya proses penyiapan kader fungsionaris yang lebih memiliki wawasan berorganisasi secara lebih luas.</t>
  </si>
  <si>
    <t>KARENA kurangnya keterwakilan seluruh kader fungsionaris organisasi kemahasisswaan, MAKA ALTERNATIF SOLUSINYA ADALAH: 1. Meningkatkan proporsionalitas distribusi perwakilan kader fungsionaris organisasi 2. Mengarahkan sasaran studi banding yang relevan dengan karakteristik organisasi kemahasiswaan Polinema</t>
  </si>
  <si>
    <t>WADIR III-6</t>
  </si>
  <si>
    <t>Program Pengabdian Mahasiswa pada Masyarakat - WADIR III</t>
  </si>
  <si>
    <t>1. Jumlah mahasiswa yang mengikuti kegiatan pengadian kepada masyarakat belum maksimal (&lt;5%) 
2. Menjadi kendala penerapan MBKM</t>
  </si>
  <si>
    <t>KARENA kurangnya minat mahasiswa untuk mengikuti program kegiatan masyarakat , MUNGKIN mahasiswa belum/tidak menyadari pentingnya program kerja Program Bakti Karya Mahasiswa Polinema, SEHINGGA Program Pengabdian Mahasiswa pada Masyarakat tidak berjalan dengan baik</t>
  </si>
  <si>
    <t>KARENA minat mahasiswa untuk mengikuti kegiatan pengabdian kepada masyarakat, MAKA ALTERNATIF SOLUSINYA ADALAH: 
1. Mengarahkan kegiatan pengabdian kepada masyarakat ke proyek-proyek pemberdayaan masyarakat desa yang berkesinambungan 
2. Mengarahkan kegiatan pengabdian kepada masyarakat menjadi kegiatan MBKM
3. Meningkatkan jumlah program studi yang dapat merestrukturisasi kurikulum menuju MKBM.</t>
  </si>
  <si>
    <t>WADIR III-10</t>
  </si>
  <si>
    <t>Peningkatan Layanan Kemahasiswaan - WADIR III</t>
  </si>
  <si>
    <t>1. Layanan kemahasiswaan tidak dapat berjalan dengan maksimal 
2. Lambatnya kerja layanan kemahasiswaan"</t>
  </si>
  <si>
    <t>KARENA kondisi peralatan kantor yang sudah tidak update dengan perkembangan teknologi terkini MUNGKIN layanan kemahasiswaan tidak dapat berjalan dengan maksimal SEHINGGA timbul masalah kurangnya kecepatan kerja layanan kemahasiswaan.</t>
  </si>
  <si>
    <t>KARENA kondisi peralatan kantor yang sudah tidak update dengan perkembangan teknologi terkini, MAKA ALTERNATIF SOLUSINYA ADALAH penggantian peralatan perkantoran yang sudah tidak update tersebut.</t>
  </si>
  <si>
    <t>WADIR III-16</t>
  </si>
  <si>
    <t>Pendidikan Karakter Mahasiswa - WADIR III</t>
  </si>
  <si>
    <t>1. Mahasiswa kurang memiliki sikap yang baik 
2. Sejumlah mahasiswa tidak mengikuti kegiatan mentoring yg merupakan kegiatan wajib mahasiswa baru</t>
  </si>
  <si>
    <t>KARENA Materi dan kemasan kegiatan kurang sesuai dengan karakteristik mahasiswa sekarang, MUNGKIN Kemasan kegiatan-kegiatan pendidikan karakter kurang menarik minat mahasiswa, SEHINGGA Program pendidikan karakter mahasiswa tidak dapat berjalan secara efektif</t>
  </si>
  <si>
    <t>1. Merancang format kegiatan yang sesuai dengan perkembangan generasi terkini 
2. Memilih materi yang sesuai dengan kebutuhan mahasiswa generasi sekarang</t>
  </si>
  <si>
    <t>WADIR IV-2</t>
  </si>
  <si>
    <t>KERJA SAMA: FGD dan Industrial Meeting - WADIR IV</t>
  </si>
  <si>
    <t>FGD DUDIKA &amp; industrial meeting tidak dapat terlaksana</t>
  </si>
  <si>
    <t>Karena Kurangnya fasilitasi dalam inisiasi kerjasama mungkin Tidak terdapat terdapat informasi dari kedua belah pihak antara Kebutuhan industri dan Institusi Pendidikan (Politeknik Negeri Malang) sehingga FGD DUDIKA &amp; industrial meeting tidak dapat terlaksana</t>
  </si>
  <si>
    <t>1) Memastikan fasilitasi dalam inisiasi kerjasama untuk kegiatan FGD</t>
  </si>
  <si>
    <t>WADIR IV-3</t>
  </si>
  <si>
    <t>LAYANAN USAHA: Pembuatan Merchandise Polinema - WADIR IV</t>
  </si>
  <si>
    <t>PENGADAAN MERCHANDISE UNTUK LAYAAN KERJASAMA belum maksimal</t>
  </si>
  <si>
    <t>Karena Terbatasnya dukungan sumber daya mungkin belum adanya data jumlah kebutuhan Merchandise untuk layanan kerjasama sehingga pengadaan Merchandise untuk layanan kerjasama belum maksimal.</t>
  </si>
  <si>
    <t>1) menentukan penyedia yang kompeten.</t>
  </si>
  <si>
    <t>WADIR IV-4</t>
  </si>
  <si>
    <t>URUSAN INTERNASIONAL: Polinema International Week - WADIR IV</t>
  </si>
  <si>
    <t>Pelaksanaan Polinema International Week tidak berjalan dengan baik</t>
  </si>
  <si>
    <t>Karerena Tidak adanya perencaaan dan anggaran kegiatan Polinema International Week, mungkin keterbatasan anggaran sehingga Polinema International Week tidak terselenggara dengan baik</t>
  </si>
  <si>
    <t>1) Menyusun perencanaan dan anggaran kegiatan yang matang;</t>
  </si>
  <si>
    <t>WADIR IV-5</t>
  </si>
  <si>
    <t>HUMAS PPID: Seminar Keterbukaan Informasi Publik - WADIR IV</t>
  </si>
  <si>
    <t>Workshop dan sosialisasi kehumasan dan keterbukaan informasi publik tidak berjalan optimal</t>
  </si>
  <si>
    <t>Karena tidak yakin dengan dampak positif yang diharapkan di kebijakan baru mungkin Implementasi kebijakan baru bisa dianggap sebagai suatu perubahan yang dapat menimbulkan ketidaknyamanan sehingga Workshop dan sosialisasi kehumasan dan keterbukaan informasi publik tidak berjalan optimal</t>
  </si>
  <si>
    <t>1) Menentukan strategi dan tujuan kegiatan.; 2) Koordinasi antar tim</t>
  </si>
  <si>
    <t>WADIR IV-6</t>
  </si>
  <si>
    <t>URUSAN INTERNASIONAL: International Community Service - WADIR IV</t>
  </si>
  <si>
    <t>URUSAN INTERNASIONAL: International Community Service tidak berjalan dengan baik</t>
  </si>
  <si>
    <t>Karena Tidak adanya perencaaan dan anggaran kegiatan International communtity Service, mungkin Kurang optimalnya Keterlibatan dosen dan mahasiswa dalam kegiatan Interntional Community Service sehingga International Community Service tidak berjalan dengan baik</t>
  </si>
  <si>
    <t>1) Menyusun perencanaan dan anggaran kegiatan yang matang; 
2) melakukan koordinasi dengan dosen dan mahasiswa secara optimal dan melibatkan mereka dalam kegiatan International Community Service</t>
  </si>
  <si>
    <t>WADIR IV-7</t>
  </si>
  <si>
    <t>URUSAN INTERNASIONAL: Penerimaan dan Pelepasan Mahasiswa Asing, Mobility Program dan International Forum dan Monev Mahasiswa Kelas Internasional - WADIR IV</t>
  </si>
  <si>
    <t>tidak terlaksananya Penerimaan dan Pelepasan Mahasiswa Asing dan Mobility Program</t>
  </si>
  <si>
    <t>Karena terbatasnya anggaran, mungkin tidak adanya perecnanaan sehingga Penerimaan dan Pelepasan Mahasiswa Asing dan Mobility Program tidak terlaksana.</t>
  </si>
  <si>
    <t>1) Menyusun perencanaan yang matang;</t>
  </si>
  <si>
    <t>WADIR IV-8</t>
  </si>
  <si>
    <t>LAYANAN USAHA: Bimbingan Teknis Layanan Usaha Bagi Mitra Industri - WADIR IV</t>
  </si>
  <si>
    <t>Bimbingan Teknis Layanan Usaha Bagi Mitra Industri tidak berjalan dengan baik</t>
  </si>
  <si>
    <t>Karena Narasumber tidak kompeten, mungkin Materi yang disampaikan tidak sesuai dengan kebutuhan, sehingga Bimbingan Teknis Layanan Usaha Bagi Mitra Industri tidak berjalan dengan baik</t>
  </si>
  <si>
    <t>1) menentukan beberapa nara sumber yang kompeten di bidangnya</t>
  </si>
  <si>
    <t>WADIR IV-9</t>
  </si>
  <si>
    <t>KERJASAMA: Penguatan Basis Data Pemagangan</t>
  </si>
  <si>
    <t>Basis Data Pemagangan program studi masih belum maksimal</t>
  </si>
  <si>
    <t>karena Kurangnya SDM pengelolaan basis data pemagangan, mungkin kurangnya pemahaman dalam pengelolaan basis data pemagangan sehingga Basis Data Pemagangan program studi masih belum maksimal</t>
  </si>
  <si>
    <t>WADIR IV-10</t>
  </si>
  <si>
    <t>KERJA SAMA: Workshop Penguatan Kerja Sama Unit Kerja - WADIR IV</t>
  </si>
  <si>
    <t>Workshop Implementasi dan Pengelolaan kerjsama unit kerja belum terlaksana dengan baik</t>
  </si>
  <si>
    <t>Karena narasumber yang tidak kompeten mungkin kurangnya pemahaman terhadap materi yang diajarkan sehingga Workshop Implementasi dan Pengelolaan kerjsama unit kerja belum terlakasana dengan baik</t>
  </si>
  <si>
    <t>WADIR IV-11</t>
  </si>
  <si>
    <t>KERJA SAMA: Pengembangan Kerja Sama Dalam dan Luar Negeri - WADIR IV</t>
  </si>
  <si>
    <t>Pengembangan kerja sama dalam dan luar negeri mungkin tidak optimal</t>
  </si>
  <si>
    <t>Karena Keterbatasan sumberdaya Manusia dan Finansial mungkin kurangnya keterlibatan pihak terkait sehingga Pengembangan kerja sama dalam dan luar negeri mungkin tidak optimal</t>
  </si>
  <si>
    <t>1) Memastikan dokumen program dan anggaran sesuai dengan pedoman yang berlaku; 2) melaksanakan sosialisaasi dalam penyusunan Dokumen perencanaan</t>
  </si>
  <si>
    <t>WADIR IV-12</t>
  </si>
  <si>
    <t>KERJA SAMA: FGD PII Jatim dan Workshop AI dengan AIER Malaysia (Luring dan Daring) - WADIR IV</t>
  </si>
  <si>
    <t>Kegiatan FGD PII Jatim dan Workshop AI dengan AIER Malaysia tidak berjalan dengan baik</t>
  </si>
  <si>
    <t>Karena kurangnya keterlibatan pihak terkait mungkin kurangnnya komunikasi antara pengelola usaha dan unit kerja, sehingga FGD PII Jatim dan Workshop AI dengan AIER Malaysia tidak berjalan dengan baik</t>
  </si>
  <si>
    <t>1) Melakukan koordinasi dan komunikasi antar pihak</t>
  </si>
  <si>
    <t>WADIR IV-13</t>
  </si>
  <si>
    <t>PERENCANAAN DAN MONEV: Optimalisasi Dashboard Polinema untuk Pengukuran Capaian Renstra - WADIR IV</t>
  </si>
  <si>
    <t>Dashboard Polinema untuk pengukuran capaian Renstra tidak berjalan dengan baik</t>
  </si>
  <si>
    <t>Karena terbatasnya anggaran mungkin tidak adanya perencanaan sistem pengukuran capaian Renstra sehingga Optimalisaasi Dashboard Polinema untuk pengukuran capaian Renstra tidak berjalan dengan baik</t>
  </si>
  <si>
    <t>1) Menyusun perencanaan dan anggaran kegiatan yang matang; 2) melakukan koordinasi antar unit kebutuhan informasi dan data untuk merancang Dashboard pengukuran kinerja</t>
  </si>
  <si>
    <t>WADIR IV-14</t>
  </si>
  <si>
    <t>URUSAN INTERNASIONAL: Peningkatan Kerja Sama Luar Negeri Melalui 4in1 Academic Program - WADIR IV</t>
  </si>
  <si>
    <t>Peningkatan Kerja Sama Luar Negeri Melalui 4in1 Academic Program tidak berjalan dengan baik</t>
  </si>
  <si>
    <t>Karena perencanaan pelaksanaan kegiatan yang tidak optimal, mungkin keterbatasan anggaran yang tersedia, sehingga sehingga kegiatan Peningkatan Kerja Sama Luar Negeri Melalui 4in1 Academic Program tidak terlaksana dengan baik.</t>
  </si>
  <si>
    <t>1) Menyusun perencanaan dan anggaran kegiatan yang matang; 
2) melakukan koordinasi dengan dosen dan mahasiswa secara optimal 
3) Melakukan koordinasi dengan Mitra mellaui program studi d</t>
  </si>
  <si>
    <t>WADIR IV-15</t>
  </si>
  <si>
    <t>URUSAN INTERNASIONAL: Peningkatan Kerja Sama Luar Negeri Melalui Teacher Exchange - WADIR IV</t>
  </si>
  <si>
    <t>Tidak Terlaksananya Kerja Sama Luar Negeri Melalui Teacher Exchange</t>
  </si>
  <si>
    <t>Karena Tidak adanya perencaaan dan anggaran kegiatan peningkatan kerjasama luar negeri melalui teacher exchane mungkin Informasi terkait Kerja Sama Luar Negeri Melalui Teacher Exchange masih terbatas sehingga kegiatan Peningkatan Kerja Sama Luar Negeri Melalui Teacher Exchange tidak terlaksana</t>
  </si>
  <si>
    <t>1) Menyusun perencanaan dan anggaran kegiatan yang matang; 2) melakukan koordinasi dengan unit/mitra terkait kerjasama teacher exchange</t>
  </si>
  <si>
    <t>WADIR IV-16</t>
  </si>
  <si>
    <t>URUSAN INTERNASIONAL: Peningkatan Kerja Sama Luar Negeri Melalui Pertukaran Mahasiswa Problem-Based Learning dan Transfer Kredit - WADIR IV</t>
  </si>
  <si>
    <t>Peningkatan Kerja Sama Luar Negeri Melalui Pertukaran Mahasiswa Problem-Based Learning dan Transfer Kredit tidak berjalan dengan baik</t>
  </si>
  <si>
    <t>Karena kurangnya kerja sama strategis mungkin ketidaksesuaian program dengan kebutuhan institusi dan mahasiswa, sehingga Peningkatan Kerja Sama Luar Negeri Melalui Pertukaran Mahasiswa Problem-Based Learning dan Transfer Kredit tidak berjalan dengan baik</t>
  </si>
  <si>
    <t>memastikan kesesuaian program Pertukaran Mahasiswa Problem-Based Learning dan Transfer Kredit dengan kebutuhan institusi dan mahasiswa, 
Mensosialisasikan program jauh hari dan memastikan jumlah mahasiswa inbound sama banyak dengan outbound bersama mitra</t>
  </si>
  <si>
    <t>BPKU-8</t>
  </si>
  <si>
    <t>Penerimaan Kunjungan Siswa</t>
  </si>
  <si>
    <t>VERY LOW</t>
  </si>
  <si>
    <t>Menurunnya kuantitas dan kualitas pendaftar SPMB</t>
  </si>
  <si>
    <t>Karena Tidak adanya sosialisasi tentang POLINEMA kepada siswa SMA/SMK/MA mungkin kurangnya informasi tentang POLINEMA di SMA/SMK/MA dan Tidak terdapat permohonan kunjungan dari SMA/SMK dan MA sehingga Penerimaan Kunjungan Siswa SMA/SMK/MA yang Berkunjung Ke Polinema tidak berjalan</t>
  </si>
  <si>
    <t>Melakukan sosialisasi tentang POLINEMA secara langsung ke sekolah-sekolah, melalui alumni sekolah dan melalui media resmi Polinema (media sosial dan website)</t>
  </si>
  <si>
    <t>D-II Perangkat Piranti Lunak Situs-1</t>
  </si>
  <si>
    <t>Evaluasi Kurikulum - D-II Perangkat Piranti Lunak Situs</t>
  </si>
  <si>
    <t>tidak terpenuhinya output mahasiswa yang mendapat sertifikat</t>
  </si>
  <si>
    <t>karena program bersifat seleksi maka kemungkinan mahasiswa ada yang tidak lulus sertifikasi sehingga tidak mendapatkan sertifikasi kompetensi</t>
  </si>
  <si>
    <t>solusi yang ditawarkan adalah menekankan untuk serius mengikuti pelatihan</t>
  </si>
  <si>
    <t>D-III   Teknik Listrik-1</t>
  </si>
  <si>
    <t>INISIASI KERJASAMA DAN KUNJUNGAN DOSEN KE INDUSTRI</t>
  </si>
  <si>
    <t>D-III   Teknik Listrik-3</t>
  </si>
  <si>
    <t>MONEV PBM SEMESTER GANJIL - D-III Teknik Listrik - D-III Teknik Listrik - D-III Teknik Listrik</t>
  </si>
  <si>
    <t>D-III   Teknik Listrik-4</t>
  </si>
  <si>
    <t>MONEV PBM SEMESTER GENAP - D-III Teknik Listrik - D-III Teknik Listrik</t>
  </si>
  <si>
    <t>Membuat tim untuk membentuk SOP, membuat SOP untuk monitoring pembelajaran dengan pengawasan dari kps D-III Teknik Litrik</t>
  </si>
  <si>
    <t>D-III   Teknik Listrik-5</t>
  </si>
  <si>
    <t>Pembelian Persedian Barang Penunjang Praktikum</t>
  </si>
  <si>
    <t>Karena Tidak adanya SDM yang dapat mencari BHP Praktikum dengan kandungan TKDN dan Menyusun HPS di Prodi DIII Teknik Listrik mungkin Proses BHP Praktikum di Prodi DIII Teknik Listrik menjadi Terlambat sehingga Tidak tersedia BHP Praktikum yang berkualitas untuk mahasiswa Prodi DIII Teknik Listrik.</t>
  </si>
  <si>
    <t>D-III   Teknik Listrik-7</t>
  </si>
  <si>
    <t>pemeliharaan peralatan pendukung pembelajaran - D-III Teknik Listrik - D-III Teknik Listrik</t>
  </si>
  <si>
    <t>Karena Tidak ada data base penyedia jasa perawatan, mungkin tidak mendapat penyedia jasa perawatan alat-alat dan mesin yang baik, sehingga tidak terlaksana pemeliharaan peralatan dan mesin di prodi DIII Teknik Listrik</t>
  </si>
  <si>
    <t>D-III  Teknik Elektronika-5</t>
  </si>
  <si>
    <t>Pengadaan Alat Pendukung Pembelajaran Bengkel Mekanik dan Laboratorium</t>
  </si>
  <si>
    <t>D-III  Teknik Elektronika-9</t>
  </si>
  <si>
    <t>Implementasi Kerjasama Industri dan Monitoring PKL - D-III Teknik Elektronika</t>
  </si>
  <si>
    <t>D-III  Teknik Telekomunikasi-3</t>
  </si>
  <si>
    <t>Kunjungan Industri Prodi D-III Teknik Telekomunikasi</t>
  </si>
  <si>
    <t>Program studi tidak mendapat informasi mengenai perkembangan teknologi terkini yang dipelajari mahasiswa di industri</t>
  </si>
  <si>
    <t>Karena kurangnya komunikasi dan koordinasi dengan industri tempat pelaksanaan PKL/magang, mungkin tidak tersedianya database industri sasaran yang sesuai dengan profil lulusan dan berpotensi menghasilkan dokumen kerjasama MoU/SPK sehingga kurang maksimalnya kunjungan ke industri untuk menghasilkan MoU dan SPK</t>
  </si>
  <si>
    <t>Menyusun database lengkap tentang mitra/industri yang digunakan sebagai lokasi magang mahasiswa dan menjajagi kerjasama lebih jauh</t>
  </si>
  <si>
    <t>D-III  Teknik Telekomunikasi-4</t>
  </si>
  <si>
    <t>Monev Layanan Pembelajaran Prodi D-III Teknik Telekomunikasi - D-III Teknik Telekomunikasi</t>
  </si>
  <si>
    <t>Pelaksanaan belajar mengajar tidak terkontrol dengan baik</t>
  </si>
  <si>
    <t>Karena tidak adanya koordinasi untuk menyusun panduan monitoring pelaksanaan belajar mengajar mungkin tidak adanya sumber daya manusia untuk menyusun SOP monitoring pelaksanaan belajar mengajar sehingga tidak terdapatnya monitoring pelaksanaan belajar mengajar, dari UTS, UAS, dan yudisium</t>
  </si>
  <si>
    <t>Membuat tim penyusun SOP untuk monitoring pembelajaran dengan pengawasan dari KPS</t>
  </si>
  <si>
    <t>D-III  Teknik Telekomunikasi-9</t>
  </si>
  <si>
    <t>Workshop Kolaborasi Riset Dosen dan Mahasiswa - D-III Teknik Telekomunikasi</t>
  </si>
  <si>
    <t>tidak adanya database atau narasumber, sehingga penyusnan SOP tidak berjalan</t>
  </si>
  <si>
    <t>Karena tidak adanya database narasumber/industri untuk mendukung kegiatan workshop dengan tema yang di tentukani mungkin kurangnya informasi untuk menyusun narasumber/industri yang relevan sehingga sehingga kegiatan tidak berjalan</t>
  </si>
  <si>
    <t>Dengan membentuk TIM untuk membuat industri yang sesuai degan Workshop Penyusunan Dokumen Kurikulum dan SOP Prodi yang akan di buat</t>
  </si>
  <si>
    <t>D-III  Teknik Telekomunikasi-10</t>
  </si>
  <si>
    <t>Workshop Penyusunan Dokumen Prodi (Kurikulum, LKPS, SOP) - D-III Teknik Telekomunikasi</t>
  </si>
  <si>
    <t>D-III Akuntansi-4</t>
  </si>
  <si>
    <t>PENINGKATAN KUALITAS DOSEN MELALUI PARTISIPASI MENJADI CO-HOST KRA 2025</t>
  </si>
  <si>
    <t>tujuan peningkatan kualitas dosen melalui kolaborasi akademik dan penguatan jaringan internasional menjadi kurang maksimal.</t>
  </si>
  <si>
    <t>Karena kurangnya kesiapan dalam peran sebagai Co-Host, keterbatasan sumber daya dalam mendukung pelaksanaan acara, serta kurangnya koordinasi dengan penyelenggara utama, mungkin partisipasi dosen dalam Konferensi KRA 2025 tidak berjalan optimal, sehingga tujuan peningkatan kualitas dosen melalui kolaborasi akademik dan penguatan jaringan internasional menjadi kurang maksimal.</t>
  </si>
  <si>
    <t>1. Peningkatan Kesiapan sebagai Co-Host
-Melakukan koordinasi intensif dengan penyelenggara utama untuk memastikan peran institusi dalam konferensi berjalan sesuai ekspektasi.
2. Penguatan Kapasitas Dosen
-Mendorong dosen untuk aktif sebagai pembicara, moderator, atau panelis agar lebih berkontribusi dalam diskusi ilmiah.</t>
  </si>
  <si>
    <t>D-III Akuntansi PSDKU Kediri-2</t>
  </si>
  <si>
    <t>Kompetisi Accounting and Tax (Clash of Accounting) bagi Mahasiswa Prodi D-III Akuntansi PSDKU Kediri</t>
  </si>
  <si>
    <t>Tidak adanya kompetisi dilingkungan PSDKU menjadikan Mahasiswa tidak punya jiwa kompetisi dan penerapan ketrampilan akuntansi yang dimiliki menjadi minim</t>
  </si>
  <si>
    <t>karena kurangnya kompetisi di lingkungan mahasiswa PSDKU Kediri, mungkin terapan ilmu yang dimiliki mahasiswa kurang sehingga perlu diadakan nya kegiatan yang menerapkan ilmu akuntansi untuk mahasiswa.</t>
  </si>
  <si>
    <t>peningkatan skill dan mutu mahasiswa dengan diadakannya kompetisi sehingga memicu peningkatan skiill yang masih belum terasah</t>
  </si>
  <si>
    <t>D-III Akuntansi PSDKU Kediri-5</t>
  </si>
  <si>
    <t>Pendampingan sertifikasi Halal, NIB, dan Lap Keu untuk UMKM SeKarisidenan Kediri - D-III Akuntansi PSDKU Kediri</t>
  </si>
  <si>
    <t>Kurang terarah dalam pencapaian kesesuaian miles stone dan RIP maupun IKU polinema</t>
  </si>
  <si>
    <t>Karena keterbatasan kemampuan SDM di Prodi D3 Akuntansi Kampus Kediri mungkin perlu FGD Prodi D3 Akuntansi karena banyaknya UMKM yang ada di Kediri mungkin tidak semua terfasilitasi sehingga masih ada yang belum tersertifikasi halal.</t>
  </si>
  <si>
    <t>dikarenkan SDM yang masih belum berpengalaman sehingga perlu diadakan pelatihan untuk meningkatkan skill dan kopetensi</t>
  </si>
  <si>
    <t>D-III Manajemen Informatika PSDKU Kediri-2</t>
  </si>
  <si>
    <t>Dialog Dosen dengan Mahasiswa</t>
  </si>
  <si>
    <t>1. Solusi terhadap masalah yang ada pada Prodi gagal diselesaikan
2. Kegiatan KBM terganggu</t>
  </si>
  <si>
    <t>KARENA sosialisai acara Dialog Dosen dengan Mahasiswa tidak disampaikan dengan baik, MUNGKIN mahasiswa banyak yang tidak hadir dalam acara Dialog Dosen dengan Mahasiswa, SEHINGGA Dialog Dosen dengan Mahasiswa Prodi D3 Manajemen Informatika Kampus Kediri tidak bisa dilaksanakan</t>
  </si>
  <si>
    <t>1. Sosialisasi digencarkan
2. Penyelesaian pada masalah prioritas</t>
  </si>
  <si>
    <t>D-III Teknik Mesin PSDKU Kediri-1</t>
  </si>
  <si>
    <t>BENCHMARKING PROGRAM STUDI SEJENIS GUNA PENYELARASAN KURIKULUM DAN TATA KELOLA PRODI</t>
  </si>
  <si>
    <t>1) Kegiatan tidak terlaksana sehingga menyebabkan kerugian baik moril maupun materiil. 2) Tidak terlaksananya Kegiatan Benchmarking Program Studi D-3 Teknik Mesin Kampus Kediri, 3) Kegiatan Benchmarking tidak terlaksana dengan baik dan mutu/kualitas Prodi. tidak tercapai.</t>
  </si>
  <si>
    <t>Karena Tidak banyak Program studi yang sejenis yang berkerjasama dengan Prodi terkait, Mungkin pelaksanaan Kegiatan Benchmarking D3 Teknik Mesin Kampus Kediri - Tidak dapat berjalan dengan lancar, Sehingga dapat menghambat proses penyelarasan kurikulum Prodi D3 Teknik Mesin Kampus Kediri.</t>
  </si>
  <si>
    <t>Untuk mengatasi resiko yang mungkin terjadi, maka cara mengendalikan dampaknya adalah:
1) merencanakan kegiatan Benchmarking jauh jauh hari lebih paa Prodi yang akan dituju; 2) Membuat database yang relevan/sesuai dengan kebutuhan terkait DUDI yang ber MOU dengan Polinema yang menjadi tujuan Benchmarking ; 3) Melaksanakan Benchmarking serta kerjasama yang berkesinambunan supaya prodi. semakin berkualitas dan dapat memberikan pelayanan Prima melalui Kuirkulum prodi.; 4)Menyesuaikan kurikulum dengan kebutuhan DUDI dan maukan Prodi sejenis sehingga Prodi dapat Sustainable dan memiliki lulusan yang kompeten dan unggul;</t>
  </si>
  <si>
    <t>D-III Teknik Mesin PSDKU Kediri-7</t>
  </si>
  <si>
    <t>PENGADAAN ALAT PENDIDIKAN LABORATORIUM METROLOGI - D-III Teknik Mesin PSDKU Kediri</t>
  </si>
  <si>
    <t>1. Kegiatan tidak terlaksana sehingga menyebabkan kerugian baik moril maupun materiil. 2) Tidak tersedia Modal perlatan Laboratorium Metrologi PS D-3 Teknik Mesin Kampus kediri. 3) Kegiatan Praktikum MK Metrologi Industri akan terhambat dan mutu/kualitas pembelajaran tidak tercapai,</t>
  </si>
  <si>
    <t>Karena tidak lengkapnya peralatan Laboratorium Metrologi yang telah ada hanya beberapa perlatan ukur guna perkuliaha mungkin belum dilengkapi proses pengadaan peralatan pendukung sehingga kegiatan Pengadaan modal peralatan Laboratorium Metrologi yang tidak terpenuhi dapat menghambat proses Praktikum Perkuliahan.</t>
  </si>
  <si>
    <t>Untuk mengatasi resiko yang mungkin terjadi, maka cara mengendalikan dampaknya adalah: 1) melakukan koordinasi yang baik dengan bagian pengadaan Modal peralatan/mesin Laboratorium Metrologi dan bagian keuangan untuk mengantisipasi ketidak terlaksanaan proses pengadaan. 2) Penetapan HPS yang sesuai Prosedur dan aturan</t>
  </si>
  <si>
    <t>D-III Teknik Mesin PSDKU Kediri-9</t>
  </si>
  <si>
    <t>SELEKSI DAN PENDAMPINGAN PERSIAPAN LOMBA NASIONAL CAD CAM COMPETITION 2025 - D-III Teknik Mesin PSDKU Kediri</t>
  </si>
  <si>
    <t>1) Kegiatan tidak terlaksana sehingga menyebabkan kerugian baik moril maupun materiil. 2) Tidak terlaksananya Seleksi dan pendampingan persiapan lomba CAD/CAM PS D-3 Teknik Mesin Kampus Kediri&amp;#8220;, 3) Kegiatan CAD/CAM tidak diwakili oleh mahaiswa PS D3 teknik Mesin Kampus Kediri dan tidak dapat menambah prestasi nasional</t>
  </si>
  <si>
    <t>Karena Tidak ada SDM yang bertanggungjawab dalam menyeleksi dan mendampingi persiapan lomba oleh narasumber potensial dan mumpuni di bidang nya mungkin Tidak ada database dan narasumber sesuai dengan target yang dihadirkan sehingga kegiatan Seleksi dan Pendampingan Persiapan Lomba National CAD/CAM 2025 - D-III Teknik Mesin PSDKU Kediri Tidak terlaksana</t>
  </si>
  <si>
    <t>Untuk mengatasi resiko yang mungkin terjadi, maka cara mengendalikan dampak nya adalah: 1) mensosialisasikan kegiatan jauh jauh hari; 2) melakukan proses seleksi oleh pemateri yang mumpuni di bidangnya; 3) merancang kegiatan pendampingan yang intens dengan kisi-kisi Lomba dan memberikan suport pelatihan sebelum pelaksanaan lomba misalnya memberikan banyak praktik pengelasan seacara kontinyu.</t>
  </si>
  <si>
    <t>D-III Teknik Mesin PSDKU Kediri-10</t>
  </si>
  <si>
    <t>SELEKSI DAN PENDAMPINGAN PERSIAPAN LOMBA NATIONAL WELDING COMPETITION (NWC) 2025</t>
  </si>
  <si>
    <t>1) Kegiatan tidak terlaksana sehingga menyebabkan kerugian baik moril maupun materiil. 2) Tidak terlaksananya Seleksi dan pendampingan persiapan lomba NWC PS D-3 Teknik Mesin Kampus Kediri&amp;#8220;, 3) Kegiatan NWC tidak diwakili oleh mahaiswa PS D3 teknik Mesin Kampus Kediri dan tidak dapat menambah</t>
  </si>
  <si>
    <t>Karena Tidak ada SDM yang bertanggungjawab dalam menyeleksi dan mendampingi persiapan lomba oleh narasumber potensial dan mumpuni di bidang nya mungkin Tidak ada database dan narasumber sesuai dengan target yang dihadirkan sehingga kegiatan Seleksi dan Pendampingan Persiapan Lomba National Welding Competition (NWC) 2025 - D-III Teknik Mesin PSDKU Kediri Tidak terlaksana.</t>
  </si>
  <si>
    <t>D-III Teknik Mesin PSDKU Kediri-12</t>
  </si>
  <si>
    <t>WORKSHOP PENYUSUNAN SOP LAB BENGKEL DAN SOP TATA KELOLA PRODI D-III Teknik Mesin PSDKU Kediri</t>
  </si>
  <si>
    <t>1. Kegiatan tidak terlaksana sehingga menyebabkan kerugian baik moril maupun materiil.    
2) Tidak terlaksananya Workshop Penyusunan SOP Lab/Bengkel dan Tata Kelola Prodi D3 Teknik Mesin Kampus Kediri&amp;#8220;,   
3) Tidak tersusunya SOP Lab/Bengkel dan tatkelola Prodi D-3 Teknik Mesin Kampus Kediri&amp;#8220;,  
4) Proses pembelajaran terhambat karena SOP Lab/Bengkel dana tat kelola Prodi belum tersusun</t>
  </si>
  <si>
    <t>Karena Tidak ada SDM yang bertanggungjawab dalam memetakan dan membuat database narasumber potensial dan mumpuni di bidang nya mungkin narasumber sesuai dengan kompetensi yang diinginkan yang dapat dihadirkan sehingga Workshop Penyusunan SOP Lab/Bengkel dan Tata Kelola Prodi D3 Teknik Mesin Kampus Kediri Tidak Berjalan.</t>
  </si>
  <si>
    <t>Untuk mengatasi resiko yang mungkin terjadi, maka cara mengendalikan dampak nya adalah: 
1) mensosialisasikan kegiatan jauh jauh hari; 
2) menghadirkan pemateri yang mumpuni di bidangnya; 
3) merancang kegiatan semenarik dan memberikan manfaat lebih.</t>
  </si>
  <si>
    <t>D-IV Bahasa Inggris untuk KomBis &amp; Profesional-5</t>
  </si>
  <si>
    <t>REKONSTRUKSI KURIKULUM BERBASIS OBE TAHUN 2025 - D-IV Bahasa Inggris untuk KomBis &amp; Profesional</t>
  </si>
  <si>
    <t>-Tidak ada pemetaan narasumber/pemateri yang sesuai untuk pelaksanaan MonRekonstruksi Kurikulum Berbasis OBE tahun 2025 Prodi D4 BIKBP, 
-Tidak adanya narasumber yang sesuai dengan tema acara Rekonstruksi Kurikulum Berbasis OBE tahun 2025 Prodi D4 BIKBP dan yang dapat hadir di jadwal yang telah ditentukan, 
Rekonstruksi Kurikulum Berbasis OBE tahun 2025 Prodi D4 BIKBP tidak terlaksana</t>
  </si>
  <si>
    <t>Karena tidak ada database terkait pemateri yang bisa diundang pada Rekonstruksi Kurikulum Berbasis OBE tahun 2025 Prodi D4 BIKBP sebab tidak ada pemetaan narasumber/pemateri yang sesuai untuk pelaksanaan Rekonstruksi Kurikulum Berbasis OBE tahun 2025 Prodi D4 BIKBP, dan tidak adanya narasumber yang sesuai dengan tema acara Rekonstruksi Kurikulum Berbasis OBE tahun 2025 Prodi D4 BIKBP dan dapat hadir di jadwal yang telah ditentukan, sehingga Rekonstruksi Kurikulum Berbasis OBE tahun 2025 Prodi D4 BIKBP tidak dapat terlaksana.</t>
  </si>
  <si>
    <t>Menyediakan database terkait dengan pemateri yang bisa diundang pada Rekonstruksi Kurikulum Berbasis OBE tahun 2025 Prodi D4 BIKBP, 
Membuat pemetaan narasumber/pemateri yang sesuai untuk pelaksanaan Rekonstruksi Kurikulum Berbasis OBE tahun 2025 Prodi D4 BIKBP serta pemateri/narasumber yang dapat hadir di jadwal yang ditentukan untuk melaksanakan Rekonstruksi Kurikulum Berbasis OBE tahun 2025 Prodi D4 Bahasa Inggris Komunikasi Bisnis dan Profesional.</t>
  </si>
  <si>
    <t>D-IV Jaringan Telekomunikasi Digital-1</t>
  </si>
  <si>
    <t>Kunjungan Industri Dalam Rangka Monitoring Magang Mahasiswa</t>
  </si>
  <si>
    <t>D-IV Jaringan Telekomunikasi Digital-2</t>
  </si>
  <si>
    <t>Monitoring Evaluasi Layanan Pembelajaran - D-IV Jaringan Telekomunikasi Digital - D-IV Jaringan Telekomunikasi Digital</t>
  </si>
  <si>
    <t>D-IV Jaringan Telekomunikasi Digital-11</t>
  </si>
  <si>
    <t>Workshop Penyusunan Dokumen Kurikulum dan SOP Prodi - D-IV Jaringan Telekomunikasi Digital - D-IV Jaringan Telekomunikasi Digital</t>
  </si>
  <si>
    <t>D-IV Keuangan PSDKU Kediri-4</t>
  </si>
  <si>
    <t>Peningkatan Kompetensi Mahasiswa (Pelatihan Pengembangan Kreativitas dan Inovasi Mahasiswa Bidang Keuangan) di D-IV Keuangan PSDKU Kediri</t>
  </si>
  <si>
    <t>Kegiatan peningkatan kompetensi mahasiswa tidak terlaksana.</t>
  </si>
  <si>
    <t>Karena minat mahasiswa terhadap kompetisi keuangan tentang kreativitas dan inovasi di bidang sains bisnis manajemen dan keuangan, mungkin menyebabkan terbatasnya jumlah mahasiswa yang akan mengikuti kegiatan peningkatan kompetensi di bidang tersebut, sehingga kegiatan peningkatan kompetensi mahasiswa tidak terlaksana dan juga terhambatnya penyelesaian tugas akhir skripsi.</t>
  </si>
  <si>
    <t>1. Mengusulkan pelatihan setiap tahunnya
2. Materi bervariasi</t>
  </si>
  <si>
    <t>D-IV Manajemen Pemasaran-5</t>
  </si>
  <si>
    <t>Peningkatan Kerjasama di Forum Kajur / KPS Administrasi Bisnis - D-IV Manajemen Pemasaran</t>
  </si>
  <si>
    <t>1. Mundurnya jadwal kegiatan; 2. tidak adanya kerjasama antar forum di Adm Bisnis.</t>
  </si>
  <si>
    <t>Karena tidak ada koordinasi pelaksanan kerjasama di Forum Kajur/KPS mungkin jadwal pelaksanaan dan biaya kontribusi yang tidak jelas pada kegiatan Forum Kajur/KPS sehingga Peningkatan Kerjasama Di Forum Kajur/KPS tidak berjalan</t>
  </si>
  <si>
    <t>Memastikan penyelenggara forum KPS, harga kontribusi, dan jadwal pelaksanaannya</t>
  </si>
  <si>
    <t>D-IV Sistem Kelistrikan-4</t>
  </si>
  <si>
    <t>MONEV PBM SEMESTER GANJIL - D-IV Sistem Kelistrikan</t>
  </si>
  <si>
    <t>D-IV Sistem Kelistrikan-5</t>
  </si>
  <si>
    <t>MONEV PBM SEMESTER GENAP - D-IV Sistem Kelistrikan</t>
  </si>
  <si>
    <t>D-IV Teknik Elektronika-2</t>
  </si>
  <si>
    <t>Inisiasi kerjasama industri dan monitoring kerja praktek mahaisiswa - D-IV Teknik Elektronika</t>
  </si>
  <si>
    <t>Karena tidak memiliki database industri yang lengkap mungkin tidak ada pemetaan industri sasaran yang mengasilkan MoU dan SPK, sehingga kegiatan kerjasama industri dan monitoring kerja praktek mahasiswa D-IV teknik elektronika bisa jadi tidak terlaksana</t>
  </si>
  <si>
    <t>Membuat database industri dan sehingga dapat memetakan mana yang belum MoU dan yang sudah selain itu membuat perjanjian ditambahkan dengan penelitian dosen dan mahasiswa</t>
  </si>
  <si>
    <t>D-IV Teknik Elektronika PSDKU Kediri-4</t>
  </si>
  <si>
    <t>Monitoring Dan Evaluasi Pembelajaran - D4 Teknik Elektronika Kampus Kediri</t>
  </si>
  <si>
    <t>1. Mahasiswa tidak lulus matakuliah 
2. Mahasiswa tidak bisa melanjutkan kuliah semester berikutnya</t>
  </si>
  <si>
    <t>KARENA kurangnya kemampuan mahasiswa dalam mengerjakan ujian, MUNGKIN banyak mahasiswa tidak lulus mata kuliah, SEHINGGA Output yang diharapkan dari monitoring dan evaluasi pembelajaran Prodi D4 Teknik Elektronika Kampus Kediri tidak bisa dilaksanakan.</t>
  </si>
  <si>
    <t>1. DPA aktif melakukan monitoring aktivitas kuliah mahasiswa bimbingan 
2. Memberikan kemudahan perbaikan nilai sebelum yudisium</t>
  </si>
  <si>
    <t>D-IV Usaha Perjalanan Wisata-1</t>
  </si>
  <si>
    <t>Kegiatan PBL MK Event Management Mahasiswa Sebagai Jember Fashion Carnival Crew - D-IV Usaha Perjalanan Wisata</t>
  </si>
  <si>
    <t>jumlah peserta kegiatan PBL di mata kuliah Event Management tidak sesuai target</t>
  </si>
  <si>
    <t>Karena tidak ada mahasiswa yang melakukan Kegiatan Project-Based Learning (PBL) dalam mata kuliah Event Management di Jember Fashion Carnival secara riil, mungkin karena tidak ada praktisi dan pendamping yang dapat memberikan penguatan minat kegiatan PBL di Jember Fashion Carnival untuk mahasiswa D4 UPW sehingga penguatan minat kegiatan PBL di JFC untuk mahasiswa D4 UPW sehingga penguatan minat mahasiswa tidak berjalan</t>
  </si>
  <si>
    <t>Menetapkan batasan jumlah peserta kegiatan PBL dan memastikan bahwa pembukaan kegiatan PBL telah tersampaikan secara merata</t>
  </si>
  <si>
    <t>Jurusan Administrasi Niaga-4</t>
  </si>
  <si>
    <t>Penyusunan Peta Poses Bisnis dan SOP Jurusan Administrasi Niaga</t>
  </si>
  <si>
    <t>Jurusan tidak memiliki peta proses bisnis dan SOP yang dapat mengganggu jalannya proses bisnis di Jurusan.</t>
  </si>
  <si>
    <t>Belum mendapatkan narasumber yang dapat menjelaskan bagaimana menyusun peta proses bisnis yang sesuai dengan kebutuhan Jurusan Administrasi Niaga dan belum pernah dilakukan workshop untuk membahas penysunan peta proses bisnis sehingga belum ada sumber rujukan yang dapat digunakan untuk menyusun peta proses bisnis di Jurusan Administrasi Niaga, maka Penyusunan Peta Proses Bisnis dan SOP Jurusan Administrasi Niaga tidak berjalan.</t>
  </si>
  <si>
    <t>Jurusan melakukan kegiatan workshop untuk belajar menyusun peta proses bisnis dan menyusun SOP nya.</t>
  </si>
  <si>
    <t>Jurusan Akuntansi-11</t>
  </si>
  <si>
    <t>PARTISIPASI KERJASAMA ROUTIN DENGAN JURUSAN AKUNTANSI</t>
  </si>
  <si>
    <t>Terjadi ketidaksesuaian antara rencana dengan pelaksanaan</t>
  </si>
  <si>
    <t>Karena kegiatan kerjasama untuk pelatihan dan pembelajaran melibatkan pihak lain ( Rutin) mungkin timbul ketidaksesuaian antara kedua belah pihak sehingga terjadi ketidaksesuaian antara rencana dengan pelaksanaan</t>
  </si>
  <si>
    <t>1. Melakukan komunikasi dengan pihak routin sehingga kegiatan pelatihan dan pelaksanaan kerjasama berjalan sesuai dengan rencana, dan kesepakatan dituangkan dalam PKS
2. Melakukan monitoring dan evaluasi atas pelaksanaan kerjasama</t>
  </si>
  <si>
    <t>PSDKU Kota Kediri-11</t>
  </si>
  <si>
    <t>Kegiatan seminar Karir Mahasiswa</t>
  </si>
  <si>
    <t>"Jumlah peserta melebihi rencana awal
tempat tidak mencukupi,
kegiatan tidak terlaksana dengan kondusif"</t>
  </si>
  <si>
    <t>Karena jumlah peserta workshop yang terlalu banyak dan acara diadakan secara offline mungkin tempat untuk acara kurang mencukupi sehingga akan terjadi kurang nyaman dalam pelaksanaan</t>
  </si>
  <si>
    <t>Untuk mengatasi risiko yang mungkin terjadi maka cara mengendalikan dampaknya adalah dengan pembatasan peserta hanya untuk mahasiswa tingkat akhir saja.</t>
  </si>
  <si>
    <t>PSDKU Kota Lumajang-1</t>
  </si>
  <si>
    <t>Bantuan Transport Praktikum Mahasiswa D-III teknologi Sipil dan D-IV Teknologi Rekayasa Otomotif - PSDKU Kota Lumajang</t>
  </si>
  <si>
    <t>Dampak yang terjadi jika kegiatan tersebut tidak dilaksanakan yaitu penurunan kualitas pendidikan dan praktikum, sehingga mengurangi pengalaman praktikal yang seharusnya diperoleh oleh mahasiswa. Ini bisa berimbas pada pemahaman yang kurang mendalam terhadap materi yang diajarkan dan menurunkan kualitas pendidikan secara keseluruhan. Kekecewaan dan Menurunnya Motivasi Mahasiswa: Mahasiswa yang merasa tidak mendapatkan dukungan yang semestinya dari institusi bisa merasa kecewa dan kurang termotivasi. Keterbatasan Pengembangan Kompetensi Mahasiswa: Tanpa mengikuti praktikum yang diadakan di kampus pusat Malang, mahasiswa tidak bisa mengembangkan kompetensi teknis yang dibutuhkan dalam bidang Teknologi Sipil dan Teknologi Rekayasa Otomotif.</t>
  </si>
  <si>
    <t>Karena Keterbatasan Kendala Logistik Transportasi, Mungkin masalah aksesiblitas yang menjadi kendala, seperti cuaca yang buruk atau kondisi jalan yang rusak, serta terkendala jadwal dan waktu serta keterbatasan kuota mahasiswa yang dapat dibantu, Sehingga Kegiatan Bantuan Trasport Parktikum untuk Mahasiswa PSDKU Lumajang ke Kampus Pusat tidak dapat dilaksanakan.</t>
  </si>
  <si>
    <t>Melaksanakan Kegiatan Praktikum di kampus pusat sesuai dengan jadwal dan target capaian masing masing Prodi, "1. Melengkapi kekurangan sarana dan prasarana bengkel maupun lab untuk mendukung semua jenis praktikum 
2. Melengkapi alat-alat praktikum yang belum tersedia di prodi TS dan prodi TRO"</t>
  </si>
  <si>
    <t>PSDKU Kota Lumajang-7</t>
  </si>
  <si>
    <t>Boothcamp Program Mahasiswa Pelatihan dan Bimbingan Peningkatan prestasi mahasiswa Prodi D-III Teknologi Sipil PSDKU Lumajang</t>
  </si>
  <si>
    <t>Tanpa bootcamp, mahasiswa mungkin kesulitan mendapatkan pelatihan tambahan yang bisa meningkatkan keterampilan dan daya saing mereka. Bootcamp biasanya dirancang untuk membantu mahasiswa dalam persiapan kompetisi akademik, lomba, atau kesiapan masuk ke dunia kerja. Tanpa pelatihan ini, kesiapan mereka bisa menjadi kurang optimal. Jika kegiatan pembinaan mahasiswa tidak berjalan sesuai rencana, kampus bisa dianggap kurang mendukung pengembangan prestasi mahasiswa.
Solusi Alternatif</t>
  </si>
  <si>
    <t>Karena Keterbatasan Sarana dan Prasarana dan Kurangnya dosen atau tenaga pengajar dengan spesialisasi khusus, Mungkin fasilitas laboratorium yang tidak memadi, keterbatasan alat praktikum yang digunakan. Sehingga Kegiatan Boothcamp Program Mahasiswa Pelatihan dan Bimbingan Peningkatan prestasi mahasiswa Prodi D-III Teknologi Sipil PSDKU Lumajang tidak dapat dilaksanakan.</t>
  </si>
  <si>
    <t>Jika bootcamp ini dianggap penting untuk pengembangan mahasiswa, perlu ada evaluasi dan strategi agar program ini tetap bisa dilaksanakan dalam bentuk yang sesuai dengan kondisi yang ada.</t>
  </si>
  <si>
    <t>PSDKU Kota Lumajang-8</t>
  </si>
  <si>
    <t>Boothcamp Program Mahasiswa Pelatihan dan Bimbingan Peningkatan prestasi mahasiswa Prodi D-IV teknoogi Rekayasa Otomotif - PSDKU Kota Lumajang</t>
  </si>
  <si>
    <t>Tanpa bootcamp, mahasiswa mungkin kesulitan mendapatkan pelatihan tambahan yang bisa meningkatkan keterampilan dan daya saing mereka. Bootcamp biasanya dirancang untuk membantu mahasiswa dalam persiapan kompetisi akademik, lomba, atau kesiapan masuk ke dunia kerja. Tanpa pelatihan ini, kesiapan mereka bisa menjadi kurang optimal. Jika kegiatan pembinaan mahasiswa tidak berjalan sesuai rencana, kampus bisa dianggap kurang mendukung pengembangan prestasi mahasiswa.</t>
  </si>
  <si>
    <t>Karena Keterbatasan Sarana dan Prasarana dan Kurangnya dosen atau tenaga pengajar dengan spesialisasi khusus, Mungkin fasilitas laboratorium yang tidak memadai, keterbatasan alat praktikum yang digunakan. Sehingga Kegiatan Boothcamp Program Mahasiswa Pelatihan dan Bimbingan Peningkatan prestasi mahasiswa Prodi D-IV Teknologi Rekayasa Otomotif PSDKU Lumajang tidak dapat dilaksanakan.</t>
  </si>
  <si>
    <t>PSDKU Kota Lumajang-12</t>
  </si>
  <si>
    <t>Mentoring Kerohanian Mahasiswa PSDKU Lumajang (HIBAH) - PSDKU Kota Lumajang</t>
  </si>
  <si>
    <t>Mahasiswa Kehilangan Wadah Pembinaan Kerohanian, Kegiatan seperti ini bisa memperkuat solidaritas antar mahasiswa yang memiliki minat dalam kegiatan kerohanian, dan jika tidak terlaksana, interaksi sosial di dalam komunitas bisa berkurang Serta Menurunnya Pembinaan Karakter Berbasis Nilai Spiritual</t>
  </si>
  <si>
    <t>Karena Kesiapan Panitia yang Kurang Optimal, Mungkin Minat dan Partisipasi Mahasiswa yang Rendah, Sehingga Pelaksanaan Kegiatan Mentoring Kerohanian Mahasiswa PSDKU Lumajang tidak dapat dilaksanakan.</t>
  </si>
  <si>
    <t>Mengadakan Mentoring dalam Skala Lebih Kecil, Jika kendalanya anggaran atau fasilitas, kegiatan bisa dilakukan dalam kelompok kecil dengan format diskusi sederhana.</t>
  </si>
  <si>
    <t>PSDKU Kota Lumajang-14</t>
  </si>
  <si>
    <t>Pelaksanaan Kegiatan Pengujian Laporan Akhir (LA) PSDKU Lumajang</t>
  </si>
  <si>
    <t>Karena Tidak memiliki anggaran yang dialokasikan untuk mewadahi kegiatanPelaksanaan Kegiatan Pengujian Laporan Akhir (LA) PSDKU Lumajang, mungkin menyebabkan Tidak ada pemetaan perencanaan Kegiatan Pengujian Laporan Akhir (LA) PSDKU Lumajang, sehingga Tidak terlaksananya kegiatan Pelaksanaan Kegiatan Pengujian Laporan Akhir (LA) PSDKU Lumajang</t>
  </si>
  <si>
    <t>Mengalokasikan anggaran dengan rencana kegiatan menyesuaikan ketentuan kelulusan</t>
  </si>
  <si>
    <t>PSDKU Kota Lumajang-15</t>
  </si>
  <si>
    <t>Pelaksanaan Yudisium Semester Ganjil dan Genap PSDKU Kota Lumajang</t>
  </si>
  <si>
    <t>Jika yudisium tidak dilaksanakan tanpa alasan yang jelas, bisa menimbulkan ketidakpuasan dari mahasiswa yang sudah menantikan acara ini sebagai bentuk penghargaan atas pencapaian akademik mereka.</t>
  </si>
  <si>
    <t>Karena belum selesainya proses akademik, Mungkin tertundanya proses validasi data mahasiswa, sehingga Tidak terlaksananya kegiatan Yudisium Semester Ganjil dan Genap PSDKU Lumajang</t>
  </si>
  <si>
    <t>Melaksanakan kegiatan yudisium sesuai jadwal atau Melaksanakan Yudisium Secara Daring.</t>
  </si>
  <si>
    <t>PSDKU Kota Lumajang-16</t>
  </si>
  <si>
    <t>Pengadaan Bahan Habis Pakai (BHP) Praktikum Semester Ganjil Prodi D-III Teknologi Sipil (HIBAH)</t>
  </si>
  <si>
    <t>Karena Tidak ada SDM untuk menyusun pengadaan BHP di prodi D-III Teknologi Sipil mungkin pengumpulan pengadaan BHP di kantor pusat menjadi terlambat, dan dikarenakan masih belum tersedianya tempat (gudang penyimpanan BHP untuk lab dan bengkel di prodi D-III Teknologi Sipil) mungkin pengiriman BHP menjadi sedikit terlambat</t>
  </si>
  <si>
    <t>Karena kurangnya Sumber Daya Manusia untuk menyusun pengadaan BHP di prodi D-III Teknologi Sipil, Mungkin masih belum tersedianya tempat (gudang penyimpanan BHP untuk lab dan bengkel di prodi D-III Teknologi Sipil), sehingga Pengadaan Bahan Habis Pakai (BHP) Praktikum Semester Ganjil Prodi D-III Teknologi Sipil tidak dapat dilaksanakan.</t>
  </si>
  <si>
    <t>PSDKU Kota Lumajang-17</t>
  </si>
  <si>
    <t>Pengadaan Bahan Habis Pakai (BHP) Praktikum Semester Ganjil Prodi D-IV Teknologi Rekayasa Otomotif PSDKU Lumajang (HIBAH)</t>
  </si>
  <si>
    <t>Karena kurangnya Sumber daya manusia untuk Menyusun HPS di PSDKU Lumajang yang memahami kesesuaian data pendukung pengadaan BHP, mungkin gagalnya proses lelang, sehingga Pengadaan Bahan Habis Pakai (BHP) Praktikum Semester Ganjil Prodi D-IV Teknologi Rekayasa Otomotif PSDKU Lumajang</t>
  </si>
  <si>
    <t>PSDKU Kota Lumajang-22</t>
  </si>
  <si>
    <t>Penguatan Kompetensi Mahasiswa di Bidang Informatika Program Studi D-III Teknologi Informasi PSDKU Kota Lumajang</t>
  </si>
  <si>
    <t>1. Mahasiswa Kurang Siap Bersaing di Dunia Kerja, Keterampilan yang tidak sesuai dengan kebutuhan industri membuat lulusan sulit mendapatkan pekerjaan yang relevan.
2. Daya Saing Program Studi Menurun, Jika kompetensi mahasiswa tidak ditingkatkan, program studi bisa kalah bersaing dengan kampus lain yang lebih siap dalam membekali lulusannya.
3. Kurangnya Inovasi dan Startup Teknologi, Mahasiswa yang tidak memiliki kompetensi informatika yang kuat akan sulit menciptakan inovasi atau membangun startup berbasis teknologi.</t>
  </si>
  <si>
    <t>Karena Keterbatasan Sarana dan Prasarana dan Kurangnya dosen atau tenaga pengajar dengan spesialisasi khusus mungkin fasilitas laboratorium yang tidak memadi, keterbatasan software/platform yang digunakan. Sehingga Kegiatan Penguatan Kompetensi Mahasiswa di Bidang Informatika Program Studi D-III Teknologi Informasi PSDKU Kota Lumajang tidak dapat dilaksanakan.</t>
  </si>
  <si>
    <t>Untuk mengatasi kendala ini, perlu ada langkah strategis seperti peningkatan fasilitas, kerja sama dengan industri, revisi kurikulum, serta dorongan untuk mahasiswa agar lebih aktif mengembangkan keterampilannya di bidang IT.</t>
  </si>
  <si>
    <t>PSDKU Kota Lumajang-27</t>
  </si>
  <si>
    <t>Seminar Magang Industri D-III Akuntansi PSDKU Lumajang (HIBAH)</t>
  </si>
  <si>
    <t>Karena terkendala Administratif dan regulasi, Mungkin Kurangnya dosen penguji atau ketidaksiapan mahasiswa dalam menyelesaikan tugas skripsi, Sehingga Seminar Magang D-III Akuntansi PSDKU Lumajang tidak dapat dilaksanakan.</t>
  </si>
  <si>
    <t>PSDKU Kota Lumajang-28</t>
  </si>
  <si>
    <t>Bakti Karya Mahasiswa PSDKU Lumajang - PSDKU Kota Lumajang</t>
  </si>
  <si>
    <t>Jika Bakti Karya Mahasiswa di lingkungan PSDKU Lumjang tidak dapat dilaksanakan, maka akan kehilangan manfaaf sosial bagi masyarakat, penurunan reputasi, menurunnya keterlibatan mahasiswa, penurunan semangat kolaborasi, dan tertundanya pembelajaran berbasis pengalaman untuk mahasiswa dan tenaga pendidik di PSDKU Lumajang.</t>
  </si>
  <si>
    <t>Karena keterbatasan sumber daya manusia seperti jumlah mahasiswa dan tenaga pengajar yang terlibat dikegiatan Bakti Karya Mahasiswa, Mungkin fasilitas yang tidak memadai, kendala aksesibilitas lokasi yang dituju untuk kegiatan tersebut, Sehingga Kegiatan Bakti Karya Mahasiswa PSDKU Lumajang tidak dapat dilaksanakan.</t>
  </si>
  <si>
    <t>Agar Bakti Karya Mahasiswa bisa tetap berjalan, perlu ada solusi seperti mencari alternatif pendanaan, melakukan koordinasi lebih awal dengan pihak terkait, serta memilih lokasi dan waktu yang lebih fleksibel. Melaksanakan Kegiatan Dialog Dosen dan Mahasiswa sesuai dengan jadwal dan rencana</t>
  </si>
  <si>
    <t>PSDKU Kota Lumajang-29</t>
  </si>
  <si>
    <t>Dialog Dosen dengan Mahasiswa PSDKU Kota Lumajang - PSDKU Kota Lumajang</t>
  </si>
  <si>
    <t>Komunikasi antara Dosen dan Mahasiswa Berkurang, Tanpa forum resmi, mahasiswa mungkin kesulitan menyampaikan aspirasi, pertanyaan akademik, atau permasalahan yang mereka hadapi secara langsung kepada dosen. Dialog ini bisa menjadi salah satu cara untuk meningkatkan keterlibatan mahasiswa dalam lingkungan akademik. Jika tidak ada, interaksi antara dosen dan mahasiswa bisa menjadi lebih formal dan terbatas.</t>
  </si>
  <si>
    <t>Karena kurangnya minat atau partisipasi mahasiswa dan dosen, mungkin tidak tersedianya tempat fasilitas yang memadai. Sehingga Kegiatan Dialog Dosen dengan Mahasiswa PSDKU Kota Lumajang tidak dapat dilaksanakan.</t>
  </si>
  <si>
    <t>Memanfaatkan Platform Online, Jika pertemuan langsung sulit dilakukan, kampus bisa menggunakan platform daring seperti Zoom atau Google Meet untuk memfasilitasi diskusi. Meningkatkan Sosialisasi agar Partisipasi Lebih Baik &amp;#8594; Jika minat mahasiswa rendah, maka perlu ada upaya lebih dalam mengedukasi mereka tentang manfaat dan pentingnya dialog ini.</t>
  </si>
  <si>
    <t>PSDKU Kota Lumajang-31</t>
  </si>
  <si>
    <t>Pengadaan Peralatan Penunjang Pembelajaran dan Perkantoran PSDKU Lumajang - PSDKU Kota Lumajang</t>
  </si>
  <si>
    <t>Karena Jika pengadaan alat praktikum tidak terlaksana, maka implementasi program MBKM akan terhambat,dan bisa mengurangi kesempatan mahasiswa untuk mendapatkan pengalaman belajar yang optimal serta Motivasi dan Kepuasan Mahasiswa Menurun.</t>
  </si>
  <si>
    <t>Karena Kendala Administrasi dan Regulasi Proses perencanaan dan pengadaan yang tidak sesuai dengan prosedur atau regulasi, Mungkin gagalnya proses pengadaan seperti penawaran yang tidak sesuai dengan standar atau harga yang jauh di atas anggaran, Sehingga Pengadaan Peralatan Penunjang Pembelajaran dan Perkantoran PSDKU Lumajang tidak dapat dilaksanakan.</t>
  </si>
  <si>
    <t>Melaksanaan Belanja Alat sesuai waktu yang direncanakan</t>
  </si>
  <si>
    <t>PSDKU Kota Lumajang-35</t>
  </si>
  <si>
    <t>Pengadaan Alat Praktikum Prodi D-III Teknologi Sipil - PSDKU Kota Lumajang - PSDKU Kota Lumajang</t>
  </si>
  <si>
    <t>Karena Keterbatasan Penguasaan Kompetensi Mahasiswa Ketiadaan alat praktikum akan menyebabkan mahasiswa kesulitan dalam menguasai keterampilan teknis yang dibutuhkan di dunia industri dan konstruksi, mungkin juga akan Kesulitan dalam Implementasi Kurikulum Merdeka Belajar-Kampus Merdeka (MBKM). Program MBKM menekankan pembelajaran berbasis praktik dan proyek nyata. Jika pengadaan alat praktikum tidak terlaksana, maka implementasi program ini akan terhambat, mengurangi kesempatan mahasiswa untuk mendapatkan pengalaman belajar yang optimal serta Motivasi dan Kepuasan Mahasiswa Menurun</t>
  </si>
  <si>
    <t>Karena Kendala Administrasi dan Regulasi Proses perencanaan dan pengadaan yang tidak sesuai dengan prosedur atau regulasi, Mungkin gagalnya proses pengadaan seperti penawaran yang tidak sesuai dengan standar atau harga yang jauh di atas anggaran, Sehingga Pengadaan Alat Praktikum Prodi D-III Teknologi Sipil tidak dapat dilaksanakan.</t>
  </si>
  <si>
    <t>Melaksanakan Kegiatan Pengadaan Alat Praktikum Prodi D-III Teknologi Sipil Sesuai Waktu Yang Sudah Ditentukan</t>
  </si>
  <si>
    <t>PSDKU Kota Lumajang-36</t>
  </si>
  <si>
    <t>Pengadaan Alat Praktikum Prodi D-IV Teknologi Rekayasa Otomotif PSDKU Lumajang - PSDKU Kota Lumajang</t>
  </si>
  <si>
    <t>Karena Tidak ada SDM untuk Menyusun HPS di PSDKU Lumajang yang memahami kesesuaian data pendukung pengadaan alat, mungkin menyebabkan Lamanya Penyusunan HPS di PSDKU Lumajang, sehingga kegiatan 
Pengadaan Alat Praktikum Prodi D-IV Teknologi Rekayasa Otomotif PSDKU Lumajang tidak dapat dilaksanakan</t>
  </si>
  <si>
    <t>Melaksanakan Pengadaan Alat Praktikum Prodi D-IV Teknologi Rekayasa Otomotif PSDKU Lumajang sesuai dengan ketentuan yang berlaku</t>
  </si>
  <si>
    <t>S-2 Sistem Informasi Akuntansi-1</t>
  </si>
  <si>
    <t>PENINGKATAN KUALITAS PEMBELAJARAN MELALUI PENYUSUNAN KURIKULUM PROGRAM STUDI S-2 Sistem Informasi Akuntansi</t>
  </si>
  <si>
    <t>Kegiatan tidak berjalan sesuai waktu yang telah direncanakan di awal (di simkeu)</t>
  </si>
  <si>
    <t>Karena narasumber berasal dari mitra industri, dan waktu luang narasumber adalah diluar working hour, mungkin akan kesulitan menyesuaikan dengan skedule yang telah dijadwalkan di simkeu sehingga kegiatan tidak berjalan sesuai dengan waktu yang telah direncanakan</t>
  </si>
  <si>
    <t>menyesuaikan jadwal denagn narasumber dan reschedule pelaksanaan yang sesuai</t>
  </si>
  <si>
    <t>S-2 Sistem Informasi Akuntansi-2</t>
  </si>
  <si>
    <t>PROGRAM MAGANG MAHASISWA S-2 Sistem Informasi Akuntansi</t>
  </si>
  <si>
    <t>Jumlah peserta magang yang ikut dibawah target</t>
  </si>
  <si>
    <t>Karena kegiatan magang di mitra industri bersifat sukarela dan menyerupai pelatihan yang berbayar, mungkin membuat mahasiswa tidak berminat untuk mengikuti magang tersebut sehingga peserta yang ikut di bawah target</t>
  </si>
  <si>
    <t>membeikan pemahaman kepada mahasiswa untuk mengikuti magang dengan mitra industri dan memonitoring kegiatan magang berkala</t>
  </si>
  <si>
    <t>S-2 Sistem Informasi Akuntansi-5</t>
  </si>
  <si>
    <t>PENINGKATAN KOMPETENSI DOSEN MELALUI SERTIKOM - S-2 SISTEM INFORMASI AKUNTANSI</t>
  </si>
  <si>
    <t>Biaya registrasi tidak dapat segera direimburse ke peserta</t>
  </si>
  <si>
    <t>Karena kegiatan bersifat online, registrasi harus dibayarkan dimuka, dan proses administrasi keuangan membutuhkan waktu untuk pencairan dana registrasi, mungkin biaya registrasi tidak dapat segera direimburse ke peserta, sehingga peserta yang mengikuti dibawah target</t>
  </si>
  <si>
    <t>menargetkan calon calon peserta utnuk mengikuti online course yang sesuai dengan bidang keahlian dan memastikan proses pembayaran mudah aman dan lancar</t>
  </si>
  <si>
    <t>S-2 Teknik Elektro-1</t>
  </si>
  <si>
    <t>Implementasi Kerjasama Industri dengan PT Techno Triireka - S-2 Teknik Elektro - S-2 Teknik Elektro</t>
  </si>
  <si>
    <t>Karena tidak memiliki database PT yang sesuai untuk dilaksanakan kerjasama, mungkin tidak MoU/SPK dengan PT yang sesuai untuk dilaksanakan kerjasama, sehingga tidak adanya Inisiasi kerjasama dengan PT lain</t>
  </si>
  <si>
    <t>SENAT-2</t>
  </si>
  <si>
    <t>Workshop Sistem Pemantauan dan Evaluasi Penelitian, Inovasi dan Pengabdian Kepada Masyarakat</t>
  </si>
  <si>
    <t>pengukuran dampak dari revisi kebijakan, terutama jika tidak ada mekanisme evaluasi yang jelas dan berkelanjutan.</t>
  </si>
  <si>
    <t>Salah satu risiko utama adalah kemungkinan kurangnya adopsi atau implementasi dari kebijakan yang diusulkan karena adanya perbedaan prioritas atau kurangnya dukungan dari pemangku kepentingan lain di institusi. Selain itu, risiko lain meliputi potensi ketidaklengkapan pemahaman peserta terhadap materi yang kompleks, yang dapat menghambat efektivitas kebijakan yang diterapkan. Ada juga risiko terkait dengan pengukuran dampak dari kebijakan baru, terutama jika tidak ada mekanisme evaluasi yang jelas dan berkelanjutan. Sebagai tambahan, risiko operasional seperti logistik atau teknologi selama pelaksanaan workshop juga bisa mempengaruhi pencapaian tujuan kegiatan.</t>
  </si>
  <si>
    <t>SPI-9</t>
  </si>
  <si>
    <t>PENGADAAN PERALATAN PENUNJANG PERKANTORAN SATUAN PENGAWAS INTERNAL (SPI) POLITEKNIK NEGERI MALANG</t>
  </si>
  <si>
    <t>Polinema mengalami kesulitan dalam menemukan penyedia yang sesuai dan memenuhi persyaratan yang ditentukan, sehingga menyebabkan gagalnya proses pengadaan.</t>
  </si>
  <si>
    <t>Karena adanya peraturan bahwa pengadaan barang pendukung perkantoran harus berTKDN, mungkin sedikit penyedia yang mencantumkan keterangan barang berTKDN, sehingga pengadaan peralatan pendukung perkantoran gagal diadakan.</t>
  </si>
  <si>
    <t>1. Berkoordinasi dengan pemerintah: berkoordinasi dengan pemerintah dan lembaga terkait untuk memastikan ketersediaan dan mempermudah proses pengadaan barang dengan TKDN.
2. Membuat daftar cadangan: membuat daftar cadangan dari penyedia alternatif yang memenuhi persyaratan TKDN jika terjadi kesulitan dalam menemukan penyedia utama.</t>
  </si>
  <si>
    <t>UPA Pengembangan Karir dan Kewirausahaan-2</t>
  </si>
  <si>
    <t>Edukasi / inklusi kesadaran kewirausahaan melalui Podcast 2025 - UPA Pengembangan Karir dan Kewirausahaan</t>
  </si>
  <si>
    <t>karena penjadwalan yang kurang tepat sehingga mengakibatkan terhadapnya pelaksanaan kegiatan.</t>
  </si>
  <si>
    <t>1.berkoordinasi dengan semua narasumber 
2. membuat jadwal kegiatan dengan baik</t>
  </si>
  <si>
    <t>UPA Pengembangan Karir dan Kewirausahaan-6</t>
  </si>
  <si>
    <t>Pelatihan Kewirausahaan di PSDKU Politeknik Negeri Malang - UPA Pengembangan Karir dan Kewirausahaan</t>
  </si>
  <si>
    <t>mengakibatkan kemunduran jadwal pelaksanaan kegiatan.</t>
  </si>
  <si>
    <t>karena pendadwalan yang kurang baik sehingga pelaksanaan kegiatan terhambat</t>
  </si>
  <si>
    <t>membuat jadwal kegiatan dan melaksanakan sesuai dengan perencanaan yang di buat</t>
  </si>
  <si>
    <t>UPA Pengembangan Karir dan Kewirausahaan-12</t>
  </si>
  <si>
    <t>Workshop pembuatan Proposal Business Plan - UPA Pengembangan Karir dan Kewirausahaan</t>
  </si>
  <si>
    <t>peminat dan peserta PMW sedikit.</t>
  </si>
  <si>
    <t>karena informasi yang kurang sehingga menyebabkan peserta yang ikut dalam workshop kurang</t>
  </si>
  <si>
    <t>melakukan publikasi dan memberikan informasi kepada mahasiswa melalui jurusan maupun media sosial agar peserta banyak.</t>
  </si>
  <si>
    <t>UPA Pengembangan Karir dan Kewirausahaan-13</t>
  </si>
  <si>
    <t>Workshop penyusunan SOP layanan UPA PKK - UPA Pengembangan Karir dan Kewirausahaan</t>
  </si>
  <si>
    <t>karena kurangnya koordinasi dan SDM yang kompeten akan menyebabkan kesulitan dalam penyusunan SOP untuk layanan di unit kerja UPA PKK.</t>
  </si>
  <si>
    <t>karena kurangnya koordinasi dan SDM yang kompeten sehingga menyebabkan kesulitan dalam penyusunan SOP di unit kerja.</t>
  </si>
  <si>
    <t>melakukan koordinasi bersama tim kerja dan seluruh jajaran unit kerja</t>
  </si>
  <si>
    <t>UPA Pengembangan Karir dan Kewirausahaan-15</t>
  </si>
  <si>
    <t>Recruitment - UPA Pengembangan Karir dan Kewirausahaan</t>
  </si>
  <si>
    <t>kesulitan mencari ruangan
karena ketersediaan ruangan yang terbatas sehingga harus dilaksanakan sabtu minggu.</t>
  </si>
  <si>
    <t>karena ketersediaan ruangan yang terbatas dan permintaan stake holders untuk recruitment sesuai urgensi mitra industri sehingga harus dilaksanakan pada hari sabtu minggu.</t>
  </si>
  <si>
    <t>1. berkoordinasi dengan pihak stakeholders
2. berkoordinasi dengan intitusi terkait ruangan yang akan di gunakan.
3. pendadwalan yang tepat</t>
  </si>
  <si>
    <t>UPA TIK-1</t>
  </si>
  <si>
    <t>Evaluasi dan Penyusunan SOP</t>
  </si>
  <si>
    <t>Sulitnya pengukuran capaian layanan tata kelola TIK</t>
  </si>
  <si>
    <t>Perkembangan teknologi yang cepat mengharuskan UPA TIK harus mengevaluasi, menyesuaikan dan membuat terobosan dalam SOP TIK</t>
  </si>
  <si>
    <t>Penyesuaian SOP dengan perkembangan teknologi</t>
  </si>
  <si>
    <t>UPA TIK-2</t>
  </si>
  <si>
    <t>Focus Group Discussion (FGD) antara UPA TIK dengan Unit kerja Lain</t>
  </si>
  <si>
    <t>berkurangnya kelancaran pembelajaran dan kinerja institusi</t>
  </si>
  <si>
    <t>adanya komunikasi yang kurang antar unit kerja terkait TIK mengakibatkan kurang lancarnya pembelajaran dan kegiatan institusi lainnya</t>
  </si>
  <si>
    <t>Memulai komunikasi, dilanjutkan dengan koordinasi yang meningkatkan kolaborasi</t>
  </si>
  <si>
    <t>UPA TIK-5</t>
  </si>
  <si>
    <t>Pemeliharaan Jaringan Backbone, Jaringan Gedung dan AC</t>
  </si>
  <si>
    <t>Terganggunya kinerja perangkat server yang akan mengganggu berjalannya proses bisnis</t>
  </si>
  <si>
    <t>Karena masing-masing perangkat komputer dan AC memiliki tipikal pemeliharaan berbeda mungkin Kerusakan Perangkat komputer dan AC tidak bisa diprediksi sehingga Pemeliharaan Perangkat Komputer dan AC - UPT PUSKOM Tidak Terjadwal</t>
  </si>
  <si>
    <t>Terdapat jadwal pemeliharaan perangkat jaringan komputer dan AC</t>
  </si>
  <si>
    <t>WADIR I-5</t>
  </si>
  <si>
    <t>Internasionalisasi mahasiswa melalui program akademik unggulan - WADIR I</t>
  </si>
  <si>
    <t>Bidang 1 melakukan upaya dalam rangka internasionalisasi kampus sesuai dengan milestone institusi</t>
  </si>
  <si>
    <t>Karena rendahnya minat mahasiswa mengikuti student mobility, MUNGKIN tingginya biaya program akademik student mobility ke luar negeri, sehingga kegiatan Internasionalisasi mahasiswa melalui program akademik unggulan - PEMBANTU DIREKTUR I tidak bisa dijalankan.</t>
  </si>
  <si>
    <t>komunikasi yang baik antara polinema dengan penyelenggara</t>
  </si>
  <si>
    <t>WADIR I-9</t>
  </si>
  <si>
    <t>Visiting professor - WADIR I</t>
  </si>
  <si>
    <t>Mengganggu kegiatan pembelajaran karena bahan yang diperlukan belum tersedia</t>
  </si>
  <si>
    <t>Karena pembelajaran belum ditunjang oleh media belajar digital berbasis PBL mungkin kurang siapnya dosen melaksanakan metode pembelajaran partisipatif SEHINGGA kegiatan Peningkatan Kualitas Pembelajaran melalui Metode Pembelajaran Partisipatif dan Pembelajaran Digital - PEMBANTU DIREKTUR I tidak bisa dijalankan.</t>
  </si>
  <si>
    <t>Mengajukan Kegiatan Penyusunan Metode Pembelajaran Partisipatif dan Pembelajaran Digital di institusi</t>
  </si>
  <si>
    <t>WADIR I-10</t>
  </si>
  <si>
    <t>PENJARINGAN MAHASISWA BERPRESTASI DAN MAHASISWA JALUR KHUSUS MELALUI PROMOSI RPL, JD, KI - WADIR I - WADIR I - WADIR I - WADIR I</t>
  </si>
  <si>
    <t>Mengurangi efektivitas program promosi dalam menarik mahasiswa .
Menghambat pencapaian target jumlah mahasiswa baru melalui jalur khusus.</t>
  </si>
  <si>
    <t>Karena persaingan dengan perguruan tinggi semakin ketat sehingga menyebabkan kurangnya minat calon mahasiswa terhadap program studi yang ditawarkan 
Keterbatasan sumber daya manusia dalam pelaksanaan promosi 
Keterbatasan akses informasi bagi calon mahasiswa</t>
  </si>
  <si>
    <t>mengajukan kegiatan PENJARINGAN MAHASISWA BERPRESTASI DAN MAHASISWA JALUR KHUSUS MELALUI PROMOSI RPL, JD, KI</t>
  </si>
  <si>
    <t>WADIR II-11</t>
  </si>
  <si>
    <t>BELANJA PEGAWAI : PEMBAYARAN HONOR OPERASIONAL SATUAN KERJA</t>
  </si>
  <si>
    <t>kepuasan layanan pembayaran honor operasional Satker rendah</t>
  </si>
  <si>
    <t>WADIR II-21</t>
  </si>
  <si>
    <t>SEMINAR/PELATIHAN/WORKSHOP PENGEMBANGAN SDM TENDIK - WADIR II</t>
  </si>
  <si>
    <t>Tenaga kependidikan tidak memanfaatkan kegiatan seminar/pelatihan/workshop yang sesuai dengan uraian fungsi dan tugasnya</t>
  </si>
  <si>
    <t>Karena Informasi terkait kegiatan ini tidak tersampaikan dengan baik dan jelas kepada para tenaga kependidikan mungkin pengajuan kegiatan seminar/pelatihan/workshop dengan tugas dan fungsi tenaga kependidikan tidak sesuai sehingga Seminar/Pelatihan/Workshop Tenaga Kependidikan tidak terlaksana dengan baik.</t>
  </si>
  <si>
    <t>WADIR II-31</t>
  </si>
  <si>
    <t>BELANJA PEGAWAI : GAJI DAN TUNJANGAN TENAGA PNS DAN PPPK - WADIR II</t>
  </si>
  <si>
    <t>Kepuasan layanan gaji dan tunjangan rendah</t>
  </si>
  <si>
    <t>Karena Kurang tertib kinerja dari staff kepegawaian menyerahkan data kehadiran dan data dukung individu terbarua mungkin penyerahan/pemutahiran data dukung dalam sistem pembayaran gaji menjadi terlambat sehingga Pembayaran Gaji dan Tunjangan Tenaga PNS dan PPPK tidak tepat waktu.</t>
  </si>
  <si>
    <t>WADIR II-32</t>
  </si>
  <si>
    <t>GAJI DAN TUNJANGAN TENAGA PNS DAN PPPK - WADIR II</t>
  </si>
  <si>
    <t>WADIR II-33</t>
  </si>
  <si>
    <t>PEMBAYARAN HONOR OPERASIONAL SATUAN KERJA</t>
  </si>
  <si>
    <t>WADIR III-2</t>
  </si>
  <si>
    <t>Pengelolaan Beasiswa - WADIR III</t>
  </si>
  <si>
    <t>1. Tidak semua penerima beasiswa KIPK terverifikasi 
2. Terdapat salah sasaran penerima beasiswa KIPK</t>
  </si>
  <si>
    <t>KARENA penyaluran beasiswa yang bersumber dari APBN, PNBP, swasta, dan sumber lain tidak tepat sasaran MUNGKIN penerima beasiswa KIPK tidak seluruhnya terverifikasi, dan jumlah calon penerima beasiswa yang harus diverifikasi cukup banyak SEHINGGA Program pengelolaan beasiswa tidak berjalan dengan baik</t>
  </si>
  <si>
    <t>1. Menugaskan lebih banyak staf untuk melakukan verifikasi lapangan 
2. Memberdayakan mahasiswa penerima KIPK existing untuk membantu verifikasi lapangan 
3. Melakukan evaluasi portofolio secara lebih ketat</t>
  </si>
  <si>
    <t>WADIR IV-1</t>
  </si>
  <si>
    <t>HUMAS PPID: Promosi Joint Degree dan Kelas Internasional - WADIR IV</t>
  </si>
  <si>
    <t>Promosi Joint Degree dan Kelas Internasional belum optimal.</t>
  </si>
  <si>
    <t>"Karena Kurangnya Promosi Joint Degree dan Kelas Internasional mungkin Tidak adanya perencanaan kebutuhan opeasional pengelola Promosi Joint Degree dan Kelas Internasional sehingga Promosi Joint Degree dan Kelas Internasional belum optimal.</t>
  </si>
  <si>
    <t>NIP.</t>
  </si>
  <si>
    <t>Dr. Drs. Sumiadji, Ak., M.SA.</t>
  </si>
  <si>
    <t>Usman Nurhasan, S.Kom., M.T.</t>
  </si>
  <si>
    <t>Ir. Wahiddin, S.T., MT.IPM.ASEAN Eng.</t>
  </si>
  <si>
    <t>Dr. Ir. Azam Muzakhim Imammuddin, M.T.</t>
  </si>
  <si>
    <t>Lina Budiarti, S.E., M.M.</t>
  </si>
  <si>
    <t>Drs. Mufid M.T.</t>
  </si>
  <si>
    <t>Lis Diana Mustafa, S.T., M.T.</t>
  </si>
  <si>
    <t>Dr. Atik Andhayani, S.E., MSA.</t>
  </si>
  <si>
    <t>PEMONEV</t>
  </si>
  <si>
    <t>UNIT</t>
  </si>
  <si>
    <t>NAMA UNIT</t>
  </si>
  <si>
    <t>No</t>
  </si>
  <si>
    <t>Nama Jurusan dan Prodi</t>
  </si>
  <si>
    <t>Jumlah Dosen (2022)</t>
  </si>
  <si>
    <t>Jumlah Tendik (2022)</t>
  </si>
  <si>
    <t>Gedung (m2)  (2022)</t>
  </si>
  <si>
    <t>Luas Tanah (Ha)  (2022)</t>
  </si>
  <si>
    <t xml:space="preserve">Jumlah mahasiswa </t>
  </si>
  <si>
    <t>Jumlah lulusan bekerja</t>
  </si>
  <si>
    <t>Jumlah lulusan berwirausaha</t>
  </si>
  <si>
    <t>Jumlah lulusan studi lanjut</t>
  </si>
  <si>
    <t>JUMLAH TOTAL LULUSAN MAHASISWA TAHUN 2022</t>
  </si>
  <si>
    <t>Jurusan Teknik Elektro</t>
  </si>
  <si>
    <t>Jml 1.1, 1.2 dst</t>
  </si>
  <si>
    <t>Sum</t>
  </si>
  <si>
    <t>Average</t>
  </si>
  <si>
    <t>Prodi D-IV Teknik Elektronika</t>
  </si>
  <si>
    <t>….....</t>
  </si>
  <si>
    <t>Prodi D-IV Sistem Kelistrikan</t>
  </si>
  <si>
    <t>Prodi D-IV Jaringan Telekomunikasi Digital</t>
  </si>
  <si>
    <t>Prodi D-III Teknik Elektronika</t>
  </si>
  <si>
    <t>Prodi D-III Teknik Listrik</t>
  </si>
  <si>
    <t>Prodi D-III Teknik Telekomunikasi</t>
  </si>
  <si>
    <t>Jurusan Teknik Mesin</t>
  </si>
  <si>
    <t>Jml 2.1, 2.2 dst</t>
  </si>
  <si>
    <t>Prodi D-IV Teknik Otomotif Elektronik</t>
  </si>
  <si>
    <t>Prodi D-IV Teknik Mesin Produksi dan  Perawatan</t>
  </si>
  <si>
    <t>Prodi D-III Teknik Mesin</t>
  </si>
  <si>
    <t>Prodi D-III Teknologi Pemeliharaan Pesawat Udara</t>
  </si>
  <si>
    <t>Jurusan Teknik Sipil</t>
  </si>
  <si>
    <t>Prodi D-IV Manajemen Rekayasa Konstruksi</t>
  </si>
  <si>
    <t>Prodi D-IV Teknologi Rekayasa Konstruksi Jalan dan Jembatan</t>
  </si>
  <si>
    <t>Prodi D-III Teknik Sipil</t>
  </si>
  <si>
    <t>Prodi D-III Teknologi Konstruksi Jalan, Jembatan, dan Bangunan Air</t>
  </si>
  <si>
    <t>Prodi D-III Teknologi Pertambangan</t>
  </si>
  <si>
    <t>Jurusan Teknik Kimia</t>
  </si>
  <si>
    <t>Prodi D-IV Teknologi Kimia Industri</t>
  </si>
  <si>
    <t>Prodi D-III Teknik Kimia</t>
  </si>
  <si>
    <t>Jurusan Akuntansi</t>
  </si>
  <si>
    <t>Prodi D-IV Akuntansi Manajemen</t>
  </si>
  <si>
    <t>Prodi D-IV Keuangan</t>
  </si>
  <si>
    <t>Prodi D-III Akuntansi</t>
  </si>
  <si>
    <t>Jurusan Administrasi Niaga</t>
  </si>
  <si>
    <t>Prodi D-IV Manajemen Pemasaran</t>
  </si>
  <si>
    <t>Prodi D-IV Bahasa Inggris untuk Komunikasi Bisnis dan Profesional</t>
  </si>
  <si>
    <t>Prodi D-IV Pengelolaan Arsip dan Rekaman Informasi</t>
  </si>
  <si>
    <t>Prodi D-IV Usaha Perjalanan Wisata</t>
  </si>
  <si>
    <t>Prodi D-IV Bahasa Inggris Untuk Industri Pariwisata  ( Bahasa Inggris D3)</t>
  </si>
  <si>
    <t>Prodi D-III Administrasi Bisnis</t>
  </si>
  <si>
    <t>Jurusan Teknologi Informasi</t>
  </si>
  <si>
    <t>Prodi D-IV Teknik Informatika</t>
  </si>
  <si>
    <t>Prodi D-IV Sistem Informasi Bisnis ( D3 Manajemen Informatika)</t>
  </si>
  <si>
    <t>Prodi D-II Pengembangan Perangkat Lunak Situs</t>
  </si>
  <si>
    <t>PSDKU Kediri</t>
  </si>
  <si>
    <t>Prodi D-IV Teknik Elektronika, PSDKU Kediri</t>
  </si>
  <si>
    <t>Prodi D-IV Teknik Mesin Produksi dan Perawatan, PSDKU Kediri</t>
  </si>
  <si>
    <t>Prodi D-IV Keuangan, PSDKU Kediri</t>
  </si>
  <si>
    <t>Prodi D-III Teknik Mesin, PSDKU Kediri</t>
  </si>
  <si>
    <t>Prodi D-III Akuntansi, PSDKU Kediri</t>
  </si>
  <si>
    <t>Prodi D-III Manajemen Informatika, PSDKU Kediri</t>
  </si>
  <si>
    <t>PSDKU Lumajang</t>
  </si>
  <si>
    <t>Prodi D-IV Teknologi Rekayasa Otomotif, PSDKU Lumajang</t>
  </si>
  <si>
    <t>Prodi D-III Teknologi Sipil, PSDKU Lumajang</t>
  </si>
  <si>
    <t>Prodi D-III Akuntansi, PSDKU Lumajang</t>
  </si>
  <si>
    <t>Prodi D-III Teknologi Informasi, PSDKU Lumajang</t>
  </si>
  <si>
    <t>PSDKU Pamekasan</t>
  </si>
  <si>
    <t>Prodi D-IV Teknik Otomotif Elektronik, PSDKU Pamekasan</t>
  </si>
  <si>
    <t>Prodi D-IV Akuntansi Manajemen, PSDKU Pamekasan</t>
  </si>
  <si>
    <t>Prodi D-III Manajemen Informatika, PSDKU Pamekasan</t>
  </si>
  <si>
    <t>Total (bukan hitungan)</t>
  </si>
  <si>
    <t>Jumlah 1,2,3,4 dst</t>
  </si>
  <si>
    <t>Jumlah mhs menempuh 20 sks</t>
  </si>
  <si>
    <t>Jumlah mhs prestasi tingkat nasional</t>
  </si>
  <si>
    <t>Jumlah mhs prestasi tingkat international</t>
  </si>
  <si>
    <t>JUMLAH TOTAL MAHASISWA TAHUN 2022</t>
  </si>
  <si>
    <t>Prodi D-IV Bahasa Inggris Untuk Industri Pariwisata</t>
  </si>
  <si>
    <t>Prodi D-IV Sistem Informasi Bisnis</t>
  </si>
  <si>
    <t>Jumlah Dosen</t>
  </si>
  <si>
    <t>Persentase Dosen membina mahasiswa meraih prestasi baik di tingkat nasional atau internasional dalam 5 (lima) tahun terakhir</t>
  </si>
  <si>
    <t>JUMLAH DOSEN TAHUN 2022</t>
  </si>
  <si>
    <t>Jumlah Dosen Tetap berkualifikasi akademik S3</t>
  </si>
  <si>
    <t>Persentase Dosen memiliki sertifikat kompetensi/profesi yang diakui oleh industri dan dunia kerja</t>
  </si>
  <si>
    <t>Persentase Dosen berasal dari kalangan praktisi profesional, dunia industri atau dunia kerja</t>
  </si>
  <si>
    <t>1.1</t>
  </si>
  <si>
    <t>Prodi S-2 Teknik Elektro</t>
  </si>
  <si>
    <t>1.2</t>
  </si>
  <si>
    <t>1.3</t>
  </si>
  <si>
    <t>1.4</t>
  </si>
  <si>
    <t>1.5</t>
  </si>
  <si>
    <t>1.6</t>
  </si>
  <si>
    <t>1.7</t>
  </si>
  <si>
    <t>2.1</t>
  </si>
  <si>
    <t>Prodi S-2 Rekayasa Teknologi Manufaktur</t>
  </si>
  <si>
    <t>2.2</t>
  </si>
  <si>
    <t>2.3</t>
  </si>
  <si>
    <t>2.4</t>
  </si>
  <si>
    <t>2.5</t>
  </si>
  <si>
    <t>3.1</t>
  </si>
  <si>
    <t>3.2</t>
  </si>
  <si>
    <t>3.3</t>
  </si>
  <si>
    <t>3.4</t>
  </si>
  <si>
    <t>3.5</t>
  </si>
  <si>
    <t>4.1</t>
  </si>
  <si>
    <t>4.2</t>
  </si>
  <si>
    <t>5.1</t>
  </si>
  <si>
    <t>Prodi S-2 Sistem Informasi Akuntansi</t>
  </si>
  <si>
    <t>5.2</t>
  </si>
  <si>
    <t>5.3</t>
  </si>
  <si>
    <t>5.4</t>
  </si>
  <si>
    <t>6.1</t>
  </si>
  <si>
    <t>6.2</t>
  </si>
  <si>
    <t>6.3</t>
  </si>
  <si>
    <t>6.4</t>
  </si>
  <si>
    <t>6.5</t>
  </si>
  <si>
    <t>6.6</t>
  </si>
  <si>
    <t>7.1</t>
  </si>
  <si>
    <t>7.2</t>
  </si>
  <si>
    <t>7.3</t>
  </si>
  <si>
    <t>8.1</t>
  </si>
  <si>
    <t>8.2</t>
  </si>
  <si>
    <t>8.3</t>
  </si>
  <si>
    <t>8.4</t>
  </si>
  <si>
    <t>8.5</t>
  </si>
  <si>
    <t>8.6</t>
  </si>
  <si>
    <t>9.1</t>
  </si>
  <si>
    <t>9.2</t>
  </si>
  <si>
    <t>9.3</t>
  </si>
  <si>
    <t>9.4</t>
  </si>
  <si>
    <t>10.1</t>
  </si>
  <si>
    <t>10.2</t>
  </si>
  <si>
    <t>10.3</t>
  </si>
  <si>
    <t>Nama Unit</t>
  </si>
  <si>
    <t>Jumlah Kegiatan</t>
  </si>
  <si>
    <t>BPKU</t>
  </si>
  <si>
    <t xml:space="preserve">D-III Teknik Listrik </t>
  </si>
  <si>
    <t>D-III Teknik Elektronika</t>
  </si>
  <si>
    <t>D-III Teknik Mesin</t>
  </si>
  <si>
    <t>D-III Teknik Telekomunikasi</t>
  </si>
  <si>
    <t>D-III Administrasi Bisnis</t>
  </si>
  <si>
    <t>D-III Teknik Kimia</t>
  </si>
  <si>
    <t>D-III Akuntansi PSDKU Kediri</t>
  </si>
  <si>
    <t>D-IV Jaringan Telekomunikasi Digital</t>
  </si>
  <si>
    <t>D-IV Manajemen Pemasaran</t>
  </si>
  <si>
    <t>WADIR II</t>
  </si>
  <si>
    <t>WADIR III</t>
  </si>
  <si>
    <t>D-IV Manajemen Rekayasa Konstruksi</t>
  </si>
  <si>
    <t>D-IV Teknik Informatika</t>
  </si>
  <si>
    <t>D-IV Teknik Kimia Industri</t>
  </si>
  <si>
    <t>D-IV Perjalanan Wisata</t>
  </si>
  <si>
    <t>P3M</t>
  </si>
  <si>
    <t>UPA PKK</t>
  </si>
  <si>
    <t>UPA Bahasa</t>
  </si>
  <si>
    <t>WADIR I</t>
  </si>
  <si>
    <t>TOTAL KEGIATAN UNIT</t>
  </si>
  <si>
    <t>22, 23, 24, 25</t>
  </si>
  <si>
    <t>496, 505, 507</t>
  </si>
  <si>
    <t>18, 19</t>
  </si>
  <si>
    <t>20, 21</t>
  </si>
  <si>
    <t>4, 5, 6 ,7</t>
  </si>
  <si>
    <t>1, 2, 26, 27</t>
  </si>
  <si>
    <t>14, 15</t>
  </si>
  <si>
    <t>8, 9, 10, 11</t>
  </si>
  <si>
    <t>179, 311</t>
  </si>
  <si>
    <t>13, 112</t>
  </si>
  <si>
    <t>Lina Budiarti (9);
 Dr. Ir. Azam Muzakhim Imammuddin, MT. (9); 
Dr. Drs. Sumiadji, Ak., M.SA. (6)</t>
  </si>
  <si>
    <t>28, 29, 30, 31, 32, 33, 34, 35</t>
  </si>
  <si>
    <t>16, 17, 54, 157, 161, 162, 164, 166, 169, 170, 171, 179, 306, 308, 311, 599, 602, 603, 605, 607, 608, 615, 617, 710, 711</t>
  </si>
  <si>
    <t>No Kegiatan</t>
  </si>
  <si>
    <t>Middle</t>
  </si>
  <si>
    <t>RISIKO RESIDUAL</t>
  </si>
  <si>
    <t>PANDUAN PENGISIAN</t>
  </si>
  <si>
    <t xml:space="preserve">1. </t>
  </si>
  <si>
    <r>
      <t xml:space="preserve">Pastikan Unit dan No Kegiatan yang akan di reviu sesuai dengan Sheet </t>
    </r>
    <r>
      <rPr>
        <b/>
        <sz val="11"/>
        <color theme="1"/>
        <rFont val="Calibri"/>
        <family val="2"/>
        <scheme val="minor"/>
      </rPr>
      <t>Distribusi Unit</t>
    </r>
  </si>
  <si>
    <t>2.</t>
  </si>
  <si>
    <t>3.</t>
  </si>
  <si>
    <r>
      <rPr>
        <b/>
        <sz val="11"/>
        <color theme="1"/>
        <rFont val="Calibri"/>
        <family val="2"/>
        <scheme val="minor"/>
      </rPr>
      <t>Entry No Kegiatan</t>
    </r>
    <r>
      <rPr>
        <sz val="11"/>
        <color theme="1"/>
        <rFont val="Calibri"/>
        <family val="2"/>
        <scheme val="minor"/>
      </rPr>
      <t xml:space="preserve"> yang akan di reviu pada Sheet Lembar Monitoring, mulai dari No Kegiatan 1 - 9 pada baris 7 sheet tersebut</t>
    </r>
  </si>
  <si>
    <t>- Menerima Risiko</t>
  </si>
  <si>
    <t>- Membagi Risiko</t>
  </si>
  <si>
    <t>- Melimpahkan Risiko</t>
  </si>
  <si>
    <t>5.</t>
  </si>
  <si>
    <t>Pilih Mitigasi Risiko yang diambil oleh Unit Kolom Mitigasi Risiko</t>
  </si>
  <si>
    <t>Pilih Risiko Residual sebagai dampak Mitigasi tersebut pada langkah 4</t>
  </si>
  <si>
    <t>- Extreme</t>
  </si>
  <si>
    <t>- High</t>
  </si>
  <si>
    <t>- Middle</t>
  </si>
  <si>
    <t>- Low</t>
  </si>
  <si>
    <t>- Very Low</t>
  </si>
  <si>
    <t>6.</t>
  </si>
  <si>
    <r>
      <t xml:space="preserve">Beri Komentar pada kolom </t>
    </r>
    <r>
      <rPr>
        <b/>
        <sz val="11"/>
        <color theme="1"/>
        <rFont val="Calibri"/>
        <family val="2"/>
        <scheme val="minor"/>
      </rPr>
      <t>Komentar</t>
    </r>
    <r>
      <rPr>
        <sz val="11"/>
        <color theme="1"/>
        <rFont val="Calibri"/>
        <family val="2"/>
        <scheme val="minor"/>
      </rPr>
      <t>:</t>
    </r>
  </si>
  <si>
    <t>- Bagaimana mereka memitigasi Risiko kegiatan</t>
  </si>
  <si>
    <t>- Bagaimana efek mitigasi risiko sehingga Residual Risiko berubah turun atau naik</t>
  </si>
  <si>
    <t>8.</t>
  </si>
  <si>
    <t>Lanjutkan cara yang sama pada kegiatan yang lain.</t>
  </si>
  <si>
    <t>9.</t>
  </si>
  <si>
    <t>10.</t>
  </si>
  <si>
    <t>Jika semua kegiatan telah di reviu, Cetak Lembar monitoring sebanyak 2 Exp</t>
  </si>
  <si>
    <t>11.</t>
  </si>
  <si>
    <t>Bubuhkan TTD pada unit dan Reviuer</t>
  </si>
  <si>
    <t>12.</t>
  </si>
  <si>
    <t>Setiap unit dapat 1 Exp Lembar Monitoring dan 1 Exp untuk SPI</t>
  </si>
  <si>
    <t>Entry nama lengkap Wakil Unit pada tempatnya</t>
  </si>
  <si>
    <t>4.</t>
  </si>
  <si>
    <t>7.</t>
  </si>
  <si>
    <t>13.</t>
  </si>
  <si>
    <t>14.</t>
  </si>
  <si>
    <t>- Komentar lainnya</t>
  </si>
  <si>
    <r>
      <t xml:space="preserve">Pilih Nama Reviuer pada Kolom </t>
    </r>
    <r>
      <rPr>
        <b/>
        <sz val="11"/>
        <color theme="1"/>
        <rFont val="Calibri"/>
        <family val="2"/>
        <scheme val="minor"/>
      </rPr>
      <t>Pemonev</t>
    </r>
  </si>
  <si>
    <r>
      <t xml:space="preserve">Apabila Kegiatan tersebut sudah selesai dilaksanakan, tentukan kegiatan lain unit tersebut yang belum di laksanakan dengan pertimbangan Level Risiko pada Sheet By Level, dengan cara Filter Nama Unit pada Kolom </t>
    </r>
    <r>
      <rPr>
        <b/>
        <sz val="11"/>
        <color theme="1"/>
        <rFont val="Calibri"/>
        <family val="2"/>
        <scheme val="minor"/>
      </rPr>
      <t>Nama Unit dan Kode</t>
    </r>
    <r>
      <rPr>
        <sz val="11"/>
        <color theme="1"/>
        <rFont val="Calibri"/>
        <family val="2"/>
        <scheme val="minor"/>
      </rPr>
      <t xml:space="preserve">, kemudian Filter lagi dengan </t>
    </r>
    <r>
      <rPr>
        <b/>
        <sz val="11"/>
        <color theme="1"/>
        <rFont val="Calibri"/>
        <family val="2"/>
        <scheme val="minor"/>
      </rPr>
      <t>Tingkat Risiko</t>
    </r>
  </si>
  <si>
    <t>SATUAN PENGAWAS INTERNAL POLITEKNIK NEGERI MALANG</t>
  </si>
  <si>
    <t>TAHUN 2025</t>
  </si>
  <si>
    <t>Klik gambar Dokumen (         )   di samping untuk menuju pada kegiatan selanjutnya. Warna kuning menunjukkan sedang berada pada kegiatan tersebut</t>
  </si>
  <si>
    <t>- DEWAS</t>
  </si>
  <si>
    <t>- Senat</t>
  </si>
  <si>
    <t>- WADIR I</t>
  </si>
  <si>
    <t>- WADIR II</t>
  </si>
  <si>
    <t>- WADIR III</t>
  </si>
  <si>
    <t>- WADIR IV</t>
  </si>
  <si>
    <t>- BAK</t>
  </si>
  <si>
    <t>- BPKU</t>
  </si>
  <si>
    <t>- P2MPP</t>
  </si>
  <si>
    <t>- P3M</t>
  </si>
  <si>
    <t>- SPI</t>
  </si>
  <si>
    <t>- UPA Bahasa</t>
  </si>
  <si>
    <t>- UPA LUK</t>
  </si>
  <si>
    <t>- UPA PKK</t>
  </si>
  <si>
    <t>- UPA PP</t>
  </si>
  <si>
    <t>- UPA Perpustakaan</t>
  </si>
  <si>
    <t>- UPA TIK</t>
  </si>
  <si>
    <t>- Jurusan Adiministrasi Niaga</t>
  </si>
  <si>
    <t>- D-IV Pengelolaan Arsip dan Rekaman Informasi</t>
  </si>
  <si>
    <t>- D-IV Sistem Informasi Bisnis</t>
  </si>
  <si>
    <t>- D-IV Usaha Perjalanan Wisata</t>
  </si>
  <si>
    <t>- D-IV Manajemen Pemasaran</t>
  </si>
  <si>
    <t>- D-IV Bahasa Inggris untuk Kombis dan Profesional</t>
  </si>
  <si>
    <t>- D-III Administrasi Bisnis</t>
  </si>
  <si>
    <t>- Jurusan Akuntansi</t>
  </si>
  <si>
    <t>- S-2 Sistem Informasi</t>
  </si>
  <si>
    <t>- D-IV Akuntansi Manajemen</t>
  </si>
  <si>
    <t>- D-IV Keuangan</t>
  </si>
  <si>
    <t>- D-IV Keuangan PSDKU Kediri</t>
  </si>
  <si>
    <t>Status Konfirmasi</t>
  </si>
  <si>
    <t>-</t>
  </si>
  <si>
    <t>15.</t>
  </si>
  <si>
    <t>- D-III Akuntansi</t>
  </si>
  <si>
    <t>- D-III Akuntansi PSDKU Kediri</t>
  </si>
  <si>
    <t>- Jurusan Teknik Sipil</t>
  </si>
  <si>
    <t>- D-IV Manajemen Rekayasa Konstruksi</t>
  </si>
  <si>
    <t xml:space="preserve">- D-IV Teknologi Rekayasa Konstruksi Jalan dan Jembatan </t>
  </si>
  <si>
    <t>- D-III Teknik Sipil</t>
  </si>
  <si>
    <t>- D-III Teknologi Konstruksi Jalan, Jembatan dan Bangunan Air</t>
  </si>
  <si>
    <t>- D-III Teknologi Pertambangan</t>
  </si>
  <si>
    <t>- Jurusan Teknik Mesin</t>
  </si>
  <si>
    <t>- S-2 Rekayasa Teknologi Manufatur</t>
  </si>
  <si>
    <t>- D-IV Teknik Otomotif Elektronik</t>
  </si>
  <si>
    <t>- D-IV Teknik Mesin Produksi dan Perawatan</t>
  </si>
  <si>
    <t>- D-IV Teknik Mesin Produksi dan Perawatan PSDKU Kediri</t>
  </si>
  <si>
    <t>- Jurusan Teknik Kimia</t>
  </si>
  <si>
    <t>- D-IV Teknik Kimia Industri</t>
  </si>
  <si>
    <t>- D-III Teknik Kimia</t>
  </si>
  <si>
    <t>- Jurusan Teknologi Informasi</t>
  </si>
  <si>
    <t>- S-2 Rekayasa Teknologi Informasi</t>
  </si>
  <si>
    <t>- D-IV Teknik Informatika</t>
  </si>
  <si>
    <t>- D-III Manajemen Informatika PSDKU Kediri</t>
  </si>
  <si>
    <t>- Jurusan Teknik Elektro</t>
  </si>
  <si>
    <t>- S-2 Teknik Elektro</t>
  </si>
  <si>
    <t>- D-IV Teknik Elektronika</t>
  </si>
  <si>
    <t>- D-IV Sistem Kelistrikan</t>
  </si>
  <si>
    <t>- D-IV Teknik Elektronika PSDKU Kediri</t>
  </si>
  <si>
    <t>- D-IV Jaringan Telekomunikasi Digital</t>
  </si>
  <si>
    <t>- D-III Teknik Elektronika</t>
  </si>
  <si>
    <t>- D-III Teknik Telekomunikasi</t>
  </si>
  <si>
    <t>- D-III Teknik Listrik</t>
  </si>
  <si>
    <t>- D-IV Bahasa Inggris untuk Industri Pariwisata</t>
  </si>
  <si>
    <t>- D-III Teknologi Pemeliharaan Pesawat Udara</t>
  </si>
  <si>
    <t>- D-III Teknik Mesin</t>
  </si>
  <si>
    <t>- S-2 Optimasi Rekayasa Proses</t>
  </si>
  <si>
    <t>- D-II Perangkat Piranti Lunak Situs</t>
  </si>
  <si>
    <t>- PSDKU Kota Kediri</t>
  </si>
  <si>
    <t>- D-III Teknik Mesin PSDKU Kediri</t>
  </si>
  <si>
    <t>- PSDKU Kota Pamekasan</t>
  </si>
  <si>
    <t>- PSDKU Kota Lumajang</t>
  </si>
  <si>
    <t>LEMBAR MONITORING DAN EVALUASI MANAJAMENEN RISIKO UNIT</t>
  </si>
  <si>
    <t>Isikan Mitigasi Risiko yang dipilih Unit dengan ketentuan:</t>
  </si>
  <si>
    <t>- Jika Membagi Risiko atau Melimpahkan Risiko</t>
  </si>
  <si>
    <r>
      <t xml:space="preserve">==&gt; Isikan </t>
    </r>
    <r>
      <rPr>
        <b/>
        <sz val="11"/>
        <color rgb="FF000000"/>
        <rFont val="Calibri"/>
        <family val="2"/>
        <scheme val="minor"/>
      </rPr>
      <t>Nama Unit Penerima Risiko</t>
    </r>
    <r>
      <rPr>
        <sz val="11"/>
        <color rgb="FF000000"/>
        <rFont val="Calibri"/>
        <family val="2"/>
        <scheme val="minor"/>
      </rPr>
      <t xml:space="preserve"> (bisa 1 unit atau lebih) pada Kolom Unit Penerima Risiko </t>
    </r>
  </si>
  <si>
    <t>- Jika Menerima Risiko</t>
  </si>
  <si>
    <r>
      <t xml:space="preserve">==&gt; Isikan </t>
    </r>
    <r>
      <rPr>
        <b/>
        <sz val="11"/>
        <color rgb="FF000000"/>
        <rFont val="Calibri"/>
        <family val="2"/>
        <scheme val="minor"/>
      </rPr>
      <t>Blank Cell</t>
    </r>
    <r>
      <rPr>
        <sz val="11"/>
        <color rgb="FF000000"/>
        <rFont val="Calibri"/>
        <family val="2"/>
        <scheme val="minor"/>
      </rPr>
      <t xml:space="preserve"> pada Kolom Unit Penerima Risiko </t>
    </r>
  </si>
  <si>
    <t>Isi Kolom Status Konfirmasi yang sesuai jika:</t>
  </si>
  <si>
    <r>
      <t xml:space="preserve">- Menerima Risiko ==&gt; Status Konfirmasi </t>
    </r>
    <r>
      <rPr>
        <b/>
        <sz val="11"/>
        <color rgb="FF000000"/>
        <rFont val="Calibri"/>
        <family val="2"/>
        <scheme val="minor"/>
      </rPr>
      <t>Blank Cell</t>
    </r>
  </si>
  <si>
    <t>- Membagi atau Melimpahkan Risiko ==&gt; Konfirmasi Status (Sudah Konfirmasi / Belum Konfirmasi) Unit Penerima Risiko</t>
  </si>
  <si>
    <t>LEMBAR MONITORING DAN EVALUASI MANAJEMEN RISIKO UNIT</t>
  </si>
  <si>
    <t xml:space="preserve">POLITEKNIK NEGERI MALANG </t>
  </si>
  <si>
    <t>Menerima Risiko</t>
  </si>
  <si>
    <t>Tahun Anggaran KEGIATAN</t>
  </si>
  <si>
    <t>Malang,…..................</t>
  </si>
  <si>
    <t xml:space="preserve">16. </t>
  </si>
  <si>
    <t>Malang, 22/09/</t>
  </si>
  <si>
    <t>Simpan File dengan Tambahan nama masing2 Reviuer kemudian di Upload ke spi@polinema.ac.id</t>
  </si>
  <si>
    <t>WAKTU I</t>
  </si>
  <si>
    <t>WAKTU II</t>
  </si>
  <si>
    <t>1,1,1</t>
  </si>
  <si>
    <t>Extreme</t>
  </si>
  <si>
    <t>1. Apakah kegiatan tersebut sudah selesai di laksanakan ?</t>
  </si>
  <si>
    <t xml:space="preserve">3. Apa langkah-langkah mitigasi yang telah diterapkan untuk mengurangi dampak atau </t>
  </si>
  <si>
    <t xml:space="preserve">   kemungkinan terjadinya risiko ?</t>
  </si>
  <si>
    <t>4. Bagaimana efektivitas langkah mitigasi yang telah dilakukan sejauh ini?</t>
  </si>
  <si>
    <t xml:space="preserve"> 5.  Mampukan langkah tersebut mengendalikan risiko shingga Resiko Residualnya bisa turun</t>
  </si>
  <si>
    <t xml:space="preserve">      atau tetap sama </t>
  </si>
  <si>
    <t>6. Apakah ada perubahan atau penambahan strategi mitigasi yang perlu dilakukan?</t>
  </si>
  <si>
    <t xml:space="preserve">STRATEGI MITIGASI </t>
  </si>
  <si>
    <t>PELAKSANAAN MITIGASI</t>
  </si>
  <si>
    <t>7. Apa langkah-langkah mitigasi yang telah diterapkan untuk mengurangi dampak atau</t>
  </si>
  <si>
    <t xml:space="preserve">     kemungkinan terjadinya risiko?</t>
  </si>
  <si>
    <t>8. Apakah ada perubahan atau penambahan strategi mitigasi yang perlu dilakukan?</t>
  </si>
  <si>
    <t>MONITORING dan PENGENDALIAN</t>
  </si>
  <si>
    <t>9. Bagaimana cara Anda memonitor perkembangan mitigasi risiko secara berkelanjutan?</t>
  </si>
  <si>
    <t>10. Apakah pengendalian yang ada cukup efektif untuk menjaga agar risiko tetap terkendali?</t>
  </si>
  <si>
    <t>EVALUASI KINERJA &amp; KEBERHASILAN MITIGASI</t>
  </si>
  <si>
    <t>11. Apa indikator yang digunakan untuk mengukur keberhasilan mitigasi risiko?</t>
  </si>
  <si>
    <t>12. Apakah ada faktor yang belum teridentifikasi yang mempengaruhi efektivitas mitigasi?</t>
  </si>
  <si>
    <t>TINDAK LANJUT &amp; PERBAIKAN</t>
  </si>
  <si>
    <t xml:space="preserve">13. Apakah ada kebutuhan memperbarui / memperbaiki langkah mitigasi </t>
  </si>
  <si>
    <t xml:space="preserve">   berdasarkan evaluasi yang ada?</t>
  </si>
  <si>
    <t xml:space="preserve">14. Apa tindakan korektif yang perlu dilakukan </t>
  </si>
  <si>
    <t xml:space="preserve">  untuk meningkatkan mitigasi risiko di masa mendatang?</t>
  </si>
  <si>
    <t>11. Apakah semua pihak terkait sudah terlibat dan memahami tindakan mitigasi ini ?</t>
  </si>
  <si>
    <t>2. Apakah bapak/ibu akan Menerima, Membagi atau Melimpahkan Risiko tersebut?</t>
  </si>
  <si>
    <t>Ahmad Fauzi, S.Kom., M.MT</t>
  </si>
  <si>
    <t xml:space="preserve">NIP.197412082005011001 </t>
  </si>
  <si>
    <t>1. Sentralisasi Repositori Bukti: Buat penyimpanan digital terpusat dan berindeks untuk semua bukti pendukung.
2. Finalisasi LKPS &amp; Cross-Check: perept penyelesaian draft Laporan Kinerja Program Studi (LKPS) dan lakukan verifikasi silang (cross-check) bahwa semua klaim di laporan didukung bukti yang tersedia.
3. Koordinasi Khusus Keuangan: Lakukan koordinasi intensif dengan Pihak Keuangan untuk mempercepat pencairan dana kegiatan yang hasilnya akan menjadi bukti kritis akreditasi.</t>
  </si>
  <si>
    <t>1. Inisiasi komuikasi formal intensif berbentuk menjadi MoA Kemitraan.
2. Akselerasi Dana: komunikasi intens kepada keuangan terkait dana kegiatan.</t>
  </si>
  <si>
    <t>1. Wajibkan MoA/Perjanjian Kontrak: Ubah komunikasi intensif menjadi Perjanjian Formal yang mencantumkan luaran Tri Dharma spesifik.
2. Pastikan kegiatan implementasi dibagi dan diukur berdasarkan IKU Pendidikan (Exchange), Penelitian (Joint Research), dan Pengabdian.</t>
  </si>
  <si>
    <t xml:space="preserve">1. Mandatori Database Lomba: Wajibkan pembuatan Database Terpusat jenis lomba, jadwal, dan Daftar Mahasiswa Potensial (Talent Pool) untuk scouting.
2. Formalisasi Pembinaan: Ubah pelatihan reaktif menjadi Program Pembinaan Berjenjang yang terstruktur, dimulai dari proses scouting.
3. Prioritaskan Dana Kritis: Kategorikan dana pelatihan dan pendaftaran lomba sebagai salah satu dana prioritas
4. Komunikasi intens dengan ihak keuangan terkait pencairan dana untuk kegiatan-kegiatan ini guna menjamin kepastian pelaksanaan.	</t>
  </si>
  <si>
    <t xml:space="preserve">1. Revisi Kurikulum: Ubah metode praktik menjadi Project-Based Learning (PBL) atau Co-Creation dengan industri (mengatasi metode yang tidak riil). koordinasi dengan pihak  Wadir 1 dan jajarannya
2. Wajibkan MoA Kemitraan yang mengikat untuk menjamin kuota dan standar tempat praktik riil.
3. Anggaran Kritis Praktik: Kategorikan dana praktik sebagai dana prioritas untuk menghindari pembatalan karena kendala pencairan dana.
4. Lakukan evaluasi praktik secara simultan oleh Dosen Pembimbing dan Supervisor Mitra untuk menjamin kualitas.
		</t>
  </si>
  <si>
    <t xml:space="preserve">1. Koordinasi Khusus Keuangan: Lakukan koordinasi intensif dengan Pihak Keuangan untuk mempercepat pencairan dana kegiatan pelatihan tim dan workshop kurikulum sebagai kebutuhan prioritas yang harus dicairkan melalui mekanisme percepatan.
2. Tetapkan Surat Tugas (ST) bagi Tim Inti Kurikulum untuk melindungi mereka dari gangguan tugas rutin selama masa penyusunan.
3. Menunjuk PIC yang bertanggung jawab tunggal atas pengumpulan dan validasi feedback industri (data mitra) untuk tim kurikulum.
		</t>
  </si>
  <si>
    <t xml:space="preserve">1. Tunjuk Koordinator/PIC dengan SK Resmi dan waktu khusus untuk mengelola sinkronisasi RPS dan kolaborasi proyek.
2. Koordinasi Khusus Keuangan: Lakukan koordinasi intensif dengan Pihak Keuangan untuk mempercepat pencairan dana kegiatan (PBL/CM) </t>
  </si>
  <si>
    <t xml:space="preserve">1.rekomendasi penyusunan ST atau rekognisi kredit yang jelas bagi dosen yang berhasil mengkonversi hasil P&amp;PKM menjadi Bahan Ajar terpublikasi.
2. Tetapkan SOP (Standard Operating Procedure) yang mengatur penyerahan/sinkronisasi hasil P&amp;PKM dari Unit Penelitian/PKM ke Unit Akademik/Kurikulum, lengkap dengan timeline dan checklist kelayakan.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</si>
</sst>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sz val="11"/>
      <color theme="1"/>
      <name val="Cambria"/>
      <family val="1"/>
    </font>
    <font>
      <b/>
      <sz val="14"/>
      <color theme="1"/>
      <name val="Cambria"/>
      <family val="1"/>
    </font>
    <font>
      <b/>
      <sz val="12"/>
      <color theme="1"/>
      <name val="Cambria"/>
      <family val="1"/>
    </font>
    <font>
      <b/>
      <sz val="11"/>
      <color theme="1"/>
      <name val="Cambria"/>
      <family val="1"/>
    </font>
    <font>
      <b/>
      <sz val="11"/>
      <color theme="1"/>
      <name val="Calibri"/>
      <family val="2"/>
      <scheme val="minor"/>
    </font>
    <font>
      <sz val="11"/>
      <color rgb="FF000000"/>
      <name val="Calibri"/>
      <family val="2"/>
    </font>
    <font>
      <b/>
      <sz val="14"/>
      <color rgb="FF000000"/>
      <name val="Calibri"/>
      <family val="2"/>
    </font>
    <font>
      <b/>
      <sz val="11"/>
      <color rgb="FF000000"/>
      <name val="Calibri"/>
      <family val="2"/>
    </font>
    <font>
      <sz val="11"/>
      <color theme="1"/>
      <name val="Calibri"/>
      <family val="2"/>
      <scheme val="minor"/>
    </font>
    <font>
      <u/>
      <sz val="11"/>
      <color theme="1"/>
      <name val="Cambria"/>
      <family val="1"/>
    </font>
    <font>
      <sz val="14"/>
      <color rgb="FF000000"/>
      <name val="Calibri"/>
      <family val="2"/>
    </font>
    <font>
      <sz val="13"/>
      <color rgb="FF000000"/>
      <name val="Calibri"/>
      <family val="2"/>
    </font>
    <font>
      <b/>
      <sz val="11"/>
      <color theme="1"/>
      <name val="Calibri"/>
      <family val="2"/>
    </font>
    <font>
      <b/>
      <sz val="11"/>
      <name val="Calibri"/>
      <family val="2"/>
    </font>
    <font>
      <b/>
      <sz val="10"/>
      <color rgb="FF000000"/>
      <name val="Calibri"/>
      <family val="2"/>
    </font>
    <font>
      <sz val="11"/>
      <color theme="1"/>
      <name val="Calibri"/>
      <family val="2"/>
    </font>
    <font>
      <b/>
      <sz val="11"/>
      <color rgb="FFFF0000"/>
      <name val="Calibri"/>
      <family val="2"/>
    </font>
    <font>
      <sz val="11"/>
      <name val="Calibri"/>
      <family val="2"/>
    </font>
    <font>
      <sz val="10"/>
      <color theme="1"/>
      <name val="Calibri"/>
      <family val="2"/>
      <scheme val="minor"/>
    </font>
    <font>
      <b/>
      <sz val="9"/>
      <color indexed="81"/>
      <name val="Tahoma"/>
      <family val="2"/>
    </font>
    <font>
      <sz val="9"/>
      <color indexed="81"/>
      <name val="Tahoma"/>
      <family val="2"/>
    </font>
    <font>
      <b/>
      <sz val="10"/>
      <name val="Calibri"/>
      <family val="2"/>
      <scheme val="minor"/>
    </font>
    <font>
      <b/>
      <sz val="18"/>
      <color theme="1"/>
      <name val="Calibri"/>
      <family val="2"/>
      <scheme val="minor"/>
    </font>
    <font>
      <sz val="15"/>
      <color theme="1"/>
      <name val="Calibri"/>
      <family val="2"/>
      <scheme val="minor"/>
    </font>
    <font>
      <sz val="18"/>
      <color theme="1"/>
      <name val="Calibri"/>
      <family val="2"/>
      <scheme val="minor"/>
    </font>
    <font>
      <b/>
      <sz val="15"/>
      <color rgb="FFFFFF00"/>
      <name val="Arial Black"/>
      <family val="2"/>
    </font>
    <font>
      <b/>
      <sz val="18"/>
      <color rgb="FFFFFF00"/>
      <name val="Arial Black"/>
      <family val="2"/>
    </font>
    <font>
      <b/>
      <sz val="13"/>
      <color theme="1"/>
      <name val="Calibri"/>
      <family val="2"/>
      <scheme val="minor"/>
    </font>
    <font>
      <sz val="11"/>
      <color rgb="FF000000"/>
      <name val="Calibri"/>
      <family val="2"/>
      <scheme val="minor"/>
    </font>
    <font>
      <b/>
      <sz val="11"/>
      <color rgb="FF000000"/>
      <name val="Calibri"/>
      <family val="2"/>
      <scheme val="minor"/>
    </font>
  </fonts>
  <fills count="15">
    <fill>
      <patternFill patternType="none"/>
    </fill>
    <fill>
      <patternFill patternType="gray125"/>
    </fill>
    <fill>
      <patternFill patternType="solid">
        <fgColor rgb="FFD8E4BC"/>
        <bgColor rgb="FF000000"/>
      </patternFill>
    </fill>
    <fill>
      <patternFill patternType="solid">
        <fgColor rgb="FFC5D9F1"/>
        <bgColor rgb="FF000000"/>
      </patternFill>
    </fill>
    <fill>
      <patternFill patternType="solid">
        <fgColor rgb="FFC00000"/>
        <bgColor rgb="FF000000"/>
      </patternFill>
    </fill>
    <fill>
      <patternFill patternType="solid">
        <fgColor rgb="FFFFC000"/>
        <bgColor rgb="FF000000"/>
      </patternFill>
    </fill>
    <fill>
      <patternFill patternType="solid">
        <fgColor rgb="FFFFFF00"/>
        <bgColor rgb="FF000000"/>
      </patternFill>
    </fill>
    <fill>
      <patternFill patternType="solid">
        <fgColor rgb="FF00B050"/>
        <bgColor rgb="FF000000"/>
      </patternFill>
    </fill>
    <fill>
      <patternFill patternType="solid">
        <fgColor rgb="FF00B0F0"/>
        <bgColor rgb="FF000000"/>
      </patternFill>
    </fill>
    <fill>
      <patternFill patternType="solid">
        <fgColor rgb="FFFFFF00"/>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rgb="FF92D050"/>
        <bgColor indexed="64"/>
      </patternFill>
    </fill>
    <fill>
      <patternFill patternType="solid">
        <fgColor theme="7" tint="0.39997558519241921"/>
        <bgColor indexed="64"/>
      </patternFill>
    </fill>
    <fill>
      <patternFill patternType="solid">
        <fgColor theme="0"/>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double">
        <color rgb="FF000000"/>
      </bottom>
      <diagonal/>
    </border>
    <border>
      <left style="medium">
        <color rgb="FF000000"/>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double">
        <color rgb="FF000000"/>
      </top>
      <bottom/>
      <diagonal/>
    </border>
    <border>
      <left style="medium">
        <color rgb="FF000000"/>
      </left>
      <right/>
      <top style="double">
        <color rgb="FF000000"/>
      </top>
      <bottom/>
      <diagonal/>
    </border>
    <border>
      <left/>
      <right style="medium">
        <color rgb="FF000000"/>
      </right>
      <top style="double">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style="medium">
        <color auto="1"/>
      </left>
      <right style="thin">
        <color auto="1"/>
      </right>
      <top style="double">
        <color auto="1"/>
      </top>
      <bottom style="hair">
        <color auto="1"/>
      </bottom>
      <diagonal/>
    </border>
    <border>
      <left style="thin">
        <color auto="1"/>
      </left>
      <right style="thin">
        <color auto="1"/>
      </right>
      <top style="double">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style="hair">
        <color auto="1"/>
      </top>
      <bottom/>
      <diagonal/>
    </border>
    <border>
      <left style="thin">
        <color auto="1"/>
      </left>
      <right style="thin">
        <color auto="1"/>
      </right>
      <top style="hair">
        <color auto="1"/>
      </top>
      <bottom/>
      <diagonal/>
    </border>
    <border>
      <left style="medium">
        <color auto="1"/>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style="medium">
        <color auto="1"/>
      </top>
      <bottom/>
      <diagonal/>
    </border>
    <border>
      <left style="thin">
        <color auto="1"/>
      </left>
      <right/>
      <top/>
      <bottom style="double">
        <color auto="1"/>
      </bottom>
      <diagonal/>
    </border>
    <border>
      <left style="thin">
        <color auto="1"/>
      </left>
      <right/>
      <top style="double">
        <color auto="1"/>
      </top>
      <bottom style="hair">
        <color auto="1"/>
      </bottom>
      <diagonal/>
    </border>
    <border>
      <left style="thin">
        <color auto="1"/>
      </left>
      <right/>
      <top style="hair">
        <color auto="1"/>
      </top>
      <bottom style="hair">
        <color auto="1"/>
      </bottom>
      <diagonal/>
    </border>
    <border>
      <left style="thin">
        <color auto="1"/>
      </left>
      <right/>
      <top style="hair">
        <color auto="1"/>
      </top>
      <bottom/>
      <diagonal/>
    </border>
    <border>
      <left style="thin">
        <color auto="1"/>
      </left>
      <right/>
      <top style="double">
        <color auto="1"/>
      </top>
      <bottom style="medium">
        <color auto="1"/>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double">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6" fillId="0" borderId="0"/>
    <xf numFmtId="9" fontId="9" fillId="0" borderId="0" applyFont="0" applyFill="0" applyBorder="0" applyAlignment="0" applyProtection="0"/>
  </cellStyleXfs>
  <cellXfs count="267">
    <xf numFmtId="0" fontId="0" fillId="0" borderId="0" xfId="0"/>
    <xf numFmtId="0" fontId="1" fillId="0" borderId="0" xfId="0" applyFont="1"/>
    <xf numFmtId="0" fontId="1" fillId="0" borderId="0" xfId="0" applyFont="1" applyAlignment="1">
      <alignment horizontal="center"/>
    </xf>
    <xf numFmtId="0" fontId="0" fillId="0" borderId="0" xfId="0" applyAlignment="1">
      <alignment vertical="center"/>
    </xf>
    <xf numFmtId="0" fontId="2" fillId="0" borderId="0" xfId="0" applyFont="1" applyAlignment="1">
      <alignment horizontal="center"/>
    </xf>
    <xf numFmtId="0" fontId="1" fillId="0" borderId="0" xfId="0" applyFont="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4" fillId="0" borderId="9" xfId="0" applyFont="1" applyBorder="1" applyAlignment="1">
      <alignment vertical="center" wrapText="1"/>
    </xf>
    <xf numFmtId="0" fontId="1" fillId="0" borderId="0" xfId="0" applyFont="1" applyAlignment="1">
      <alignment horizontal="left" vertical="center"/>
    </xf>
    <xf numFmtId="0" fontId="4" fillId="0" borderId="8" xfId="0" applyFont="1" applyBorder="1" applyAlignment="1">
      <alignment vertical="center"/>
    </xf>
    <xf numFmtId="0" fontId="5"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6" fillId="0" borderId="0" xfId="1"/>
    <xf numFmtId="0" fontId="8" fillId="3" borderId="10" xfId="1" applyFont="1" applyFill="1" applyBorder="1" applyAlignment="1">
      <alignment horizontal="center" wrapText="1"/>
    </xf>
    <xf numFmtId="0" fontId="6" fillId="0" borderId="10" xfId="1" applyBorder="1" applyAlignment="1">
      <alignment vertical="top" wrapText="1"/>
    </xf>
    <xf numFmtId="0" fontId="8" fillId="4" borderId="10" xfId="1" applyFont="1" applyFill="1" applyBorder="1" applyAlignment="1">
      <alignment vertical="top" wrapText="1"/>
    </xf>
    <xf numFmtId="0" fontId="8" fillId="5" borderId="10" xfId="1" applyFont="1" applyFill="1" applyBorder="1" applyAlignment="1">
      <alignment vertical="top" wrapText="1"/>
    </xf>
    <xf numFmtId="0" fontId="8" fillId="6" borderId="10" xfId="1" applyFont="1" applyFill="1" applyBorder="1" applyAlignment="1">
      <alignment vertical="top" wrapText="1"/>
    </xf>
    <xf numFmtId="0" fontId="8" fillId="7" borderId="10" xfId="1" applyFont="1" applyFill="1" applyBorder="1" applyAlignment="1">
      <alignment vertical="top" wrapText="1"/>
    </xf>
    <xf numFmtId="0" fontId="8" fillId="8" borderId="10" xfId="1" applyFont="1" applyFill="1" applyBorder="1" applyAlignment="1">
      <alignment vertical="top" wrapText="1"/>
    </xf>
    <xf numFmtId="0" fontId="6" fillId="0" borderId="0" xfId="1" applyAlignment="1">
      <alignment horizontal="center" vertical="center"/>
    </xf>
    <xf numFmtId="0" fontId="0" fillId="0" borderId="0" xfId="0" applyAlignment="1">
      <alignment horizontal="left" vertical="center"/>
    </xf>
    <xf numFmtId="0" fontId="1" fillId="0" borderId="0" xfId="0" applyFont="1" applyAlignment="1">
      <alignment horizontal="left"/>
    </xf>
    <xf numFmtId="0" fontId="10" fillId="0" borderId="0" xfId="0" applyFont="1" applyAlignment="1">
      <alignment horizontal="left"/>
    </xf>
    <xf numFmtId="0" fontId="11" fillId="0" borderId="0" xfId="1" applyFont="1" applyAlignment="1">
      <alignment horizontal="center" vertical="center"/>
    </xf>
    <xf numFmtId="0" fontId="12" fillId="0" borderId="0" xfId="1" applyFont="1" applyAlignment="1">
      <alignment horizontal="center" vertical="center"/>
    </xf>
    <xf numFmtId="0" fontId="12" fillId="10" borderId="0" xfId="1" applyFont="1" applyFill="1" applyAlignment="1">
      <alignment horizontal="center" vertical="center"/>
    </xf>
    <xf numFmtId="0" fontId="6" fillId="11" borderId="0" xfId="1" applyFill="1"/>
    <xf numFmtId="10" fontId="0" fillId="0" borderId="0" xfId="2" applyNumberFormat="1" applyFont="1" applyAlignment="1">
      <alignment horizontal="center" vertical="center"/>
    </xf>
    <xf numFmtId="0" fontId="9" fillId="0" borderId="0" xfId="0" applyFont="1"/>
    <xf numFmtId="0" fontId="13"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8" fillId="0" borderId="1" xfId="0" applyFont="1" applyBorder="1" applyAlignment="1">
      <alignment horizontal="center" vertical="center" wrapText="1"/>
    </xf>
    <xf numFmtId="10" fontId="15" fillId="0" borderId="0" xfId="2"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xf>
    <xf numFmtId="10" fontId="16" fillId="0" borderId="0" xfId="2" applyNumberFormat="1" applyFont="1" applyBorder="1" applyAlignment="1">
      <alignment horizontal="center" vertical="center"/>
    </xf>
    <xf numFmtId="0" fontId="16" fillId="12" borderId="1" xfId="0" applyFont="1" applyFill="1" applyBorder="1" applyAlignment="1">
      <alignment horizontal="center"/>
    </xf>
    <xf numFmtId="0" fontId="16" fillId="12" borderId="1" xfId="0" applyFont="1" applyFill="1" applyBorder="1"/>
    <xf numFmtId="0" fontId="13" fillId="12" borderId="1" xfId="0" applyFont="1" applyFill="1" applyBorder="1" applyAlignment="1">
      <alignment horizontal="center"/>
    </xf>
    <xf numFmtId="1" fontId="13" fillId="12" borderId="1" xfId="0" applyNumberFormat="1" applyFont="1" applyFill="1" applyBorder="1" applyAlignment="1">
      <alignment horizontal="center"/>
    </xf>
    <xf numFmtId="10" fontId="9" fillId="0" borderId="0" xfId="2" applyNumberFormat="1" applyFont="1" applyAlignment="1">
      <alignment horizontal="center" vertical="center"/>
    </xf>
    <xf numFmtId="0" fontId="16" fillId="0" borderId="1" xfId="0" applyFont="1" applyBorder="1" applyAlignment="1">
      <alignment horizontal="center"/>
    </xf>
    <xf numFmtId="1" fontId="16" fillId="0" borderId="1" xfId="0" applyNumberFormat="1" applyFont="1" applyBorder="1" applyAlignment="1">
      <alignment horizontal="center"/>
    </xf>
    <xf numFmtId="10" fontId="0" fillId="0" borderId="0" xfId="0" applyNumberFormat="1"/>
    <xf numFmtId="10" fontId="0" fillId="13" borderId="0" xfId="0" applyNumberFormat="1" applyFill="1"/>
    <xf numFmtId="0" fontId="0" fillId="0" borderId="1" xfId="0" applyBorder="1"/>
    <xf numFmtId="1" fontId="16" fillId="0" borderId="1" xfId="0" applyNumberFormat="1" applyFont="1" applyBorder="1"/>
    <xf numFmtId="0" fontId="16" fillId="12" borderId="1" xfId="0" applyFont="1" applyFill="1" applyBorder="1" applyAlignment="1">
      <alignment horizontal="left"/>
    </xf>
    <xf numFmtId="0" fontId="16" fillId="12" borderId="1" xfId="0" applyFont="1" applyFill="1" applyBorder="1" applyAlignment="1">
      <alignment horizontal="left" vertical="top"/>
    </xf>
    <xf numFmtId="1" fontId="13" fillId="12" borderId="1" xfId="0" applyNumberFormat="1" applyFont="1" applyFill="1" applyBorder="1" applyAlignment="1">
      <alignment horizontal="center" vertical="center"/>
    </xf>
    <xf numFmtId="0" fontId="16" fillId="0" borderId="1" xfId="0" applyFont="1" applyBorder="1" applyAlignment="1">
      <alignment horizontal="center" vertical="top"/>
    </xf>
    <xf numFmtId="0" fontId="13" fillId="0" borderId="1" xfId="0" applyFont="1" applyBorder="1" applyAlignment="1">
      <alignment horizontal="center"/>
    </xf>
    <xf numFmtId="1" fontId="13" fillId="0" borderId="1" xfId="0" applyNumberFormat="1" applyFont="1" applyBorder="1" applyAlignment="1">
      <alignment horizontal="center"/>
    </xf>
    <xf numFmtId="10" fontId="0" fillId="0" borderId="0" xfId="2" applyNumberFormat="1" applyFont="1" applyBorder="1" applyAlignment="1">
      <alignment horizontal="center" vertical="center"/>
    </xf>
    <xf numFmtId="10" fontId="0" fillId="0" borderId="0" xfId="2" applyNumberFormat="1" applyFont="1" applyAlignment="1">
      <alignment wrapText="1"/>
    </xf>
    <xf numFmtId="10" fontId="0" fillId="0" borderId="0" xfId="2" applyNumberFormat="1" applyFont="1"/>
    <xf numFmtId="10" fontId="19" fillId="0" borderId="0" xfId="2" applyNumberFormat="1" applyFont="1" applyAlignment="1">
      <alignment wrapText="1"/>
    </xf>
    <xf numFmtId="0" fontId="17" fillId="0" borderId="1" xfId="0" applyFont="1" applyBorder="1" applyAlignment="1">
      <alignment horizontal="center" vertical="center" wrapText="1"/>
    </xf>
    <xf numFmtId="164" fontId="16" fillId="0" borderId="1" xfId="0" applyNumberFormat="1" applyFont="1" applyBorder="1" applyAlignment="1">
      <alignment horizontal="center"/>
    </xf>
    <xf numFmtId="1" fontId="5" fillId="12" borderId="0" xfId="0" applyNumberFormat="1" applyFont="1" applyFill="1" applyAlignment="1">
      <alignment horizontal="center"/>
    </xf>
    <xf numFmtId="0" fontId="16" fillId="0" borderId="1" xfId="0" applyFont="1" applyBorder="1" applyAlignment="1">
      <alignment horizontal="left" vertical="top"/>
    </xf>
    <xf numFmtId="0" fontId="0" fillId="0" borderId="0" xfId="0" applyAlignment="1">
      <alignment wrapText="1"/>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8" fillId="0" borderId="11" xfId="0" applyFont="1" applyBorder="1" applyAlignment="1">
      <alignment horizontal="center" vertical="center" wrapText="1"/>
    </xf>
    <xf numFmtId="0" fontId="19" fillId="0" borderId="0" xfId="0" applyFont="1" applyAlignment="1">
      <alignment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15" fillId="0" borderId="14" xfId="0" applyFont="1" applyBorder="1" applyAlignment="1">
      <alignment horizontal="center" vertical="center" wrapText="1"/>
    </xf>
    <xf numFmtId="0" fontId="17" fillId="0" borderId="14" xfId="0" applyFont="1" applyBorder="1" applyAlignment="1">
      <alignment horizontal="center" vertical="center" wrapText="1"/>
    </xf>
    <xf numFmtId="0" fontId="16" fillId="0" borderId="17" xfId="0" applyFont="1" applyBorder="1"/>
    <xf numFmtId="0" fontId="17" fillId="0" borderId="17" xfId="0" applyFont="1" applyBorder="1" applyAlignment="1">
      <alignment horizontal="center" vertical="center"/>
    </xf>
    <xf numFmtId="0" fontId="16" fillId="12" borderId="14" xfId="0" applyFont="1" applyFill="1" applyBorder="1" applyAlignment="1">
      <alignment horizontal="center"/>
    </xf>
    <xf numFmtId="0" fontId="16" fillId="12" borderId="14" xfId="0" applyFont="1" applyFill="1" applyBorder="1"/>
    <xf numFmtId="0" fontId="13" fillId="12" borderId="14" xfId="0" applyFont="1" applyFill="1" applyBorder="1" applyAlignment="1">
      <alignment horizontal="center" vertical="center"/>
    </xf>
    <xf numFmtId="1" fontId="13" fillId="12" borderId="14" xfId="0" applyNumberFormat="1" applyFont="1" applyFill="1" applyBorder="1" applyAlignment="1">
      <alignment horizontal="center"/>
    </xf>
    <xf numFmtId="0" fontId="16" fillId="0" borderId="14" xfId="0" applyFont="1" applyBorder="1" applyAlignment="1">
      <alignment horizontal="center"/>
    </xf>
    <xf numFmtId="0" fontId="16" fillId="0" borderId="15" xfId="0" applyFont="1" applyBorder="1" applyAlignment="1">
      <alignment horizontal="center"/>
    </xf>
    <xf numFmtId="0" fontId="16" fillId="0" borderId="16" xfId="0" applyFont="1" applyBorder="1" applyAlignment="1">
      <alignment wrapText="1"/>
    </xf>
    <xf numFmtId="0" fontId="16" fillId="0" borderId="14" xfId="0" applyFont="1" applyBorder="1" applyAlignment="1">
      <alignment horizontal="center" vertical="center"/>
    </xf>
    <xf numFmtId="1" fontId="16" fillId="0" borderId="14" xfId="0" applyNumberFormat="1" applyFont="1" applyBorder="1" applyAlignment="1">
      <alignment horizontal="center"/>
    </xf>
    <xf numFmtId="0" fontId="16" fillId="0" borderId="14" xfId="0" applyFont="1" applyBorder="1"/>
    <xf numFmtId="0" fontId="16" fillId="12" borderId="15" xfId="0" applyFont="1" applyFill="1" applyBorder="1" applyAlignment="1">
      <alignment horizontal="left"/>
    </xf>
    <xf numFmtId="0" fontId="16" fillId="12" borderId="16" xfId="0" applyFont="1" applyFill="1" applyBorder="1" applyAlignment="1">
      <alignment wrapText="1"/>
    </xf>
    <xf numFmtId="164" fontId="13" fillId="12" borderId="14" xfId="0" applyNumberFormat="1" applyFont="1" applyFill="1" applyBorder="1" applyAlignment="1">
      <alignment horizontal="center"/>
    </xf>
    <xf numFmtId="164" fontId="16" fillId="0" borderId="14" xfId="0" applyNumberFormat="1" applyFont="1" applyBorder="1" applyAlignment="1">
      <alignment horizontal="center"/>
    </xf>
    <xf numFmtId="0" fontId="16" fillId="12" borderId="15" xfId="0" applyFont="1" applyFill="1" applyBorder="1" applyAlignment="1">
      <alignment horizontal="left" vertical="top"/>
    </xf>
    <xf numFmtId="0" fontId="16" fillId="9" borderId="14" xfId="0" applyFont="1" applyFill="1" applyBorder="1" applyAlignment="1">
      <alignment horizontal="center" vertical="center"/>
    </xf>
    <xf numFmtId="0" fontId="16" fillId="0" borderId="15" xfId="0" applyFont="1" applyBorder="1" applyAlignment="1">
      <alignment horizontal="left" vertical="top"/>
    </xf>
    <xf numFmtId="0" fontId="16" fillId="0" borderId="20" xfId="0" applyFont="1" applyBorder="1"/>
    <xf numFmtId="0" fontId="13" fillId="0" borderId="20" xfId="0" applyFont="1" applyBorder="1" applyAlignment="1">
      <alignment horizontal="center"/>
    </xf>
    <xf numFmtId="0" fontId="13" fillId="0" borderId="12" xfId="0" applyFont="1" applyBorder="1" applyAlignment="1">
      <alignment horizontal="center" vertical="center" wrapText="1"/>
    </xf>
    <xf numFmtId="0" fontId="22" fillId="0" borderId="1" xfId="0" applyFont="1" applyBorder="1" applyAlignment="1">
      <alignment horizontal="center" vertical="center" wrapText="1"/>
    </xf>
    <xf numFmtId="0" fontId="16" fillId="0" borderId="18" xfId="0" applyFont="1" applyBorder="1"/>
    <xf numFmtId="0" fontId="16" fillId="12" borderId="15" xfId="0" applyFont="1" applyFill="1" applyBorder="1" applyAlignment="1">
      <alignment horizontal="center"/>
    </xf>
    <xf numFmtId="0" fontId="13" fillId="12" borderId="1" xfId="0" applyFont="1" applyFill="1" applyBorder="1" applyAlignment="1">
      <alignment horizontal="center" vertical="center"/>
    </xf>
    <xf numFmtId="2" fontId="13" fillId="12" borderId="1" xfId="0" applyNumberFormat="1" applyFont="1" applyFill="1" applyBorder="1" applyAlignment="1">
      <alignment horizontal="center" vertical="center"/>
    </xf>
    <xf numFmtId="1" fontId="18" fillId="0" borderId="1" xfId="0" applyNumberFormat="1" applyFont="1" applyBorder="1" applyAlignment="1">
      <alignment horizontal="center" vertical="center"/>
    </xf>
    <xf numFmtId="10" fontId="0" fillId="13" borderId="0" xfId="2" applyNumberFormat="1" applyFont="1" applyFill="1"/>
    <xf numFmtId="1" fontId="16" fillId="12" borderId="1" xfId="0" applyNumberFormat="1" applyFont="1" applyFill="1" applyBorder="1"/>
    <xf numFmtId="0" fontId="16" fillId="9" borderId="1" xfId="0" applyFont="1" applyFill="1" applyBorder="1" applyAlignment="1">
      <alignment horizontal="center" vertical="center"/>
    </xf>
    <xf numFmtId="0" fontId="16" fillId="0" borderId="21" xfId="0" applyFont="1" applyBorder="1"/>
    <xf numFmtId="0" fontId="0" fillId="0" borderId="28" xfId="0" applyBorder="1" applyAlignment="1">
      <alignment horizontal="center" vertical="center"/>
    </xf>
    <xf numFmtId="0" fontId="0" fillId="0" borderId="29" xfId="0" applyBorder="1" applyAlignment="1">
      <alignment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vertical="center"/>
    </xf>
    <xf numFmtId="0" fontId="0" fillId="0" borderId="33" xfId="0" applyBorder="1" applyAlignment="1">
      <alignment horizontal="center" vertical="center"/>
    </xf>
    <xf numFmtId="0" fontId="0" fillId="0" borderId="34" xfId="0" applyBorder="1" applyAlignment="1">
      <alignment vertical="center"/>
    </xf>
    <xf numFmtId="0" fontId="0" fillId="0" borderId="35" xfId="0" applyBorder="1" applyAlignment="1">
      <alignment vertical="center"/>
    </xf>
    <xf numFmtId="0" fontId="0" fillId="0" borderId="35" xfId="0" applyBorder="1" applyAlignment="1">
      <alignment horizontal="center" vertical="center"/>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1" xfId="0" applyBorder="1" applyAlignment="1">
      <alignment horizontal="center" vertical="center"/>
    </xf>
    <xf numFmtId="0" fontId="0" fillId="0" borderId="40" xfId="0" applyBorder="1" applyAlignment="1">
      <alignment horizontal="center" vertical="center" wrapText="1"/>
    </xf>
    <xf numFmtId="0" fontId="23" fillId="9" borderId="0" xfId="0" applyFont="1" applyFill="1" applyAlignment="1">
      <alignment horizontal="center" vertical="center"/>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wrapText="1"/>
    </xf>
    <xf numFmtId="0" fontId="0" fillId="0" borderId="41" xfId="0" applyBorder="1" applyAlignment="1">
      <alignment vertical="center"/>
    </xf>
    <xf numFmtId="0" fontId="1" fillId="0" borderId="42" xfId="0" applyFont="1" applyBorder="1" applyAlignment="1">
      <alignment vertical="center"/>
    </xf>
    <xf numFmtId="0" fontId="0" fillId="0" borderId="43" xfId="0" applyBorder="1" applyAlignment="1">
      <alignment vertical="center"/>
    </xf>
    <xf numFmtId="0" fontId="0" fillId="0" borderId="44" xfId="0" applyBorder="1" applyAlignment="1">
      <alignment vertical="center"/>
    </xf>
    <xf numFmtId="0" fontId="0" fillId="0" borderId="45" xfId="0" applyBorder="1" applyAlignment="1">
      <alignment vertical="center"/>
    </xf>
    <xf numFmtId="0" fontId="0" fillId="0" borderId="46" xfId="0" applyBorder="1" applyAlignment="1">
      <alignment vertical="center"/>
    </xf>
    <xf numFmtId="0" fontId="0" fillId="0" borderId="47" xfId="0" applyBorder="1" applyAlignment="1">
      <alignment vertical="center"/>
    </xf>
    <xf numFmtId="0" fontId="1" fillId="0" borderId="54" xfId="0" applyFont="1" applyBorder="1"/>
    <xf numFmtId="0" fontId="1" fillId="0" borderId="44" xfId="0" applyFont="1" applyBorder="1" applyAlignment="1">
      <alignment vertical="center" wrapText="1"/>
    </xf>
    <xf numFmtId="0" fontId="4" fillId="0" borderId="57" xfId="0" applyFont="1" applyBorder="1" applyAlignment="1">
      <alignment horizontal="left" vertical="center" wrapText="1"/>
    </xf>
    <xf numFmtId="0" fontId="1" fillId="0" borderId="58" xfId="0" applyFont="1" applyBorder="1" applyAlignment="1">
      <alignment vertical="center"/>
    </xf>
    <xf numFmtId="0" fontId="4" fillId="0" borderId="36" xfId="0" applyFont="1" applyBorder="1" applyAlignment="1">
      <alignment horizontal="left" vertical="center" wrapText="1"/>
    </xf>
    <xf numFmtId="0" fontId="4" fillId="0" borderId="48" xfId="0" applyFont="1" applyBorder="1" applyAlignment="1">
      <alignment vertical="center"/>
    </xf>
    <xf numFmtId="0" fontId="4" fillId="0" borderId="49" xfId="0" applyFont="1" applyBorder="1" applyAlignment="1">
      <alignment horizontal="left" vertical="center"/>
    </xf>
    <xf numFmtId="0" fontId="1" fillId="0" borderId="54" xfId="0" applyFont="1" applyBorder="1" applyAlignment="1">
      <alignment horizontal="left" vertical="center"/>
    </xf>
    <xf numFmtId="0" fontId="4" fillId="0" borderId="49" xfId="0" applyFont="1" applyBorder="1" applyAlignment="1">
      <alignment vertical="center" wrapText="1"/>
    </xf>
    <xf numFmtId="0" fontId="4" fillId="0" borderId="62" xfId="0" applyFont="1" applyBorder="1" applyAlignment="1">
      <alignment vertical="center"/>
    </xf>
    <xf numFmtId="0" fontId="1" fillId="0" borderId="49" xfId="0" applyFont="1" applyBorder="1"/>
    <xf numFmtId="0" fontId="4" fillId="0" borderId="5" xfId="0" applyFont="1" applyBorder="1" applyAlignment="1">
      <alignment horizontal="center" vertical="center"/>
    </xf>
    <xf numFmtId="0" fontId="24" fillId="0" borderId="0" xfId="0" applyFont="1" applyAlignment="1">
      <alignment horizontal="center" vertical="center"/>
    </xf>
    <xf numFmtId="0" fontId="27" fillId="9" borderId="0" xfId="0" applyFont="1" applyFill="1" applyAlignment="1">
      <alignment horizontal="center" vertical="center"/>
    </xf>
    <xf numFmtId="0" fontId="26" fillId="0" borderId="0" xfId="0" applyFont="1" applyAlignment="1">
      <alignment horizontal="center" vertical="center"/>
    </xf>
    <xf numFmtId="0" fontId="0" fillId="0" borderId="0" xfId="0" quotePrefix="1" applyAlignment="1">
      <alignment vertical="center" wrapText="1"/>
    </xf>
    <xf numFmtId="0" fontId="26" fillId="9" borderId="25" xfId="0" applyFont="1" applyFill="1" applyBorder="1" applyAlignment="1">
      <alignment horizontal="center" vertic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27" fillId="9" borderId="28" xfId="0" applyFont="1" applyFill="1" applyBorder="1" applyAlignment="1">
      <alignment horizontal="center" vertical="center"/>
    </xf>
    <xf numFmtId="0" fontId="25" fillId="0" borderId="29" xfId="0" applyFont="1" applyBorder="1" applyAlignment="1">
      <alignment horizontal="center" vertical="center"/>
    </xf>
    <xf numFmtId="0" fontId="23" fillId="9" borderId="29" xfId="0" applyFont="1" applyFill="1" applyBorder="1" applyAlignment="1">
      <alignment horizontal="center" vertical="center"/>
    </xf>
    <xf numFmtId="0" fontId="23" fillId="9" borderId="68" xfId="0" applyFont="1" applyFill="1" applyBorder="1" applyAlignment="1">
      <alignment horizontal="center" vertical="center"/>
    </xf>
    <xf numFmtId="0" fontId="0" fillId="0" borderId="69" xfId="0" applyBorder="1" applyAlignment="1">
      <alignment vertical="center"/>
    </xf>
    <xf numFmtId="0" fontId="0" fillId="0" borderId="70" xfId="0" applyBorder="1" applyAlignment="1">
      <alignment horizontal="center" vertical="center"/>
    </xf>
    <xf numFmtId="0" fontId="0" fillId="0" borderId="71" xfId="0" applyBorder="1" applyAlignment="1">
      <alignment horizontal="center" vertical="center"/>
    </xf>
    <xf numFmtId="0" fontId="0" fillId="0" borderId="0" xfId="0" quotePrefix="1" applyAlignment="1">
      <alignment vertical="center"/>
    </xf>
    <xf numFmtId="0" fontId="1" fillId="0" borderId="44" xfId="0" quotePrefix="1" applyFont="1" applyBorder="1" applyAlignment="1">
      <alignment horizontal="center" vertical="center" wrapText="1"/>
    </xf>
    <xf numFmtId="0" fontId="4" fillId="0" borderId="1" xfId="0" applyFont="1" applyBorder="1" applyAlignment="1">
      <alignment horizontal="center" vertical="center" wrapText="1"/>
    </xf>
    <xf numFmtId="0" fontId="1" fillId="0" borderId="46" xfId="0" quotePrefix="1" applyFont="1" applyBorder="1" applyAlignment="1">
      <alignment horizontal="center" vertical="center" wrapText="1"/>
    </xf>
    <xf numFmtId="0" fontId="0" fillId="0" borderId="72" xfId="0" applyBorder="1" applyAlignment="1">
      <alignment vertical="center" wrapText="1"/>
    </xf>
    <xf numFmtId="0" fontId="29" fillId="0" borderId="72" xfId="0" applyFont="1" applyBorder="1" applyAlignment="1">
      <alignment vertical="center" wrapText="1"/>
    </xf>
    <xf numFmtId="0" fontId="0" fillId="9" borderId="45" xfId="0" applyFill="1" applyBorder="1" applyAlignment="1">
      <alignment vertical="center"/>
    </xf>
    <xf numFmtId="0" fontId="5" fillId="0" borderId="0" xfId="0" applyFont="1"/>
    <xf numFmtId="0" fontId="4" fillId="0" borderId="63"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64" xfId="0" applyFont="1" applyBorder="1" applyAlignment="1">
      <alignment horizontal="center" vertical="center"/>
    </xf>
    <xf numFmtId="0" fontId="1" fillId="0" borderId="0" xfId="0" applyFont="1" applyAlignment="1">
      <alignment horizontal="left" vertical="center" wrapText="1"/>
    </xf>
    <xf numFmtId="0" fontId="1" fillId="0" borderId="54" xfId="0" applyFont="1" applyBorder="1" applyAlignment="1">
      <alignment horizontal="left" vertical="center" wrapText="1"/>
    </xf>
    <xf numFmtId="0" fontId="3" fillId="0" borderId="0" xfId="0" applyFont="1" applyAlignment="1">
      <alignment horizontal="center"/>
    </xf>
    <xf numFmtId="0" fontId="1" fillId="0" borderId="8" xfId="0" applyFont="1" applyBorder="1" applyAlignment="1">
      <alignment horizontal="left" vertical="center"/>
    </xf>
    <xf numFmtId="0" fontId="1" fillId="0" borderId="53" xfId="0" applyFont="1" applyBorder="1" applyAlignment="1">
      <alignment horizontal="left" vertical="center"/>
    </xf>
    <xf numFmtId="0" fontId="1" fillId="0" borderId="9" xfId="0" applyFont="1" applyBorder="1" applyAlignment="1">
      <alignment horizontal="left" vertical="center"/>
    </xf>
    <xf numFmtId="0" fontId="1" fillId="0" borderId="55" xfId="0" applyFont="1" applyBorder="1" applyAlignment="1">
      <alignment horizontal="left" vertical="center"/>
    </xf>
    <xf numFmtId="0" fontId="1" fillId="0" borderId="59" xfId="0" applyFont="1" applyBorder="1" applyAlignment="1">
      <alignment horizontal="left" vertical="center"/>
    </xf>
    <xf numFmtId="0" fontId="1" fillId="0" borderId="61" xfId="0" applyFont="1" applyBorder="1" applyAlignment="1">
      <alignment horizontal="left" vertical="center"/>
    </xf>
    <xf numFmtId="0" fontId="1" fillId="0" borderId="60" xfId="0" applyFont="1" applyBorder="1" applyAlignment="1">
      <alignment horizontal="left" vertical="center"/>
    </xf>
    <xf numFmtId="0" fontId="1" fillId="0" borderId="48" xfId="0" applyFont="1" applyBorder="1" applyAlignment="1">
      <alignment horizontal="left" vertical="top" wrapText="1"/>
    </xf>
    <xf numFmtId="0" fontId="1" fillId="0" borderId="8" xfId="0" applyFont="1" applyBorder="1" applyAlignment="1">
      <alignment horizontal="left" vertical="top" wrapText="1"/>
    </xf>
    <xf numFmtId="0" fontId="1" fillId="0" borderId="4" xfId="0" applyFont="1" applyBorder="1" applyAlignment="1">
      <alignment horizontal="left" vertical="top" wrapText="1"/>
    </xf>
    <xf numFmtId="0" fontId="1" fillId="0" borderId="49"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50" xfId="0" applyFont="1" applyBorder="1" applyAlignment="1">
      <alignment horizontal="left" vertical="top" wrapText="1"/>
    </xf>
    <xf numFmtId="0" fontId="1" fillId="0" borderId="51" xfId="0" applyFont="1" applyBorder="1" applyAlignment="1">
      <alignment horizontal="left" vertical="top" wrapText="1"/>
    </xf>
    <xf numFmtId="0" fontId="1" fillId="0" borderId="52" xfId="0" applyFont="1" applyBorder="1" applyAlignment="1">
      <alignment horizontal="left" vertical="top" wrapText="1"/>
    </xf>
    <xf numFmtId="0" fontId="1" fillId="0" borderId="5"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8" xfId="0" quotePrefix="1" applyFont="1" applyBorder="1" applyAlignment="1">
      <alignment horizontal="left" vertical="top" wrapText="1"/>
    </xf>
    <xf numFmtId="0" fontId="1" fillId="0" borderId="53" xfId="0" quotePrefix="1" applyFont="1" applyBorder="1" applyAlignment="1">
      <alignment horizontal="left" vertical="top" wrapText="1"/>
    </xf>
    <xf numFmtId="0" fontId="1" fillId="0" borderId="0" xfId="0" quotePrefix="1" applyFont="1" applyAlignment="1">
      <alignment horizontal="left" vertical="top" wrapText="1"/>
    </xf>
    <xf numFmtId="0" fontId="1" fillId="0" borderId="54" xfId="0" quotePrefix="1" applyFont="1" applyBorder="1" applyAlignment="1">
      <alignment horizontal="left" vertical="top" wrapText="1"/>
    </xf>
    <xf numFmtId="0" fontId="1" fillId="0" borderId="51" xfId="0" quotePrefix="1" applyFont="1" applyBorder="1" applyAlignment="1">
      <alignment horizontal="left" vertical="top" wrapText="1"/>
    </xf>
    <xf numFmtId="0" fontId="1" fillId="0" borderId="56" xfId="0" quotePrefix="1" applyFont="1" applyBorder="1" applyAlignment="1">
      <alignment horizontal="left" vertical="top" wrapText="1"/>
    </xf>
    <xf numFmtId="0" fontId="1" fillId="0" borderId="8" xfId="0" quotePrefix="1" applyFont="1" applyBorder="1" applyAlignment="1">
      <alignment horizontal="center" vertical="top" wrapText="1"/>
    </xf>
    <xf numFmtId="0" fontId="1" fillId="0" borderId="53" xfId="0" quotePrefix="1" applyFont="1" applyBorder="1" applyAlignment="1">
      <alignment horizontal="center" vertical="top" wrapText="1"/>
    </xf>
    <xf numFmtId="0" fontId="1" fillId="0" borderId="0" xfId="0" quotePrefix="1" applyFont="1" applyAlignment="1">
      <alignment horizontal="center" vertical="top" wrapText="1"/>
    </xf>
    <xf numFmtId="0" fontId="1" fillId="0" borderId="54" xfId="0" quotePrefix="1" applyFont="1" applyBorder="1" applyAlignment="1">
      <alignment horizontal="center" vertical="top" wrapText="1"/>
    </xf>
    <xf numFmtId="0" fontId="1" fillId="0" borderId="51" xfId="0" quotePrefix="1" applyFont="1" applyBorder="1" applyAlignment="1">
      <alignment horizontal="center" vertical="top" wrapText="1"/>
    </xf>
    <xf numFmtId="0" fontId="1" fillId="0" borderId="56" xfId="0" quotePrefix="1" applyFont="1" applyBorder="1" applyAlignment="1">
      <alignment horizontal="center" vertical="top" wrapText="1"/>
    </xf>
    <xf numFmtId="0" fontId="24" fillId="0" borderId="0" xfId="0" applyFont="1" applyAlignment="1">
      <alignment horizontal="center" vertical="center"/>
    </xf>
    <xf numFmtId="0" fontId="24" fillId="0" borderId="65" xfId="0" applyFont="1" applyBorder="1" applyAlignment="1">
      <alignment horizontal="center"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7" fillId="2" borderId="0" xfId="1" applyFont="1" applyFill="1" applyAlignment="1">
      <alignment horizontal="center"/>
    </xf>
    <xf numFmtId="0" fontId="6" fillId="0" borderId="0" xfId="1"/>
    <xf numFmtId="0" fontId="28" fillId="0" borderId="0" xfId="0" applyFont="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0" fillId="0" borderId="23" xfId="0"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vertical="center" wrapText="1"/>
    </xf>
    <xf numFmtId="0" fontId="0" fillId="0" borderId="26" xfId="0" applyBorder="1" applyAlignment="1">
      <alignment horizontal="center" vertical="center" wrapText="1"/>
    </xf>
    <xf numFmtId="0" fontId="0" fillId="0" borderId="36" xfId="0" applyBorder="1" applyAlignment="1">
      <alignment horizontal="center" vertical="center"/>
    </xf>
    <xf numFmtId="0" fontId="0" fillId="0" borderId="37" xfId="0" applyBorder="1" applyAlignment="1">
      <alignment horizontal="center" vertical="center"/>
    </xf>
    <xf numFmtId="0" fontId="16" fillId="0" borderId="3" xfId="0" applyFont="1" applyBorder="1" applyAlignment="1">
      <alignment horizontal="center"/>
    </xf>
    <xf numFmtId="0" fontId="16" fillId="0" borderId="7" xfId="0" applyFont="1" applyBorder="1" applyAlignment="1">
      <alignment horizontal="center"/>
    </xf>
    <xf numFmtId="0" fontId="16" fillId="0" borderId="2" xfId="0" applyFont="1" applyBorder="1" applyAlignment="1">
      <alignment horizontal="center"/>
    </xf>
    <xf numFmtId="9" fontId="16" fillId="0" borderId="1" xfId="0" applyNumberFormat="1" applyFont="1" applyBorder="1" applyAlignment="1">
      <alignment horizontal="center"/>
    </xf>
    <xf numFmtId="0" fontId="18" fillId="0" borderId="1" xfId="0" applyFont="1" applyBorder="1"/>
    <xf numFmtId="0" fontId="13" fillId="0" borderId="1" xfId="0" applyFont="1" applyBorder="1" applyAlignment="1">
      <alignment horizontal="center" vertical="center" wrapText="1"/>
    </xf>
    <xf numFmtId="0" fontId="14" fillId="0" borderId="1" xfId="0" applyFont="1" applyBorder="1"/>
    <xf numFmtId="0" fontId="16" fillId="12" borderId="1" xfId="0" applyFont="1" applyFill="1" applyBorder="1" applyAlignment="1">
      <alignment horizontal="left"/>
    </xf>
    <xf numFmtId="0" fontId="18" fillId="12" borderId="1" xfId="0" applyFont="1" applyFill="1" applyBorder="1"/>
    <xf numFmtId="0" fontId="14" fillId="0" borderId="3" xfId="0" applyFont="1" applyBorder="1" applyAlignment="1">
      <alignment horizontal="center" vertical="center"/>
    </xf>
    <xf numFmtId="0" fontId="14" fillId="0" borderId="2" xfId="0" applyFont="1" applyBorder="1" applyAlignment="1">
      <alignment horizontal="center" vertical="center"/>
    </xf>
    <xf numFmtId="9" fontId="16" fillId="0" borderId="21" xfId="0" applyNumberFormat="1" applyFont="1" applyBorder="1" applyAlignment="1">
      <alignment horizontal="center"/>
    </xf>
    <xf numFmtId="0" fontId="18" fillId="0" borderId="22" xfId="0" applyFont="1" applyBorder="1"/>
    <xf numFmtId="0" fontId="13" fillId="0" borderId="12" xfId="0" applyFont="1" applyBorder="1" applyAlignment="1">
      <alignment horizontal="center" vertical="center" wrapText="1"/>
    </xf>
    <xf numFmtId="0" fontId="14" fillId="0" borderId="13" xfId="0" applyFont="1" applyBorder="1"/>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16" fillId="12" borderId="15" xfId="0" applyFont="1" applyFill="1" applyBorder="1" applyAlignment="1">
      <alignment horizontal="left"/>
    </xf>
    <xf numFmtId="0" fontId="18" fillId="12" borderId="16" xfId="0" applyFont="1" applyFill="1" applyBorder="1"/>
    <xf numFmtId="0" fontId="16" fillId="0" borderId="1" xfId="0" applyFont="1" applyBorder="1" applyAlignment="1">
      <alignment horizontal="center"/>
    </xf>
    <xf numFmtId="0" fontId="1" fillId="14" borderId="48" xfId="0" applyFont="1" applyFill="1" applyBorder="1" applyAlignment="1">
      <alignment horizontal="left" vertical="top" wrapText="1"/>
    </xf>
    <xf numFmtId="0" fontId="1" fillId="14" borderId="8" xfId="0" applyFont="1" applyFill="1" applyBorder="1" applyAlignment="1">
      <alignment horizontal="left" vertical="top" wrapText="1"/>
    </xf>
    <xf numFmtId="0" fontId="1" fillId="14" borderId="4" xfId="0" applyFont="1" applyFill="1" applyBorder="1" applyAlignment="1">
      <alignment horizontal="left" vertical="top" wrapText="1"/>
    </xf>
    <xf numFmtId="0" fontId="1" fillId="14" borderId="49" xfId="0" applyFont="1" applyFill="1" applyBorder="1" applyAlignment="1">
      <alignment horizontal="left" vertical="top" wrapText="1"/>
    </xf>
    <xf numFmtId="0" fontId="1" fillId="14" borderId="0" xfId="0" applyFont="1" applyFill="1" applyAlignment="1">
      <alignment horizontal="left" vertical="top" wrapText="1"/>
    </xf>
    <xf numFmtId="0" fontId="1" fillId="14" borderId="6" xfId="0" applyFont="1" applyFill="1" applyBorder="1" applyAlignment="1">
      <alignment horizontal="left" vertical="top" wrapText="1"/>
    </xf>
    <xf numFmtId="0" fontId="1" fillId="14" borderId="50" xfId="0" applyFont="1" applyFill="1" applyBorder="1" applyAlignment="1">
      <alignment horizontal="left" vertical="top" wrapText="1"/>
    </xf>
    <xf numFmtId="0" fontId="1" fillId="14" borderId="51" xfId="0" applyFont="1" applyFill="1" applyBorder="1" applyAlignment="1">
      <alignment horizontal="left" vertical="top" wrapText="1"/>
    </xf>
    <xf numFmtId="0" fontId="1" fillId="14" borderId="52" xfId="0" applyFont="1" applyFill="1" applyBorder="1" applyAlignment="1">
      <alignment horizontal="left" vertical="top" wrapText="1"/>
    </xf>
    <xf numFmtId="0" fontId="1" fillId="14" borderId="5" xfId="0" applyFont="1" applyFill="1" applyBorder="1" applyAlignment="1">
      <alignment horizontal="center" vertical="center" wrapText="1"/>
    </xf>
    <xf numFmtId="0" fontId="1" fillId="14" borderId="8" xfId="0" quotePrefix="1" applyFont="1" applyFill="1" applyBorder="1" applyAlignment="1">
      <alignment horizontal="left" vertical="top" wrapText="1"/>
    </xf>
    <xf numFmtId="0" fontId="1" fillId="14" borderId="53" xfId="0" quotePrefix="1" applyFont="1" applyFill="1" applyBorder="1" applyAlignment="1">
      <alignment horizontal="left" vertical="top" wrapText="1"/>
    </xf>
    <xf numFmtId="0" fontId="1" fillId="14" borderId="44" xfId="0" applyFont="1" applyFill="1" applyBorder="1" applyAlignment="1">
      <alignment horizontal="center" vertical="center" wrapText="1"/>
    </xf>
    <xf numFmtId="0" fontId="1" fillId="14" borderId="0" xfId="0" quotePrefix="1" applyFont="1" applyFill="1" applyAlignment="1">
      <alignment horizontal="left" vertical="top" wrapText="1"/>
    </xf>
    <xf numFmtId="0" fontId="1" fillId="14" borderId="54" xfId="0" quotePrefix="1" applyFont="1" applyFill="1" applyBorder="1" applyAlignment="1">
      <alignment horizontal="left" vertical="top" wrapText="1"/>
    </xf>
    <xf numFmtId="0" fontId="4" fillId="14" borderId="1" xfId="0" applyFont="1" applyFill="1" applyBorder="1" applyAlignment="1">
      <alignment horizontal="center" vertical="center" wrapText="1"/>
    </xf>
    <xf numFmtId="0" fontId="1" fillId="14" borderId="44" xfId="0" applyFont="1" applyFill="1" applyBorder="1" applyAlignment="1">
      <alignment vertical="center" wrapText="1"/>
    </xf>
    <xf numFmtId="0" fontId="1" fillId="14" borderId="44" xfId="0" quotePrefix="1" applyFont="1" applyFill="1" applyBorder="1" applyAlignment="1">
      <alignment horizontal="center" vertical="center" wrapText="1"/>
    </xf>
    <xf numFmtId="0" fontId="1" fillId="14" borderId="46" xfId="0" quotePrefix="1" applyFont="1" applyFill="1" applyBorder="1" applyAlignment="1">
      <alignment horizontal="center" vertical="center" wrapText="1"/>
    </xf>
    <xf numFmtId="0" fontId="1" fillId="14" borderId="51" xfId="0" quotePrefix="1" applyFont="1" applyFill="1" applyBorder="1" applyAlignment="1">
      <alignment horizontal="left" vertical="top" wrapText="1"/>
    </xf>
    <xf numFmtId="0" fontId="1" fillId="14" borderId="56" xfId="0" quotePrefix="1" applyFont="1" applyFill="1" applyBorder="1" applyAlignment="1">
      <alignment horizontal="left" vertical="top" wrapText="1"/>
    </xf>
  </cellXfs>
  <cellStyles count="3">
    <cellStyle name="Normal" xfId="0" builtinId="0"/>
    <cellStyle name="Normal 2" xfId="1" xr:uid="{5572F043-7ADC-4887-973F-0500ABEE128E}"/>
    <cellStyle name="Persen" xfId="2" builtinId="5"/>
  </cellStyles>
  <dxfs count="90">
    <dxf>
      <font>
        <b/>
        <i val="0"/>
        <color auto="1"/>
      </font>
      <fill>
        <patternFill>
          <bgColor rgb="FF00B050"/>
        </patternFill>
      </fill>
    </dxf>
    <dxf>
      <font>
        <b/>
        <i val="0"/>
        <color auto="1"/>
      </font>
      <fill>
        <patternFill>
          <bgColor rgb="FFFFFF00"/>
        </patternFill>
      </fill>
    </dxf>
    <dxf>
      <font>
        <b/>
        <i val="0"/>
        <strike val="0"/>
        <color auto="1"/>
      </font>
      <fill>
        <patternFill>
          <bgColor rgb="FF00B0F0"/>
        </patternFill>
      </fill>
    </dxf>
    <dxf>
      <font>
        <b/>
        <i val="0"/>
        <strike val="0"/>
        <color auto="1"/>
      </font>
      <fill>
        <patternFill>
          <bgColor rgb="FFFF0000"/>
        </patternFill>
      </fill>
    </dxf>
    <dxf>
      <font>
        <b/>
        <i val="0"/>
        <color auto="1"/>
      </font>
      <fill>
        <patternFill>
          <bgColor rgb="FFFFC000"/>
        </patternFill>
      </fill>
    </dxf>
    <dxf>
      <font>
        <b/>
        <i val="0"/>
        <color auto="1"/>
      </font>
      <fill>
        <patternFill>
          <bgColor rgb="FF00B050"/>
        </patternFill>
      </fill>
    </dxf>
    <dxf>
      <font>
        <b/>
        <i val="0"/>
        <strike val="0"/>
        <color auto="1"/>
      </font>
      <fill>
        <patternFill>
          <bgColor rgb="FFFF0000"/>
        </patternFill>
      </fill>
    </dxf>
    <dxf>
      <font>
        <b/>
        <i val="0"/>
        <color auto="1"/>
      </font>
      <fill>
        <patternFill>
          <bgColor rgb="FFFFC000"/>
        </patternFill>
      </fill>
    </dxf>
    <dxf>
      <font>
        <b/>
        <i val="0"/>
        <color auto="1"/>
      </font>
      <fill>
        <patternFill>
          <bgColor rgb="FFFFFF00"/>
        </patternFill>
      </fill>
    </dxf>
    <dxf>
      <font>
        <b/>
        <i val="0"/>
        <strike val="0"/>
        <color auto="1"/>
      </font>
      <fill>
        <patternFill>
          <bgColor rgb="FF00B0F0"/>
        </patternFill>
      </fill>
    </dxf>
    <dxf>
      <font>
        <b/>
        <i val="0"/>
        <color auto="1"/>
      </font>
      <fill>
        <patternFill>
          <bgColor rgb="FFFFC000"/>
        </patternFill>
      </fill>
    </dxf>
    <dxf>
      <font>
        <b/>
        <i val="0"/>
        <strike val="0"/>
        <color auto="1"/>
      </font>
      <fill>
        <patternFill>
          <bgColor rgb="FFFF0000"/>
        </patternFill>
      </fill>
    </dxf>
    <dxf>
      <font>
        <b/>
        <i val="0"/>
        <color auto="1"/>
      </font>
      <fill>
        <patternFill>
          <bgColor rgb="FF00B050"/>
        </patternFill>
      </fill>
    </dxf>
    <dxf>
      <font>
        <b/>
        <i val="0"/>
        <strike val="0"/>
        <color auto="1"/>
      </font>
      <fill>
        <patternFill>
          <bgColor rgb="FF00B0F0"/>
        </patternFill>
      </fill>
    </dxf>
    <dxf>
      <font>
        <b/>
        <i val="0"/>
        <color auto="1"/>
      </font>
      <fill>
        <patternFill>
          <bgColor rgb="FFFFFF00"/>
        </patternFill>
      </fill>
    </dxf>
    <dxf>
      <font>
        <b/>
        <i val="0"/>
        <strike val="0"/>
        <color auto="1"/>
      </font>
      <fill>
        <patternFill>
          <bgColor rgb="FF00B0F0"/>
        </patternFill>
      </fill>
    </dxf>
    <dxf>
      <font>
        <b/>
        <i val="0"/>
        <color auto="1"/>
      </font>
      <fill>
        <patternFill>
          <bgColor rgb="FF00B050"/>
        </patternFill>
      </fill>
    </dxf>
    <dxf>
      <font>
        <b/>
        <i val="0"/>
        <color auto="1"/>
      </font>
      <fill>
        <patternFill>
          <bgColor rgb="FFFFFF00"/>
        </patternFill>
      </fill>
    </dxf>
    <dxf>
      <font>
        <b/>
        <i val="0"/>
        <color auto="1"/>
      </font>
      <fill>
        <patternFill>
          <bgColor rgb="FFFFC000"/>
        </patternFill>
      </fill>
    </dxf>
    <dxf>
      <font>
        <b/>
        <i val="0"/>
        <strike val="0"/>
        <color auto="1"/>
      </font>
      <fill>
        <patternFill>
          <bgColor rgb="FFFF0000"/>
        </patternFill>
      </fill>
    </dxf>
    <dxf>
      <font>
        <b/>
        <i val="0"/>
        <color auto="1"/>
      </font>
      <fill>
        <patternFill>
          <bgColor rgb="FF00B050"/>
        </patternFill>
      </fill>
    </dxf>
    <dxf>
      <font>
        <b/>
        <i val="0"/>
        <color auto="1"/>
      </font>
      <fill>
        <patternFill>
          <bgColor rgb="FFFFC000"/>
        </patternFill>
      </fill>
    </dxf>
    <dxf>
      <font>
        <b/>
        <i val="0"/>
        <color auto="1"/>
      </font>
      <fill>
        <patternFill>
          <bgColor rgb="FFFFFF00"/>
        </patternFill>
      </fill>
    </dxf>
    <dxf>
      <font>
        <b/>
        <i val="0"/>
        <strike val="0"/>
        <color auto="1"/>
      </font>
      <fill>
        <patternFill>
          <bgColor rgb="FFFF0000"/>
        </patternFill>
      </fill>
    </dxf>
    <dxf>
      <font>
        <b/>
        <i val="0"/>
        <strike val="0"/>
        <color auto="1"/>
      </font>
      <fill>
        <patternFill>
          <bgColor rgb="FF00B0F0"/>
        </patternFill>
      </fill>
    </dxf>
    <dxf>
      <font>
        <b/>
        <i val="0"/>
        <strike val="0"/>
        <color auto="1"/>
      </font>
      <fill>
        <patternFill>
          <bgColor rgb="FF00B0F0"/>
        </patternFill>
      </fill>
    </dxf>
    <dxf>
      <font>
        <b/>
        <i val="0"/>
        <color auto="1"/>
      </font>
      <fill>
        <patternFill>
          <bgColor rgb="FF00B050"/>
        </patternFill>
      </fill>
    </dxf>
    <dxf>
      <font>
        <b/>
        <i val="0"/>
        <color auto="1"/>
      </font>
      <fill>
        <patternFill>
          <bgColor rgb="FFFFFF00"/>
        </patternFill>
      </fill>
    </dxf>
    <dxf>
      <font>
        <b/>
        <i val="0"/>
        <color auto="1"/>
      </font>
      <fill>
        <patternFill>
          <bgColor rgb="FFFFC000"/>
        </patternFill>
      </fill>
    </dxf>
    <dxf>
      <font>
        <b/>
        <i val="0"/>
        <strike val="0"/>
        <color auto="1"/>
      </font>
      <fill>
        <patternFill>
          <bgColor rgb="FFFF0000"/>
        </patternFill>
      </fill>
    </dxf>
    <dxf>
      <font>
        <b/>
        <i val="0"/>
        <color auto="1"/>
      </font>
      <fill>
        <patternFill>
          <bgColor rgb="FF00B050"/>
        </patternFill>
      </fill>
    </dxf>
    <dxf>
      <font>
        <b/>
        <i val="0"/>
        <strike val="0"/>
        <color auto="1"/>
      </font>
      <fill>
        <patternFill>
          <bgColor rgb="FF00B0F0"/>
        </patternFill>
      </fill>
    </dxf>
    <dxf>
      <font>
        <b/>
        <i val="0"/>
        <strike val="0"/>
        <color auto="1"/>
      </font>
      <fill>
        <patternFill>
          <bgColor rgb="FFFF0000"/>
        </patternFill>
      </fill>
    </dxf>
    <dxf>
      <font>
        <b/>
        <i val="0"/>
        <color auto="1"/>
      </font>
      <fill>
        <patternFill>
          <bgColor rgb="FFFFC000"/>
        </patternFill>
      </fill>
    </dxf>
    <dxf>
      <font>
        <b/>
        <i val="0"/>
        <color auto="1"/>
      </font>
      <fill>
        <patternFill>
          <bgColor rgb="FFFFFF00"/>
        </patternFill>
      </fill>
    </dxf>
    <dxf>
      <font>
        <b/>
        <i val="0"/>
        <color auto="1"/>
      </font>
      <fill>
        <patternFill>
          <bgColor rgb="FFFFC000"/>
        </patternFill>
      </fill>
    </dxf>
    <dxf>
      <font>
        <b/>
        <i val="0"/>
        <strike val="0"/>
        <color auto="1"/>
      </font>
      <fill>
        <patternFill>
          <bgColor rgb="FFFF0000"/>
        </patternFill>
      </fill>
    </dxf>
    <dxf>
      <font>
        <b/>
        <i val="0"/>
        <color auto="1"/>
      </font>
      <fill>
        <patternFill>
          <bgColor rgb="FFFFFF00"/>
        </patternFill>
      </fill>
    </dxf>
    <dxf>
      <font>
        <b/>
        <i val="0"/>
        <color auto="1"/>
      </font>
      <fill>
        <patternFill>
          <bgColor rgb="FF00B050"/>
        </patternFill>
      </fill>
    </dxf>
    <dxf>
      <font>
        <b/>
        <i val="0"/>
        <strike val="0"/>
        <color auto="1"/>
      </font>
      <fill>
        <patternFill>
          <bgColor rgb="FF00B0F0"/>
        </patternFill>
      </fill>
    </dxf>
    <dxf>
      <font>
        <b/>
        <i val="0"/>
        <color auto="1"/>
      </font>
      <fill>
        <patternFill>
          <bgColor rgb="FFFFFF00"/>
        </patternFill>
      </fill>
    </dxf>
    <dxf>
      <font>
        <b/>
        <i val="0"/>
        <strike val="0"/>
        <color auto="1"/>
      </font>
      <fill>
        <patternFill>
          <bgColor rgb="FF00B0F0"/>
        </patternFill>
      </fill>
    </dxf>
    <dxf>
      <font>
        <b/>
        <i val="0"/>
        <color auto="1"/>
      </font>
      <fill>
        <patternFill>
          <bgColor rgb="FF00B050"/>
        </patternFill>
      </fill>
    </dxf>
    <dxf>
      <font>
        <b/>
        <i val="0"/>
        <strike val="0"/>
        <color auto="1"/>
      </font>
      <fill>
        <patternFill>
          <bgColor rgb="FFFF0000"/>
        </patternFill>
      </fill>
    </dxf>
    <dxf>
      <font>
        <b/>
        <i val="0"/>
        <color auto="1"/>
      </font>
      <fill>
        <patternFill>
          <bgColor rgb="FFFFC000"/>
        </patternFill>
      </fill>
    </dxf>
    <dxf>
      <font>
        <b/>
        <i val="0"/>
        <strike val="0"/>
        <color auto="1"/>
      </font>
      <fill>
        <patternFill>
          <bgColor rgb="FFFF0000"/>
        </patternFill>
      </fill>
    </dxf>
    <dxf>
      <font>
        <b/>
        <i val="0"/>
        <color auto="1"/>
      </font>
      <fill>
        <patternFill>
          <bgColor rgb="FFFFC000"/>
        </patternFill>
      </fill>
    </dxf>
    <dxf>
      <font>
        <b/>
        <i val="0"/>
        <color auto="1"/>
      </font>
      <fill>
        <patternFill>
          <bgColor rgb="FFFFFF00"/>
        </patternFill>
      </fill>
    </dxf>
    <dxf>
      <font>
        <b/>
        <i val="0"/>
        <color auto="1"/>
      </font>
      <fill>
        <patternFill>
          <bgColor rgb="FF00B050"/>
        </patternFill>
      </fill>
    </dxf>
    <dxf>
      <font>
        <b/>
        <i val="0"/>
        <strike val="0"/>
        <color auto="1"/>
      </font>
      <fill>
        <patternFill>
          <bgColor rgb="FF00B0F0"/>
        </patternFill>
      </fill>
    </dxf>
    <dxf>
      <font>
        <b/>
        <i val="0"/>
        <strike val="0"/>
        <color auto="1"/>
      </font>
      <fill>
        <patternFill>
          <bgColor rgb="FFFF0000"/>
        </patternFill>
      </fill>
    </dxf>
    <dxf>
      <font>
        <b/>
        <i val="0"/>
        <color auto="1"/>
      </font>
      <fill>
        <patternFill>
          <bgColor rgb="FFFFC000"/>
        </patternFill>
      </fill>
    </dxf>
    <dxf>
      <font>
        <b/>
        <i val="0"/>
        <color auto="1"/>
      </font>
      <fill>
        <patternFill>
          <bgColor rgb="FF00B050"/>
        </patternFill>
      </fill>
    </dxf>
    <dxf>
      <font>
        <b/>
        <i val="0"/>
        <strike val="0"/>
        <color auto="1"/>
      </font>
      <fill>
        <patternFill>
          <bgColor rgb="FF00B0F0"/>
        </patternFill>
      </fill>
    </dxf>
    <dxf>
      <font>
        <b/>
        <i val="0"/>
        <color auto="1"/>
      </font>
      <fill>
        <patternFill>
          <bgColor rgb="FFFFFF00"/>
        </patternFill>
      </fill>
    </dxf>
    <dxf>
      <font>
        <b/>
        <i val="0"/>
        <color auto="1"/>
      </font>
      <fill>
        <patternFill>
          <bgColor rgb="FF00B050"/>
        </patternFill>
      </fill>
    </dxf>
    <dxf>
      <font>
        <b/>
        <i val="0"/>
        <strike val="0"/>
        <color auto="1"/>
      </font>
      <fill>
        <patternFill>
          <bgColor rgb="FFFF0000"/>
        </patternFill>
      </fill>
    </dxf>
    <dxf>
      <font>
        <b/>
        <i val="0"/>
        <strike val="0"/>
        <color auto="1"/>
      </font>
      <fill>
        <patternFill>
          <bgColor rgb="FF00B0F0"/>
        </patternFill>
      </fill>
    </dxf>
    <dxf>
      <font>
        <b/>
        <i val="0"/>
        <color auto="1"/>
      </font>
      <fill>
        <patternFill>
          <bgColor rgb="FFFFC000"/>
        </patternFill>
      </fill>
    </dxf>
    <dxf>
      <font>
        <b/>
        <i val="0"/>
        <color auto="1"/>
      </font>
      <fill>
        <patternFill>
          <bgColor rgb="FFFFFF00"/>
        </patternFill>
      </fill>
    </dxf>
    <dxf>
      <font>
        <b/>
        <i val="0"/>
        <color auto="1"/>
      </font>
      <fill>
        <patternFill>
          <bgColor rgb="FFFFFF00"/>
        </patternFill>
      </fill>
    </dxf>
    <dxf>
      <font>
        <b/>
        <i val="0"/>
        <color auto="1"/>
      </font>
      <fill>
        <patternFill>
          <bgColor rgb="FF00B050"/>
        </patternFill>
      </fill>
    </dxf>
    <dxf>
      <font>
        <b/>
        <i val="0"/>
        <strike val="0"/>
        <color auto="1"/>
      </font>
      <fill>
        <patternFill>
          <bgColor rgb="FF00B0F0"/>
        </patternFill>
      </fill>
    </dxf>
    <dxf>
      <font>
        <b/>
        <i val="0"/>
        <strike val="0"/>
        <color auto="1"/>
      </font>
      <fill>
        <patternFill>
          <bgColor rgb="FFFF0000"/>
        </patternFill>
      </fill>
    </dxf>
    <dxf>
      <font>
        <b/>
        <i val="0"/>
        <color auto="1"/>
      </font>
      <fill>
        <patternFill>
          <bgColor rgb="FFFFC000"/>
        </patternFill>
      </fill>
    </dxf>
    <dxf>
      <font>
        <b/>
        <i val="0"/>
        <strike val="0"/>
        <color auto="1"/>
      </font>
      <fill>
        <patternFill>
          <bgColor rgb="FFFF0000"/>
        </patternFill>
      </fill>
    </dxf>
    <dxf>
      <font>
        <b/>
        <i val="0"/>
        <color auto="1"/>
      </font>
      <fill>
        <patternFill>
          <bgColor rgb="FFFFC000"/>
        </patternFill>
      </fill>
    </dxf>
    <dxf>
      <font>
        <b/>
        <i val="0"/>
        <color auto="1"/>
      </font>
      <fill>
        <patternFill>
          <bgColor rgb="FFFFFF00"/>
        </patternFill>
      </fill>
    </dxf>
    <dxf>
      <font>
        <b/>
        <i val="0"/>
        <color auto="1"/>
      </font>
      <fill>
        <patternFill>
          <bgColor rgb="FF00B050"/>
        </patternFill>
      </fill>
    </dxf>
    <dxf>
      <font>
        <b/>
        <i val="0"/>
        <strike val="0"/>
        <color auto="1"/>
      </font>
      <fill>
        <patternFill>
          <bgColor rgb="FF00B0F0"/>
        </patternFill>
      </fill>
    </dxf>
    <dxf>
      <font>
        <b/>
        <i val="0"/>
        <color auto="1"/>
      </font>
      <fill>
        <patternFill>
          <bgColor rgb="FF00B050"/>
        </patternFill>
      </fill>
    </dxf>
    <dxf>
      <font>
        <b/>
        <i val="0"/>
        <strike val="0"/>
        <color auto="1"/>
      </font>
      <fill>
        <patternFill>
          <bgColor rgb="FF00B0F0"/>
        </patternFill>
      </fill>
    </dxf>
    <dxf>
      <font>
        <b/>
        <i val="0"/>
        <color auto="1"/>
      </font>
      <fill>
        <patternFill>
          <bgColor rgb="FFFFFF00"/>
        </patternFill>
      </fill>
    </dxf>
    <dxf>
      <font>
        <b/>
        <i val="0"/>
        <color auto="1"/>
      </font>
      <fill>
        <patternFill>
          <bgColor rgb="FFFFC000"/>
        </patternFill>
      </fill>
    </dxf>
    <dxf>
      <font>
        <b/>
        <i val="0"/>
        <strike val="0"/>
        <color auto="1"/>
      </font>
      <fill>
        <patternFill>
          <bgColor rgb="FFFF0000"/>
        </patternFill>
      </fill>
    </dxf>
    <dxf>
      <font>
        <b/>
        <i val="0"/>
        <color auto="1"/>
      </font>
      <fill>
        <patternFill>
          <bgColor rgb="FFFFC000"/>
        </patternFill>
      </fill>
    </dxf>
    <dxf>
      <font>
        <b/>
        <i val="0"/>
        <strike val="0"/>
        <color auto="1"/>
      </font>
      <fill>
        <patternFill>
          <bgColor rgb="FFFF0000"/>
        </patternFill>
      </fill>
    </dxf>
    <dxf>
      <font>
        <b/>
        <i val="0"/>
        <color auto="1"/>
      </font>
      <fill>
        <patternFill>
          <bgColor rgb="FFFFFF00"/>
        </patternFill>
      </fill>
    </dxf>
    <dxf>
      <font>
        <b/>
        <i val="0"/>
        <strike val="0"/>
        <color auto="1"/>
      </font>
      <fill>
        <patternFill>
          <bgColor rgb="FF00B0F0"/>
        </patternFill>
      </fill>
    </dxf>
    <dxf>
      <font>
        <b/>
        <i val="0"/>
        <color auto="1"/>
      </font>
      <fill>
        <patternFill>
          <bgColor rgb="FF00B050"/>
        </patternFill>
      </fill>
    </dxf>
    <dxf>
      <font>
        <b/>
        <i val="0"/>
        <strike val="0"/>
        <color auto="1"/>
      </font>
      <fill>
        <patternFill>
          <bgColor rgb="FF00B0F0"/>
        </patternFill>
      </fill>
    </dxf>
    <dxf>
      <font>
        <b/>
        <i val="0"/>
        <color auto="1"/>
      </font>
      <fill>
        <patternFill>
          <bgColor rgb="FF00B050"/>
        </patternFill>
      </fill>
    </dxf>
    <dxf>
      <font>
        <b/>
        <i val="0"/>
        <color auto="1"/>
      </font>
      <fill>
        <patternFill>
          <bgColor rgb="FFFFFF00"/>
        </patternFill>
      </fill>
    </dxf>
    <dxf>
      <font>
        <b/>
        <i val="0"/>
        <strike val="0"/>
        <color auto="1"/>
      </font>
      <fill>
        <patternFill>
          <bgColor rgb="FFFF0000"/>
        </patternFill>
      </fill>
    </dxf>
    <dxf>
      <font>
        <b/>
        <i val="0"/>
        <color auto="1"/>
      </font>
      <fill>
        <patternFill>
          <bgColor rgb="FFFFC000"/>
        </patternFill>
      </fill>
    </dxf>
    <dxf>
      <font>
        <b/>
        <i val="0"/>
        <strike val="0"/>
        <color auto="1"/>
      </font>
      <fill>
        <patternFill>
          <bgColor rgb="FFFF0000"/>
        </patternFill>
      </fill>
    </dxf>
    <dxf>
      <font>
        <b/>
        <i val="0"/>
        <strike val="0"/>
        <color auto="1"/>
      </font>
      <fill>
        <patternFill>
          <bgColor rgb="FF00B0F0"/>
        </patternFill>
      </fill>
    </dxf>
    <dxf>
      <font>
        <b/>
        <i val="0"/>
        <color auto="1"/>
      </font>
      <fill>
        <patternFill>
          <bgColor rgb="FF00B050"/>
        </patternFill>
      </fill>
    </dxf>
    <dxf>
      <font>
        <b/>
        <i val="0"/>
        <color auto="1"/>
      </font>
      <fill>
        <patternFill>
          <bgColor rgb="FFFFFF00"/>
        </patternFill>
      </fill>
    </dxf>
    <dxf>
      <font>
        <b/>
        <i val="0"/>
        <color auto="1"/>
      </font>
      <fill>
        <patternFill>
          <bgColor rgb="FFFFC000"/>
        </patternFill>
      </fill>
    </dxf>
  </dxfs>
  <tableStyles count="0" defaultTableStyle="TableStyleMedium2" defaultPivotStyle="PivotStyleLight16"/>
  <colors>
    <mruColors>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Lembar Monitoring'!N147"/><Relationship Id="rId3" Type="http://schemas.openxmlformats.org/officeDocument/2006/relationships/image" Target="../media/image2.svg"/><Relationship Id="rId7" Type="http://schemas.openxmlformats.org/officeDocument/2006/relationships/hyperlink" Target="#'Lembar Monitoring'!J7"/><Relationship Id="rId2" Type="http://schemas.openxmlformats.org/officeDocument/2006/relationships/image" Target="../media/image1.png"/><Relationship Id="rId1" Type="http://schemas.openxmlformats.org/officeDocument/2006/relationships/hyperlink" Target="#'Lembar Monitoring'!K42"/><Relationship Id="rId6" Type="http://schemas.openxmlformats.org/officeDocument/2006/relationships/hyperlink" Target="#'Lembar Monitoring'!Q252"/><Relationship Id="rId11" Type="http://schemas.openxmlformats.org/officeDocument/2006/relationships/hyperlink" Target="#'Lembar Monitoring'!R287"/><Relationship Id="rId5" Type="http://schemas.openxmlformats.org/officeDocument/2006/relationships/hyperlink" Target="#'Lembar Monitoring'!M112"/><Relationship Id="rId10" Type="http://schemas.openxmlformats.org/officeDocument/2006/relationships/hyperlink" Target="#'Lembar Monitoring'!P217"/><Relationship Id="rId4" Type="http://schemas.openxmlformats.org/officeDocument/2006/relationships/hyperlink" Target="#'Lembar Monitoring'!L78"/><Relationship Id="rId9" Type="http://schemas.openxmlformats.org/officeDocument/2006/relationships/hyperlink" Target="#'Lembar Monitoring'!O182"/></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36286</xdr:colOff>
      <xdr:row>8</xdr:row>
      <xdr:rowOff>90715</xdr:rowOff>
    </xdr:from>
    <xdr:ext cx="184731" cy="264560"/>
    <xdr:sp macro="" textlink="">
      <xdr:nvSpPr>
        <xdr:cNvPr id="2" name="TextBox 1">
          <a:extLst>
            <a:ext uri="{FF2B5EF4-FFF2-40B4-BE49-F238E27FC236}">
              <a16:creationId xmlns:a16="http://schemas.microsoft.com/office/drawing/2014/main" id="{F53DA5C9-B66E-48B4-BE9F-9872E28B3B75}"/>
            </a:ext>
          </a:extLst>
        </xdr:cNvPr>
        <xdr:cNvSpPr txBox="1"/>
      </xdr:nvSpPr>
      <xdr:spPr>
        <a:xfrm>
          <a:off x="11865429" y="23585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11</xdr:col>
      <xdr:colOff>36286</xdr:colOff>
      <xdr:row>78</xdr:row>
      <xdr:rowOff>90715</xdr:rowOff>
    </xdr:from>
    <xdr:ext cx="184731" cy="264560"/>
    <xdr:sp macro="" textlink="">
      <xdr:nvSpPr>
        <xdr:cNvPr id="4" name="TextBox 3">
          <a:extLst>
            <a:ext uri="{FF2B5EF4-FFF2-40B4-BE49-F238E27FC236}">
              <a16:creationId xmlns:a16="http://schemas.microsoft.com/office/drawing/2014/main" id="{C0E3643E-99E8-40C5-8C24-7E1CBC95A07C}"/>
            </a:ext>
          </a:extLst>
        </xdr:cNvPr>
        <xdr:cNvSpPr txBox="1"/>
      </xdr:nvSpPr>
      <xdr:spPr>
        <a:xfrm>
          <a:off x="12939486" y="2351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11</xdr:col>
      <xdr:colOff>36286</xdr:colOff>
      <xdr:row>113</xdr:row>
      <xdr:rowOff>90715</xdr:rowOff>
    </xdr:from>
    <xdr:ext cx="184731" cy="264560"/>
    <xdr:sp macro="" textlink="">
      <xdr:nvSpPr>
        <xdr:cNvPr id="5" name="TextBox 4">
          <a:extLst>
            <a:ext uri="{FF2B5EF4-FFF2-40B4-BE49-F238E27FC236}">
              <a16:creationId xmlns:a16="http://schemas.microsoft.com/office/drawing/2014/main" id="{5D000647-8044-438D-84BA-135FDD077CCB}"/>
            </a:ext>
          </a:extLst>
        </xdr:cNvPr>
        <xdr:cNvSpPr txBox="1"/>
      </xdr:nvSpPr>
      <xdr:spPr>
        <a:xfrm>
          <a:off x="12939486" y="2351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11</xdr:col>
      <xdr:colOff>36286</xdr:colOff>
      <xdr:row>148</xdr:row>
      <xdr:rowOff>90715</xdr:rowOff>
    </xdr:from>
    <xdr:ext cx="184731" cy="264560"/>
    <xdr:sp macro="" textlink="">
      <xdr:nvSpPr>
        <xdr:cNvPr id="6" name="TextBox 5">
          <a:extLst>
            <a:ext uri="{FF2B5EF4-FFF2-40B4-BE49-F238E27FC236}">
              <a16:creationId xmlns:a16="http://schemas.microsoft.com/office/drawing/2014/main" id="{5DE0B1CB-0D82-4D91-A6C7-D96C111C596E}"/>
            </a:ext>
          </a:extLst>
        </xdr:cNvPr>
        <xdr:cNvSpPr txBox="1"/>
      </xdr:nvSpPr>
      <xdr:spPr>
        <a:xfrm>
          <a:off x="12939486" y="2351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11</xdr:col>
      <xdr:colOff>36286</xdr:colOff>
      <xdr:row>183</xdr:row>
      <xdr:rowOff>90715</xdr:rowOff>
    </xdr:from>
    <xdr:ext cx="184731" cy="264560"/>
    <xdr:sp macro="" textlink="">
      <xdr:nvSpPr>
        <xdr:cNvPr id="7" name="TextBox 6">
          <a:extLst>
            <a:ext uri="{FF2B5EF4-FFF2-40B4-BE49-F238E27FC236}">
              <a16:creationId xmlns:a16="http://schemas.microsoft.com/office/drawing/2014/main" id="{1EC140EF-0DE2-4EE7-BCAD-D0D63FA0E32A}"/>
            </a:ext>
          </a:extLst>
        </xdr:cNvPr>
        <xdr:cNvSpPr txBox="1"/>
      </xdr:nvSpPr>
      <xdr:spPr>
        <a:xfrm>
          <a:off x="12939486" y="2351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11</xdr:col>
      <xdr:colOff>36286</xdr:colOff>
      <xdr:row>218</xdr:row>
      <xdr:rowOff>90715</xdr:rowOff>
    </xdr:from>
    <xdr:ext cx="184731" cy="264560"/>
    <xdr:sp macro="" textlink="">
      <xdr:nvSpPr>
        <xdr:cNvPr id="8" name="TextBox 7">
          <a:extLst>
            <a:ext uri="{FF2B5EF4-FFF2-40B4-BE49-F238E27FC236}">
              <a16:creationId xmlns:a16="http://schemas.microsoft.com/office/drawing/2014/main" id="{4C98EB13-4B2F-4F29-B0E4-AC0EC4379B5F}"/>
            </a:ext>
          </a:extLst>
        </xdr:cNvPr>
        <xdr:cNvSpPr txBox="1"/>
      </xdr:nvSpPr>
      <xdr:spPr>
        <a:xfrm>
          <a:off x="12939486" y="2351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11</xdr:col>
      <xdr:colOff>36286</xdr:colOff>
      <xdr:row>253</xdr:row>
      <xdr:rowOff>90715</xdr:rowOff>
    </xdr:from>
    <xdr:ext cx="184731" cy="264560"/>
    <xdr:sp macro="" textlink="">
      <xdr:nvSpPr>
        <xdr:cNvPr id="9" name="TextBox 8">
          <a:extLst>
            <a:ext uri="{FF2B5EF4-FFF2-40B4-BE49-F238E27FC236}">
              <a16:creationId xmlns:a16="http://schemas.microsoft.com/office/drawing/2014/main" id="{F3BA40A8-9CD5-416F-9090-5991B09438FC}"/>
            </a:ext>
          </a:extLst>
        </xdr:cNvPr>
        <xdr:cNvSpPr txBox="1"/>
      </xdr:nvSpPr>
      <xdr:spPr>
        <a:xfrm>
          <a:off x="12939486" y="2351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11</xdr:col>
      <xdr:colOff>36286</xdr:colOff>
      <xdr:row>288</xdr:row>
      <xdr:rowOff>90715</xdr:rowOff>
    </xdr:from>
    <xdr:ext cx="184731" cy="264560"/>
    <xdr:sp macro="" textlink="">
      <xdr:nvSpPr>
        <xdr:cNvPr id="10" name="TextBox 9">
          <a:extLst>
            <a:ext uri="{FF2B5EF4-FFF2-40B4-BE49-F238E27FC236}">
              <a16:creationId xmlns:a16="http://schemas.microsoft.com/office/drawing/2014/main" id="{286C60B3-E434-4450-91AC-25818127B1C0}"/>
            </a:ext>
          </a:extLst>
        </xdr:cNvPr>
        <xdr:cNvSpPr txBox="1"/>
      </xdr:nvSpPr>
      <xdr:spPr>
        <a:xfrm>
          <a:off x="12939486" y="23513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10</xdr:col>
      <xdr:colOff>254000</xdr:colOff>
      <xdr:row>7</xdr:row>
      <xdr:rowOff>52916</xdr:rowOff>
    </xdr:from>
    <xdr:to>
      <xdr:col>10</xdr:col>
      <xdr:colOff>703792</xdr:colOff>
      <xdr:row>7</xdr:row>
      <xdr:rowOff>512233</xdr:rowOff>
    </xdr:to>
    <xdr:pic>
      <xdr:nvPicPr>
        <xdr:cNvPr id="12" name="Graphic 11" descr="Open folder">
          <a:hlinkClick xmlns:r="http://schemas.openxmlformats.org/officeDocument/2006/relationships" r:id="rId1"/>
          <a:extLst>
            <a:ext uri="{FF2B5EF4-FFF2-40B4-BE49-F238E27FC236}">
              <a16:creationId xmlns:a16="http://schemas.microsoft.com/office/drawing/2014/main" id="{6464E1F7-AA65-4380-BA12-0506A31DFE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562417" y="1830916"/>
          <a:ext cx="459317" cy="459317"/>
        </a:xfrm>
        <a:prstGeom prst="rect">
          <a:avLst/>
        </a:prstGeom>
      </xdr:spPr>
    </xdr:pic>
    <xdr:clientData/>
  </xdr:twoCellAnchor>
  <xdr:oneCellAnchor>
    <xdr:from>
      <xdr:col>11</xdr:col>
      <xdr:colOff>201083</xdr:colOff>
      <xdr:row>7</xdr:row>
      <xdr:rowOff>42332</xdr:rowOff>
    </xdr:from>
    <xdr:ext cx="459317" cy="459317"/>
    <xdr:pic>
      <xdr:nvPicPr>
        <xdr:cNvPr id="13" name="Graphic 12" descr="Open folder">
          <a:hlinkClick xmlns:r="http://schemas.openxmlformats.org/officeDocument/2006/relationships" r:id="rId4"/>
          <a:extLst>
            <a:ext uri="{FF2B5EF4-FFF2-40B4-BE49-F238E27FC236}">
              <a16:creationId xmlns:a16="http://schemas.microsoft.com/office/drawing/2014/main" id="{80ABA60C-C875-43DD-AE31-09670B2A39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50333" y="1820332"/>
          <a:ext cx="459317" cy="459317"/>
        </a:xfrm>
        <a:prstGeom prst="rect">
          <a:avLst/>
        </a:prstGeom>
      </xdr:spPr>
    </xdr:pic>
    <xdr:clientData/>
  </xdr:oneCellAnchor>
  <xdr:oneCellAnchor>
    <xdr:from>
      <xdr:col>12</xdr:col>
      <xdr:colOff>222250</xdr:colOff>
      <xdr:row>7</xdr:row>
      <xdr:rowOff>63499</xdr:rowOff>
    </xdr:from>
    <xdr:ext cx="459317" cy="459317"/>
    <xdr:pic>
      <xdr:nvPicPr>
        <xdr:cNvPr id="14" name="Graphic 13" descr="Open folder">
          <a:hlinkClick xmlns:r="http://schemas.openxmlformats.org/officeDocument/2006/relationships" r:id="rId5"/>
          <a:extLst>
            <a:ext uri="{FF2B5EF4-FFF2-40B4-BE49-F238E27FC236}">
              <a16:creationId xmlns:a16="http://schemas.microsoft.com/office/drawing/2014/main" id="{A097DF1E-AF99-4E51-A1F7-C8E588087B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012333" y="1841499"/>
          <a:ext cx="459317" cy="459317"/>
        </a:xfrm>
        <a:prstGeom prst="rect">
          <a:avLst/>
        </a:prstGeom>
      </xdr:spPr>
    </xdr:pic>
    <xdr:clientData/>
  </xdr:oneCellAnchor>
  <xdr:oneCellAnchor>
    <xdr:from>
      <xdr:col>16</xdr:col>
      <xdr:colOff>232831</xdr:colOff>
      <xdr:row>7</xdr:row>
      <xdr:rowOff>31750</xdr:rowOff>
    </xdr:from>
    <xdr:ext cx="459317" cy="459317"/>
    <xdr:pic>
      <xdr:nvPicPr>
        <xdr:cNvPr id="15" name="Graphic 14" descr="Open folder">
          <a:hlinkClick xmlns:r="http://schemas.openxmlformats.org/officeDocument/2006/relationships" r:id="rId6"/>
          <a:extLst>
            <a:ext uri="{FF2B5EF4-FFF2-40B4-BE49-F238E27FC236}">
              <a16:creationId xmlns:a16="http://schemas.microsoft.com/office/drawing/2014/main" id="{0A59327B-1303-42AF-889B-3F62B65358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986248" y="1809750"/>
          <a:ext cx="459317" cy="459317"/>
        </a:xfrm>
        <a:prstGeom prst="rect">
          <a:avLst/>
        </a:prstGeom>
      </xdr:spPr>
    </xdr:pic>
    <xdr:clientData/>
  </xdr:oneCellAnchor>
  <xdr:twoCellAnchor editAs="oneCell">
    <xdr:from>
      <xdr:col>9</xdr:col>
      <xdr:colOff>148167</xdr:colOff>
      <xdr:row>7</xdr:row>
      <xdr:rowOff>105832</xdr:rowOff>
    </xdr:from>
    <xdr:to>
      <xdr:col>9</xdr:col>
      <xdr:colOff>578909</xdr:colOff>
      <xdr:row>8</xdr:row>
      <xdr:rowOff>4233</xdr:rowOff>
    </xdr:to>
    <xdr:pic>
      <xdr:nvPicPr>
        <xdr:cNvPr id="16" name="Graphic 15" descr="Open folder">
          <a:hlinkClick xmlns:r="http://schemas.openxmlformats.org/officeDocument/2006/relationships" r:id="rId7"/>
          <a:extLst>
            <a:ext uri="{FF2B5EF4-FFF2-40B4-BE49-F238E27FC236}">
              <a16:creationId xmlns:a16="http://schemas.microsoft.com/office/drawing/2014/main" id="{CD57806D-A3C2-4E69-BD04-BC5447D161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842750" y="1883832"/>
          <a:ext cx="459317" cy="459317"/>
        </a:xfrm>
        <a:prstGeom prst="rect">
          <a:avLst/>
        </a:prstGeom>
      </xdr:spPr>
    </xdr:pic>
    <xdr:clientData/>
  </xdr:twoCellAnchor>
  <xdr:oneCellAnchor>
    <xdr:from>
      <xdr:col>13</xdr:col>
      <xdr:colOff>237066</xdr:colOff>
      <xdr:row>7</xdr:row>
      <xdr:rowOff>57149</xdr:rowOff>
    </xdr:from>
    <xdr:ext cx="459317" cy="459317"/>
    <xdr:pic>
      <xdr:nvPicPr>
        <xdr:cNvPr id="19" name="Graphic 18" descr="Open folder">
          <a:hlinkClick xmlns:r="http://schemas.openxmlformats.org/officeDocument/2006/relationships" r:id="rId8"/>
          <a:extLst>
            <a:ext uri="{FF2B5EF4-FFF2-40B4-BE49-F238E27FC236}">
              <a16:creationId xmlns:a16="http://schemas.microsoft.com/office/drawing/2014/main" id="{72E43166-EE25-44BA-B29C-A72C8A3574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67983" y="1835149"/>
          <a:ext cx="459317" cy="459317"/>
        </a:xfrm>
        <a:prstGeom prst="rect">
          <a:avLst/>
        </a:prstGeom>
      </xdr:spPr>
    </xdr:pic>
    <xdr:clientData/>
  </xdr:oneCellAnchor>
  <xdr:oneCellAnchor>
    <xdr:from>
      <xdr:col>14</xdr:col>
      <xdr:colOff>220133</xdr:colOff>
      <xdr:row>7</xdr:row>
      <xdr:rowOff>61383</xdr:rowOff>
    </xdr:from>
    <xdr:ext cx="459317" cy="459317"/>
    <xdr:pic>
      <xdr:nvPicPr>
        <xdr:cNvPr id="20" name="Graphic 19" descr="Open folder">
          <a:hlinkClick xmlns:r="http://schemas.openxmlformats.org/officeDocument/2006/relationships" r:id="rId9"/>
          <a:extLst>
            <a:ext uri="{FF2B5EF4-FFF2-40B4-BE49-F238E27FC236}">
              <a16:creationId xmlns:a16="http://schemas.microsoft.com/office/drawing/2014/main" id="{93A4BA21-439B-4FC4-8491-AE698268D5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491883" y="1839383"/>
          <a:ext cx="459317" cy="459317"/>
        </a:xfrm>
        <a:prstGeom prst="rect">
          <a:avLst/>
        </a:prstGeom>
      </xdr:spPr>
    </xdr:pic>
    <xdr:clientData/>
  </xdr:oneCellAnchor>
  <xdr:oneCellAnchor>
    <xdr:from>
      <xdr:col>15</xdr:col>
      <xdr:colOff>203200</xdr:colOff>
      <xdr:row>7</xdr:row>
      <xdr:rowOff>44450</xdr:rowOff>
    </xdr:from>
    <xdr:ext cx="459317" cy="459317"/>
    <xdr:pic>
      <xdr:nvPicPr>
        <xdr:cNvPr id="21" name="Graphic 20" descr="Open folder">
          <a:hlinkClick xmlns:r="http://schemas.openxmlformats.org/officeDocument/2006/relationships" r:id="rId10"/>
          <a:extLst>
            <a:ext uri="{FF2B5EF4-FFF2-40B4-BE49-F238E27FC236}">
              <a16:creationId xmlns:a16="http://schemas.microsoft.com/office/drawing/2014/main" id="{CF34F09E-86D8-419C-B25F-D68476715C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215783" y="1822450"/>
          <a:ext cx="459317" cy="459317"/>
        </a:xfrm>
        <a:prstGeom prst="rect">
          <a:avLst/>
        </a:prstGeom>
      </xdr:spPr>
    </xdr:pic>
    <xdr:clientData/>
  </xdr:oneCellAnchor>
  <xdr:oneCellAnchor>
    <xdr:from>
      <xdr:col>17</xdr:col>
      <xdr:colOff>215894</xdr:colOff>
      <xdr:row>7</xdr:row>
      <xdr:rowOff>4239</xdr:rowOff>
    </xdr:from>
    <xdr:ext cx="459317" cy="459317"/>
    <xdr:pic>
      <xdr:nvPicPr>
        <xdr:cNvPr id="22" name="Graphic 21" descr="Open folder">
          <a:hlinkClick xmlns:r="http://schemas.openxmlformats.org/officeDocument/2006/relationships" r:id="rId11"/>
          <a:extLst>
            <a:ext uri="{FF2B5EF4-FFF2-40B4-BE49-F238E27FC236}">
              <a16:creationId xmlns:a16="http://schemas.microsoft.com/office/drawing/2014/main" id="{625919D5-DED9-415B-966E-1CC78BCA91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710144" y="1782239"/>
          <a:ext cx="459317" cy="459317"/>
        </a:xfrm>
        <a:prstGeom prst="rect">
          <a:avLst/>
        </a:prstGeom>
      </xdr:spPr>
    </xdr:pic>
    <xdr:clientData/>
  </xdr:oneCellAnchor>
  <xdr:oneCellAnchor>
    <xdr:from>
      <xdr:col>11</xdr:col>
      <xdr:colOff>23057</xdr:colOff>
      <xdr:row>43</xdr:row>
      <xdr:rowOff>22977</xdr:rowOff>
    </xdr:from>
    <xdr:ext cx="184731" cy="264560"/>
    <xdr:sp macro="" textlink="">
      <xdr:nvSpPr>
        <xdr:cNvPr id="23" name="TextBox 22">
          <a:extLst>
            <a:ext uri="{FF2B5EF4-FFF2-40B4-BE49-F238E27FC236}">
              <a16:creationId xmlns:a16="http://schemas.microsoft.com/office/drawing/2014/main" id="{071AAF46-3B67-4DE3-9276-DAD2A6F40253}"/>
            </a:ext>
          </a:extLst>
        </xdr:cNvPr>
        <xdr:cNvSpPr txBox="1"/>
      </xdr:nvSpPr>
      <xdr:spPr>
        <a:xfrm>
          <a:off x="13080245" y="99289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10</xdr:col>
      <xdr:colOff>240771</xdr:colOff>
      <xdr:row>41</xdr:row>
      <xdr:rowOff>572553</xdr:rowOff>
    </xdr:from>
    <xdr:to>
      <xdr:col>10</xdr:col>
      <xdr:colOff>700088</xdr:colOff>
      <xdr:row>42</xdr:row>
      <xdr:rowOff>444495</xdr:rowOff>
    </xdr:to>
    <xdr:pic>
      <xdr:nvPicPr>
        <xdr:cNvPr id="24" name="Graphic 23" descr="Open folder">
          <a:hlinkClick xmlns:r="http://schemas.openxmlformats.org/officeDocument/2006/relationships" r:id="rId1"/>
          <a:extLst>
            <a:ext uri="{FF2B5EF4-FFF2-40B4-BE49-F238E27FC236}">
              <a16:creationId xmlns:a16="http://schemas.microsoft.com/office/drawing/2014/main" id="{709CB517-2FA1-48C8-BFE8-8E97230437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551834" y="9335553"/>
          <a:ext cx="459317" cy="459317"/>
        </a:xfrm>
        <a:prstGeom prst="rect">
          <a:avLst/>
        </a:prstGeom>
      </xdr:spPr>
    </xdr:pic>
    <xdr:clientData/>
  </xdr:twoCellAnchor>
  <xdr:oneCellAnchor>
    <xdr:from>
      <xdr:col>11</xdr:col>
      <xdr:colOff>187854</xdr:colOff>
      <xdr:row>41</xdr:row>
      <xdr:rowOff>561969</xdr:rowOff>
    </xdr:from>
    <xdr:ext cx="459317" cy="459317"/>
    <xdr:pic>
      <xdr:nvPicPr>
        <xdr:cNvPr id="25" name="Graphic 24" descr="Open folder">
          <a:hlinkClick xmlns:r="http://schemas.openxmlformats.org/officeDocument/2006/relationships" r:id="rId4"/>
          <a:extLst>
            <a:ext uri="{FF2B5EF4-FFF2-40B4-BE49-F238E27FC236}">
              <a16:creationId xmlns:a16="http://schemas.microsoft.com/office/drawing/2014/main" id="{AFE560DB-4792-41EC-A120-480B6B3D7D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45042" y="9324969"/>
          <a:ext cx="459317" cy="459317"/>
        </a:xfrm>
        <a:prstGeom prst="rect">
          <a:avLst/>
        </a:prstGeom>
      </xdr:spPr>
    </xdr:pic>
    <xdr:clientData/>
  </xdr:oneCellAnchor>
  <xdr:oneCellAnchor>
    <xdr:from>
      <xdr:col>12</xdr:col>
      <xdr:colOff>209021</xdr:colOff>
      <xdr:row>41</xdr:row>
      <xdr:rowOff>583136</xdr:rowOff>
    </xdr:from>
    <xdr:ext cx="459317" cy="459317"/>
    <xdr:pic>
      <xdr:nvPicPr>
        <xdr:cNvPr id="26" name="Graphic 25" descr="Open folder">
          <a:hlinkClick xmlns:r="http://schemas.openxmlformats.org/officeDocument/2006/relationships" r:id="rId5"/>
          <a:extLst>
            <a:ext uri="{FF2B5EF4-FFF2-40B4-BE49-F238E27FC236}">
              <a16:creationId xmlns:a16="http://schemas.microsoft.com/office/drawing/2014/main" id="{FFCD5A8B-7C40-4566-B764-1E14757B4E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012334" y="9346136"/>
          <a:ext cx="459317" cy="459317"/>
        </a:xfrm>
        <a:prstGeom prst="rect">
          <a:avLst/>
        </a:prstGeom>
      </xdr:spPr>
    </xdr:pic>
    <xdr:clientData/>
  </xdr:oneCellAnchor>
  <xdr:oneCellAnchor>
    <xdr:from>
      <xdr:col>16</xdr:col>
      <xdr:colOff>219602</xdr:colOff>
      <xdr:row>41</xdr:row>
      <xdr:rowOff>551387</xdr:rowOff>
    </xdr:from>
    <xdr:ext cx="459317" cy="459317"/>
    <xdr:pic>
      <xdr:nvPicPr>
        <xdr:cNvPr id="27" name="Graphic 26" descr="Open folder">
          <a:hlinkClick xmlns:r="http://schemas.openxmlformats.org/officeDocument/2006/relationships" r:id="rId6"/>
          <a:extLst>
            <a:ext uri="{FF2B5EF4-FFF2-40B4-BE49-F238E27FC236}">
              <a16:creationId xmlns:a16="http://schemas.microsoft.com/office/drawing/2014/main" id="{2C89A130-E179-46C8-8E0F-F73256AABC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007415" y="9314387"/>
          <a:ext cx="459317" cy="459317"/>
        </a:xfrm>
        <a:prstGeom prst="rect">
          <a:avLst/>
        </a:prstGeom>
      </xdr:spPr>
    </xdr:pic>
    <xdr:clientData/>
  </xdr:oneCellAnchor>
  <xdr:twoCellAnchor editAs="oneCell">
    <xdr:from>
      <xdr:col>9</xdr:col>
      <xdr:colOff>134938</xdr:colOff>
      <xdr:row>42</xdr:row>
      <xdr:rowOff>38094</xdr:rowOff>
    </xdr:from>
    <xdr:to>
      <xdr:col>9</xdr:col>
      <xdr:colOff>584730</xdr:colOff>
      <xdr:row>42</xdr:row>
      <xdr:rowOff>492120</xdr:rowOff>
    </xdr:to>
    <xdr:pic>
      <xdr:nvPicPr>
        <xdr:cNvPr id="28" name="Graphic 27" descr="Open folder">
          <a:hlinkClick xmlns:r="http://schemas.openxmlformats.org/officeDocument/2006/relationships" r:id="rId7"/>
          <a:extLst>
            <a:ext uri="{FF2B5EF4-FFF2-40B4-BE49-F238E27FC236}">
              <a16:creationId xmlns:a16="http://schemas.microsoft.com/office/drawing/2014/main" id="{10628860-B3D1-4B64-87AD-F1BCE06206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834813" y="9388469"/>
          <a:ext cx="459317" cy="454026"/>
        </a:xfrm>
        <a:prstGeom prst="rect">
          <a:avLst/>
        </a:prstGeom>
      </xdr:spPr>
    </xdr:pic>
    <xdr:clientData/>
  </xdr:twoCellAnchor>
  <xdr:oneCellAnchor>
    <xdr:from>
      <xdr:col>13</xdr:col>
      <xdr:colOff>223837</xdr:colOff>
      <xdr:row>41</xdr:row>
      <xdr:rowOff>576786</xdr:rowOff>
    </xdr:from>
    <xdr:ext cx="459317" cy="459317"/>
    <xdr:pic>
      <xdr:nvPicPr>
        <xdr:cNvPr id="29" name="Graphic 28" descr="Open folder">
          <a:hlinkClick xmlns:r="http://schemas.openxmlformats.org/officeDocument/2006/relationships" r:id="rId8"/>
          <a:extLst>
            <a:ext uri="{FF2B5EF4-FFF2-40B4-BE49-F238E27FC236}">
              <a16:creationId xmlns:a16="http://schemas.microsoft.com/office/drawing/2014/main" id="{F67759F4-AB4F-440F-A787-9D88ABB1F2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73275" y="9339786"/>
          <a:ext cx="459317" cy="459317"/>
        </a:xfrm>
        <a:prstGeom prst="rect">
          <a:avLst/>
        </a:prstGeom>
      </xdr:spPr>
    </xdr:pic>
    <xdr:clientData/>
  </xdr:oneCellAnchor>
  <xdr:oneCellAnchor>
    <xdr:from>
      <xdr:col>14</xdr:col>
      <xdr:colOff>206904</xdr:colOff>
      <xdr:row>41</xdr:row>
      <xdr:rowOff>581020</xdr:rowOff>
    </xdr:from>
    <xdr:ext cx="459317" cy="459317"/>
    <xdr:pic>
      <xdr:nvPicPr>
        <xdr:cNvPr id="30" name="Graphic 29" descr="Open folder">
          <a:hlinkClick xmlns:r="http://schemas.openxmlformats.org/officeDocument/2006/relationships" r:id="rId9"/>
          <a:extLst>
            <a:ext uri="{FF2B5EF4-FFF2-40B4-BE49-F238E27FC236}">
              <a16:creationId xmlns:a16="http://schemas.microsoft.com/office/drawing/2014/main" id="{A2DC89F6-50E3-492C-98D6-D0E5BDB67C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502467" y="9344020"/>
          <a:ext cx="459317" cy="459317"/>
        </a:xfrm>
        <a:prstGeom prst="rect">
          <a:avLst/>
        </a:prstGeom>
      </xdr:spPr>
    </xdr:pic>
    <xdr:clientData/>
  </xdr:oneCellAnchor>
  <xdr:oneCellAnchor>
    <xdr:from>
      <xdr:col>15</xdr:col>
      <xdr:colOff>189971</xdr:colOff>
      <xdr:row>41</xdr:row>
      <xdr:rowOff>564087</xdr:rowOff>
    </xdr:from>
    <xdr:ext cx="459317" cy="459317"/>
    <xdr:pic>
      <xdr:nvPicPr>
        <xdr:cNvPr id="31" name="Graphic 30" descr="Open folder">
          <a:hlinkClick xmlns:r="http://schemas.openxmlformats.org/officeDocument/2006/relationships" r:id="rId10"/>
          <a:extLst>
            <a:ext uri="{FF2B5EF4-FFF2-40B4-BE49-F238E27FC236}">
              <a16:creationId xmlns:a16="http://schemas.microsoft.com/office/drawing/2014/main" id="{0E2EC272-DBE1-4C54-B48A-A4176AB2A0F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231659" y="9327087"/>
          <a:ext cx="459317" cy="459317"/>
        </a:xfrm>
        <a:prstGeom prst="rect">
          <a:avLst/>
        </a:prstGeom>
      </xdr:spPr>
    </xdr:pic>
    <xdr:clientData/>
  </xdr:oneCellAnchor>
  <xdr:oneCellAnchor>
    <xdr:from>
      <xdr:col>17</xdr:col>
      <xdr:colOff>202665</xdr:colOff>
      <xdr:row>41</xdr:row>
      <xdr:rowOff>523876</xdr:rowOff>
    </xdr:from>
    <xdr:ext cx="459317" cy="459317"/>
    <xdr:pic>
      <xdr:nvPicPr>
        <xdr:cNvPr id="32" name="Graphic 31" descr="Open folder">
          <a:hlinkClick xmlns:r="http://schemas.openxmlformats.org/officeDocument/2006/relationships" r:id="rId11"/>
          <a:extLst>
            <a:ext uri="{FF2B5EF4-FFF2-40B4-BE49-F238E27FC236}">
              <a16:creationId xmlns:a16="http://schemas.microsoft.com/office/drawing/2014/main" id="{46F7E9AD-FFA5-4E3D-B168-C4A09A43AF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736603" y="9286876"/>
          <a:ext cx="459317" cy="459317"/>
        </a:xfrm>
        <a:prstGeom prst="rect">
          <a:avLst/>
        </a:prstGeom>
      </xdr:spPr>
    </xdr:pic>
    <xdr:clientData/>
  </xdr:oneCellAnchor>
  <xdr:oneCellAnchor>
    <xdr:from>
      <xdr:col>10</xdr:col>
      <xdr:colOff>731082</xdr:colOff>
      <xdr:row>78</xdr:row>
      <xdr:rowOff>32502</xdr:rowOff>
    </xdr:from>
    <xdr:ext cx="184731" cy="264560"/>
    <xdr:sp macro="" textlink="">
      <xdr:nvSpPr>
        <xdr:cNvPr id="33" name="TextBox 32">
          <a:extLst>
            <a:ext uri="{FF2B5EF4-FFF2-40B4-BE49-F238E27FC236}">
              <a16:creationId xmlns:a16="http://schemas.microsoft.com/office/drawing/2014/main" id="{B68C9837-70DE-40F1-AE35-FBE6DD457EF5}"/>
            </a:ext>
          </a:extLst>
        </xdr:cNvPr>
        <xdr:cNvSpPr txBox="1"/>
      </xdr:nvSpPr>
      <xdr:spPr>
        <a:xfrm>
          <a:off x="13042145" y="176537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10</xdr:col>
      <xdr:colOff>202671</xdr:colOff>
      <xdr:row>76</xdr:row>
      <xdr:rowOff>582078</xdr:rowOff>
    </xdr:from>
    <xdr:to>
      <xdr:col>10</xdr:col>
      <xdr:colOff>661988</xdr:colOff>
      <xdr:row>77</xdr:row>
      <xdr:rowOff>454020</xdr:rowOff>
    </xdr:to>
    <xdr:pic>
      <xdr:nvPicPr>
        <xdr:cNvPr id="34" name="Graphic 33" descr="Open folder">
          <a:hlinkClick xmlns:r="http://schemas.openxmlformats.org/officeDocument/2006/relationships" r:id="rId1"/>
          <a:extLst>
            <a:ext uri="{FF2B5EF4-FFF2-40B4-BE49-F238E27FC236}">
              <a16:creationId xmlns:a16="http://schemas.microsoft.com/office/drawing/2014/main" id="{3406A7CF-56DC-4940-B299-1A634F2ED4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513734" y="17060328"/>
          <a:ext cx="459317" cy="459317"/>
        </a:xfrm>
        <a:prstGeom prst="rect">
          <a:avLst/>
        </a:prstGeom>
      </xdr:spPr>
    </xdr:pic>
    <xdr:clientData/>
  </xdr:twoCellAnchor>
  <xdr:oneCellAnchor>
    <xdr:from>
      <xdr:col>11</xdr:col>
      <xdr:colOff>149754</xdr:colOff>
      <xdr:row>76</xdr:row>
      <xdr:rowOff>571494</xdr:rowOff>
    </xdr:from>
    <xdr:ext cx="459317" cy="459317"/>
    <xdr:pic>
      <xdr:nvPicPr>
        <xdr:cNvPr id="35" name="Graphic 34" descr="Open folder">
          <a:hlinkClick xmlns:r="http://schemas.openxmlformats.org/officeDocument/2006/relationships" r:id="rId4"/>
          <a:extLst>
            <a:ext uri="{FF2B5EF4-FFF2-40B4-BE49-F238E27FC236}">
              <a16:creationId xmlns:a16="http://schemas.microsoft.com/office/drawing/2014/main" id="{285FFFCC-C27A-4379-96AD-4EB50CE0F8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06942" y="17049744"/>
          <a:ext cx="459317" cy="459317"/>
        </a:xfrm>
        <a:prstGeom prst="rect">
          <a:avLst/>
        </a:prstGeom>
      </xdr:spPr>
    </xdr:pic>
    <xdr:clientData/>
  </xdr:oneCellAnchor>
  <xdr:oneCellAnchor>
    <xdr:from>
      <xdr:col>12</xdr:col>
      <xdr:colOff>170921</xdr:colOff>
      <xdr:row>77</xdr:row>
      <xdr:rowOff>5286</xdr:rowOff>
    </xdr:from>
    <xdr:ext cx="459317" cy="459317"/>
    <xdr:pic>
      <xdr:nvPicPr>
        <xdr:cNvPr id="36" name="Graphic 35" descr="Open folder">
          <a:hlinkClick xmlns:r="http://schemas.openxmlformats.org/officeDocument/2006/relationships" r:id="rId5"/>
          <a:extLst>
            <a:ext uri="{FF2B5EF4-FFF2-40B4-BE49-F238E27FC236}">
              <a16:creationId xmlns:a16="http://schemas.microsoft.com/office/drawing/2014/main" id="{537029DF-A6E2-40E6-9485-C8E4311DD3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974234" y="17070911"/>
          <a:ext cx="459317" cy="459317"/>
        </a:xfrm>
        <a:prstGeom prst="rect">
          <a:avLst/>
        </a:prstGeom>
      </xdr:spPr>
    </xdr:pic>
    <xdr:clientData/>
  </xdr:oneCellAnchor>
  <xdr:oneCellAnchor>
    <xdr:from>
      <xdr:col>16</xdr:col>
      <xdr:colOff>181502</xdr:colOff>
      <xdr:row>76</xdr:row>
      <xdr:rowOff>560912</xdr:rowOff>
    </xdr:from>
    <xdr:ext cx="459317" cy="459317"/>
    <xdr:pic>
      <xdr:nvPicPr>
        <xdr:cNvPr id="37" name="Graphic 36" descr="Open folder">
          <a:hlinkClick xmlns:r="http://schemas.openxmlformats.org/officeDocument/2006/relationships" r:id="rId6"/>
          <a:extLst>
            <a:ext uri="{FF2B5EF4-FFF2-40B4-BE49-F238E27FC236}">
              <a16:creationId xmlns:a16="http://schemas.microsoft.com/office/drawing/2014/main" id="{8D75999B-585C-4CB0-A3B4-355263AEA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969315" y="17039162"/>
          <a:ext cx="459317" cy="459317"/>
        </a:xfrm>
        <a:prstGeom prst="rect">
          <a:avLst/>
        </a:prstGeom>
      </xdr:spPr>
    </xdr:pic>
    <xdr:clientData/>
  </xdr:oneCellAnchor>
  <xdr:twoCellAnchor editAs="oneCell">
    <xdr:from>
      <xdr:col>9</xdr:col>
      <xdr:colOff>96838</xdr:colOff>
      <xdr:row>77</xdr:row>
      <xdr:rowOff>47619</xdr:rowOff>
    </xdr:from>
    <xdr:to>
      <xdr:col>9</xdr:col>
      <xdr:colOff>556155</xdr:colOff>
      <xdr:row>77</xdr:row>
      <xdr:rowOff>501645</xdr:rowOff>
    </xdr:to>
    <xdr:pic>
      <xdr:nvPicPr>
        <xdr:cNvPr id="38" name="Graphic 37" descr="Open folder">
          <a:hlinkClick xmlns:r="http://schemas.openxmlformats.org/officeDocument/2006/relationships" r:id="rId7"/>
          <a:extLst>
            <a:ext uri="{FF2B5EF4-FFF2-40B4-BE49-F238E27FC236}">
              <a16:creationId xmlns:a16="http://schemas.microsoft.com/office/drawing/2014/main" id="{08C2EB70-393B-4D9D-AFFF-CEA653B001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796713" y="17113244"/>
          <a:ext cx="459317" cy="454026"/>
        </a:xfrm>
        <a:prstGeom prst="rect">
          <a:avLst/>
        </a:prstGeom>
      </xdr:spPr>
    </xdr:pic>
    <xdr:clientData/>
  </xdr:twoCellAnchor>
  <xdr:oneCellAnchor>
    <xdr:from>
      <xdr:col>13</xdr:col>
      <xdr:colOff>185737</xdr:colOff>
      <xdr:row>76</xdr:row>
      <xdr:rowOff>586311</xdr:rowOff>
    </xdr:from>
    <xdr:ext cx="459317" cy="459317"/>
    <xdr:pic>
      <xdr:nvPicPr>
        <xdr:cNvPr id="39" name="Graphic 38" descr="Open folder">
          <a:hlinkClick xmlns:r="http://schemas.openxmlformats.org/officeDocument/2006/relationships" r:id="rId8"/>
          <a:extLst>
            <a:ext uri="{FF2B5EF4-FFF2-40B4-BE49-F238E27FC236}">
              <a16:creationId xmlns:a16="http://schemas.microsoft.com/office/drawing/2014/main" id="{42C20A4A-A882-4457-811A-60B323AF53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35175" y="17064561"/>
          <a:ext cx="459317" cy="459317"/>
        </a:xfrm>
        <a:prstGeom prst="rect">
          <a:avLst/>
        </a:prstGeom>
      </xdr:spPr>
    </xdr:pic>
    <xdr:clientData/>
  </xdr:oneCellAnchor>
  <xdr:oneCellAnchor>
    <xdr:from>
      <xdr:col>14</xdr:col>
      <xdr:colOff>168804</xdr:colOff>
      <xdr:row>77</xdr:row>
      <xdr:rowOff>3170</xdr:rowOff>
    </xdr:from>
    <xdr:ext cx="459317" cy="459317"/>
    <xdr:pic>
      <xdr:nvPicPr>
        <xdr:cNvPr id="40" name="Graphic 39" descr="Open folder">
          <a:hlinkClick xmlns:r="http://schemas.openxmlformats.org/officeDocument/2006/relationships" r:id="rId9"/>
          <a:extLst>
            <a:ext uri="{FF2B5EF4-FFF2-40B4-BE49-F238E27FC236}">
              <a16:creationId xmlns:a16="http://schemas.microsoft.com/office/drawing/2014/main" id="{A4F3DD11-A688-4127-98D8-2A5BAA69F5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464367" y="17068795"/>
          <a:ext cx="459317" cy="459317"/>
        </a:xfrm>
        <a:prstGeom prst="rect">
          <a:avLst/>
        </a:prstGeom>
      </xdr:spPr>
    </xdr:pic>
    <xdr:clientData/>
  </xdr:oneCellAnchor>
  <xdr:oneCellAnchor>
    <xdr:from>
      <xdr:col>15</xdr:col>
      <xdr:colOff>151871</xdr:colOff>
      <xdr:row>76</xdr:row>
      <xdr:rowOff>573612</xdr:rowOff>
    </xdr:from>
    <xdr:ext cx="459317" cy="459317"/>
    <xdr:pic>
      <xdr:nvPicPr>
        <xdr:cNvPr id="41" name="Graphic 40" descr="Open folder">
          <a:hlinkClick xmlns:r="http://schemas.openxmlformats.org/officeDocument/2006/relationships" r:id="rId10"/>
          <a:extLst>
            <a:ext uri="{FF2B5EF4-FFF2-40B4-BE49-F238E27FC236}">
              <a16:creationId xmlns:a16="http://schemas.microsoft.com/office/drawing/2014/main" id="{936CA47F-886D-4661-B0C8-5DA480F7D6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193559" y="17051862"/>
          <a:ext cx="459317" cy="459317"/>
        </a:xfrm>
        <a:prstGeom prst="rect">
          <a:avLst/>
        </a:prstGeom>
      </xdr:spPr>
    </xdr:pic>
    <xdr:clientData/>
  </xdr:oneCellAnchor>
  <xdr:oneCellAnchor>
    <xdr:from>
      <xdr:col>17</xdr:col>
      <xdr:colOff>164565</xdr:colOff>
      <xdr:row>76</xdr:row>
      <xdr:rowOff>533401</xdr:rowOff>
    </xdr:from>
    <xdr:ext cx="459317" cy="459317"/>
    <xdr:pic>
      <xdr:nvPicPr>
        <xdr:cNvPr id="42" name="Graphic 41" descr="Open folder">
          <a:hlinkClick xmlns:r="http://schemas.openxmlformats.org/officeDocument/2006/relationships" r:id="rId11"/>
          <a:extLst>
            <a:ext uri="{FF2B5EF4-FFF2-40B4-BE49-F238E27FC236}">
              <a16:creationId xmlns:a16="http://schemas.microsoft.com/office/drawing/2014/main" id="{6089936A-C261-46A9-BBD5-164CCA429E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698503" y="17011651"/>
          <a:ext cx="459317" cy="459317"/>
        </a:xfrm>
        <a:prstGeom prst="rect">
          <a:avLst/>
        </a:prstGeom>
      </xdr:spPr>
    </xdr:pic>
    <xdr:clientData/>
  </xdr:oneCellAnchor>
  <xdr:oneCellAnchor>
    <xdr:from>
      <xdr:col>11</xdr:col>
      <xdr:colOff>42107</xdr:colOff>
      <xdr:row>113</xdr:row>
      <xdr:rowOff>73775</xdr:rowOff>
    </xdr:from>
    <xdr:ext cx="184731" cy="264560"/>
    <xdr:sp macro="" textlink="">
      <xdr:nvSpPr>
        <xdr:cNvPr id="43" name="TextBox 42">
          <a:extLst>
            <a:ext uri="{FF2B5EF4-FFF2-40B4-BE49-F238E27FC236}">
              <a16:creationId xmlns:a16="http://schemas.microsoft.com/office/drawing/2014/main" id="{89F8CAF3-5184-4657-8778-D775C1407DAE}"/>
            </a:ext>
          </a:extLst>
        </xdr:cNvPr>
        <xdr:cNvSpPr txBox="1"/>
      </xdr:nvSpPr>
      <xdr:spPr>
        <a:xfrm>
          <a:off x="13099295" y="25045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10</xdr:col>
      <xdr:colOff>259821</xdr:colOff>
      <xdr:row>112</xdr:row>
      <xdr:rowOff>35976</xdr:rowOff>
    </xdr:from>
    <xdr:to>
      <xdr:col>10</xdr:col>
      <xdr:colOff>700088</xdr:colOff>
      <xdr:row>112</xdr:row>
      <xdr:rowOff>495293</xdr:rowOff>
    </xdr:to>
    <xdr:pic>
      <xdr:nvPicPr>
        <xdr:cNvPr id="44" name="Graphic 43" descr="Open folder">
          <a:hlinkClick xmlns:r="http://schemas.openxmlformats.org/officeDocument/2006/relationships" r:id="rId1"/>
          <a:extLst>
            <a:ext uri="{FF2B5EF4-FFF2-40B4-BE49-F238E27FC236}">
              <a16:creationId xmlns:a16="http://schemas.microsoft.com/office/drawing/2014/main" id="{3AA04B08-0CA0-4A5E-8007-A29E77B02C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570884" y="24451726"/>
          <a:ext cx="459317" cy="459317"/>
        </a:xfrm>
        <a:prstGeom prst="rect">
          <a:avLst/>
        </a:prstGeom>
      </xdr:spPr>
    </xdr:pic>
    <xdr:clientData/>
  </xdr:twoCellAnchor>
  <xdr:oneCellAnchor>
    <xdr:from>
      <xdr:col>11</xdr:col>
      <xdr:colOff>206904</xdr:colOff>
      <xdr:row>112</xdr:row>
      <xdr:rowOff>25392</xdr:rowOff>
    </xdr:from>
    <xdr:ext cx="459317" cy="459317"/>
    <xdr:pic>
      <xdr:nvPicPr>
        <xdr:cNvPr id="45" name="Graphic 44" descr="Open folder">
          <a:hlinkClick xmlns:r="http://schemas.openxmlformats.org/officeDocument/2006/relationships" r:id="rId4"/>
          <a:extLst>
            <a:ext uri="{FF2B5EF4-FFF2-40B4-BE49-F238E27FC236}">
              <a16:creationId xmlns:a16="http://schemas.microsoft.com/office/drawing/2014/main" id="{4D07252D-364D-40BF-935E-138603009C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64092" y="24441142"/>
          <a:ext cx="459317" cy="459317"/>
        </a:xfrm>
        <a:prstGeom prst="rect">
          <a:avLst/>
        </a:prstGeom>
      </xdr:spPr>
    </xdr:pic>
    <xdr:clientData/>
  </xdr:oneCellAnchor>
  <xdr:oneCellAnchor>
    <xdr:from>
      <xdr:col>12</xdr:col>
      <xdr:colOff>228071</xdr:colOff>
      <xdr:row>112</xdr:row>
      <xdr:rowOff>46559</xdr:rowOff>
    </xdr:from>
    <xdr:ext cx="459317" cy="459317"/>
    <xdr:pic>
      <xdr:nvPicPr>
        <xdr:cNvPr id="46" name="Graphic 45" descr="Open folder">
          <a:hlinkClick xmlns:r="http://schemas.openxmlformats.org/officeDocument/2006/relationships" r:id="rId5"/>
          <a:extLst>
            <a:ext uri="{FF2B5EF4-FFF2-40B4-BE49-F238E27FC236}">
              <a16:creationId xmlns:a16="http://schemas.microsoft.com/office/drawing/2014/main" id="{2E29B74B-416D-43F1-AF06-A5CB9099AF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031384" y="24462309"/>
          <a:ext cx="459317" cy="459317"/>
        </a:xfrm>
        <a:prstGeom prst="rect">
          <a:avLst/>
        </a:prstGeom>
      </xdr:spPr>
    </xdr:pic>
    <xdr:clientData/>
  </xdr:oneCellAnchor>
  <xdr:oneCellAnchor>
    <xdr:from>
      <xdr:col>16</xdr:col>
      <xdr:colOff>238652</xdr:colOff>
      <xdr:row>112</xdr:row>
      <xdr:rowOff>14810</xdr:rowOff>
    </xdr:from>
    <xdr:ext cx="459317" cy="459317"/>
    <xdr:pic>
      <xdr:nvPicPr>
        <xdr:cNvPr id="47" name="Graphic 46" descr="Open folder">
          <a:hlinkClick xmlns:r="http://schemas.openxmlformats.org/officeDocument/2006/relationships" r:id="rId6"/>
          <a:extLst>
            <a:ext uri="{FF2B5EF4-FFF2-40B4-BE49-F238E27FC236}">
              <a16:creationId xmlns:a16="http://schemas.microsoft.com/office/drawing/2014/main" id="{2261267A-0707-40DA-A71C-EA2A8C6991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026465" y="24430560"/>
          <a:ext cx="459317" cy="459317"/>
        </a:xfrm>
        <a:prstGeom prst="rect">
          <a:avLst/>
        </a:prstGeom>
      </xdr:spPr>
    </xdr:pic>
    <xdr:clientData/>
  </xdr:oneCellAnchor>
  <xdr:twoCellAnchor editAs="oneCell">
    <xdr:from>
      <xdr:col>9</xdr:col>
      <xdr:colOff>153988</xdr:colOff>
      <xdr:row>112</xdr:row>
      <xdr:rowOff>88892</xdr:rowOff>
    </xdr:from>
    <xdr:to>
      <xdr:col>10</xdr:col>
      <xdr:colOff>2117</xdr:colOff>
      <xdr:row>112</xdr:row>
      <xdr:rowOff>542918</xdr:rowOff>
    </xdr:to>
    <xdr:pic>
      <xdr:nvPicPr>
        <xdr:cNvPr id="48" name="Graphic 47" descr="Open folder">
          <a:hlinkClick xmlns:r="http://schemas.openxmlformats.org/officeDocument/2006/relationships" r:id="rId7"/>
          <a:extLst>
            <a:ext uri="{FF2B5EF4-FFF2-40B4-BE49-F238E27FC236}">
              <a16:creationId xmlns:a16="http://schemas.microsoft.com/office/drawing/2014/main" id="{0D2EF89A-9D15-46A4-8E2D-C02D2A6BB6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853863" y="24504642"/>
          <a:ext cx="459317" cy="454026"/>
        </a:xfrm>
        <a:prstGeom prst="rect">
          <a:avLst/>
        </a:prstGeom>
      </xdr:spPr>
    </xdr:pic>
    <xdr:clientData/>
  </xdr:twoCellAnchor>
  <xdr:oneCellAnchor>
    <xdr:from>
      <xdr:col>13</xdr:col>
      <xdr:colOff>242887</xdr:colOff>
      <xdr:row>112</xdr:row>
      <xdr:rowOff>40209</xdr:rowOff>
    </xdr:from>
    <xdr:ext cx="459317" cy="459317"/>
    <xdr:pic>
      <xdr:nvPicPr>
        <xdr:cNvPr id="49" name="Graphic 48" descr="Open folder">
          <a:hlinkClick xmlns:r="http://schemas.openxmlformats.org/officeDocument/2006/relationships" r:id="rId8"/>
          <a:extLst>
            <a:ext uri="{FF2B5EF4-FFF2-40B4-BE49-F238E27FC236}">
              <a16:creationId xmlns:a16="http://schemas.microsoft.com/office/drawing/2014/main" id="{54712A22-7034-43A9-97E9-D3FC2E1D89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92325" y="24455959"/>
          <a:ext cx="459317" cy="459317"/>
        </a:xfrm>
        <a:prstGeom prst="rect">
          <a:avLst/>
        </a:prstGeom>
      </xdr:spPr>
    </xdr:pic>
    <xdr:clientData/>
  </xdr:oneCellAnchor>
  <xdr:oneCellAnchor>
    <xdr:from>
      <xdr:col>14</xdr:col>
      <xdr:colOff>225954</xdr:colOff>
      <xdr:row>112</xdr:row>
      <xdr:rowOff>44443</xdr:rowOff>
    </xdr:from>
    <xdr:ext cx="459317" cy="459317"/>
    <xdr:pic>
      <xdr:nvPicPr>
        <xdr:cNvPr id="50" name="Graphic 49" descr="Open folder">
          <a:hlinkClick xmlns:r="http://schemas.openxmlformats.org/officeDocument/2006/relationships" r:id="rId9"/>
          <a:extLst>
            <a:ext uri="{FF2B5EF4-FFF2-40B4-BE49-F238E27FC236}">
              <a16:creationId xmlns:a16="http://schemas.microsoft.com/office/drawing/2014/main" id="{34CDBA81-1093-4CC7-83EE-226329D483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521517" y="24460193"/>
          <a:ext cx="459317" cy="459317"/>
        </a:xfrm>
        <a:prstGeom prst="rect">
          <a:avLst/>
        </a:prstGeom>
      </xdr:spPr>
    </xdr:pic>
    <xdr:clientData/>
  </xdr:oneCellAnchor>
  <xdr:oneCellAnchor>
    <xdr:from>
      <xdr:col>15</xdr:col>
      <xdr:colOff>209021</xdr:colOff>
      <xdr:row>112</xdr:row>
      <xdr:rowOff>27510</xdr:rowOff>
    </xdr:from>
    <xdr:ext cx="459317" cy="459317"/>
    <xdr:pic>
      <xdr:nvPicPr>
        <xdr:cNvPr id="51" name="Graphic 50" descr="Open folder">
          <a:hlinkClick xmlns:r="http://schemas.openxmlformats.org/officeDocument/2006/relationships" r:id="rId10"/>
          <a:extLst>
            <a:ext uri="{FF2B5EF4-FFF2-40B4-BE49-F238E27FC236}">
              <a16:creationId xmlns:a16="http://schemas.microsoft.com/office/drawing/2014/main" id="{29D91F29-52B6-41B6-96BF-C455BF5CC2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250709" y="24443260"/>
          <a:ext cx="459317" cy="459317"/>
        </a:xfrm>
        <a:prstGeom prst="rect">
          <a:avLst/>
        </a:prstGeom>
      </xdr:spPr>
    </xdr:pic>
    <xdr:clientData/>
  </xdr:oneCellAnchor>
  <xdr:oneCellAnchor>
    <xdr:from>
      <xdr:col>17</xdr:col>
      <xdr:colOff>221715</xdr:colOff>
      <xdr:row>111</xdr:row>
      <xdr:rowOff>574674</xdr:rowOff>
    </xdr:from>
    <xdr:ext cx="459317" cy="459317"/>
    <xdr:pic>
      <xdr:nvPicPr>
        <xdr:cNvPr id="52" name="Graphic 51" descr="Open folder">
          <a:hlinkClick xmlns:r="http://schemas.openxmlformats.org/officeDocument/2006/relationships" r:id="rId11"/>
          <a:extLst>
            <a:ext uri="{FF2B5EF4-FFF2-40B4-BE49-F238E27FC236}">
              <a16:creationId xmlns:a16="http://schemas.microsoft.com/office/drawing/2014/main" id="{3D30D3ED-87FC-465C-84D7-2E79D3C500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755653" y="24403049"/>
          <a:ext cx="459317" cy="459317"/>
        </a:xfrm>
        <a:prstGeom prst="rect">
          <a:avLst/>
        </a:prstGeom>
      </xdr:spPr>
    </xdr:pic>
    <xdr:clientData/>
  </xdr:oneCellAnchor>
  <xdr:oneCellAnchor>
    <xdr:from>
      <xdr:col>11</xdr:col>
      <xdr:colOff>27820</xdr:colOff>
      <xdr:row>148</xdr:row>
      <xdr:rowOff>83300</xdr:rowOff>
    </xdr:from>
    <xdr:ext cx="184731" cy="264560"/>
    <xdr:sp macro="" textlink="">
      <xdr:nvSpPr>
        <xdr:cNvPr id="53" name="TextBox 52">
          <a:extLst>
            <a:ext uri="{FF2B5EF4-FFF2-40B4-BE49-F238E27FC236}">
              <a16:creationId xmlns:a16="http://schemas.microsoft.com/office/drawing/2014/main" id="{33DE81EC-40B2-41DA-B50C-23838C80F582}"/>
            </a:ext>
          </a:extLst>
        </xdr:cNvPr>
        <xdr:cNvSpPr txBox="1"/>
      </xdr:nvSpPr>
      <xdr:spPr>
        <a:xfrm>
          <a:off x="13085008" y="325873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10</xdr:col>
      <xdr:colOff>245534</xdr:colOff>
      <xdr:row>147</xdr:row>
      <xdr:rowOff>45501</xdr:rowOff>
    </xdr:from>
    <xdr:to>
      <xdr:col>10</xdr:col>
      <xdr:colOff>704851</xdr:colOff>
      <xdr:row>147</xdr:row>
      <xdr:rowOff>504818</xdr:rowOff>
    </xdr:to>
    <xdr:pic>
      <xdr:nvPicPr>
        <xdr:cNvPr id="54" name="Graphic 53" descr="Open folder">
          <a:hlinkClick xmlns:r="http://schemas.openxmlformats.org/officeDocument/2006/relationships" r:id="rId1"/>
          <a:extLst>
            <a:ext uri="{FF2B5EF4-FFF2-40B4-BE49-F238E27FC236}">
              <a16:creationId xmlns:a16="http://schemas.microsoft.com/office/drawing/2014/main" id="{19B8DC0E-3CC5-4773-BE81-C29CF32222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556597" y="31993939"/>
          <a:ext cx="459317" cy="459317"/>
        </a:xfrm>
        <a:prstGeom prst="rect">
          <a:avLst/>
        </a:prstGeom>
      </xdr:spPr>
    </xdr:pic>
    <xdr:clientData/>
  </xdr:twoCellAnchor>
  <xdr:oneCellAnchor>
    <xdr:from>
      <xdr:col>11</xdr:col>
      <xdr:colOff>192617</xdr:colOff>
      <xdr:row>147</xdr:row>
      <xdr:rowOff>34917</xdr:rowOff>
    </xdr:from>
    <xdr:ext cx="459317" cy="459317"/>
    <xdr:pic>
      <xdr:nvPicPr>
        <xdr:cNvPr id="55" name="Graphic 54" descr="Open folder">
          <a:hlinkClick xmlns:r="http://schemas.openxmlformats.org/officeDocument/2006/relationships" r:id="rId4"/>
          <a:extLst>
            <a:ext uri="{FF2B5EF4-FFF2-40B4-BE49-F238E27FC236}">
              <a16:creationId xmlns:a16="http://schemas.microsoft.com/office/drawing/2014/main" id="{445993D3-54A2-41F2-A623-9C5FFD86B7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49805" y="31983355"/>
          <a:ext cx="459317" cy="459317"/>
        </a:xfrm>
        <a:prstGeom prst="rect">
          <a:avLst/>
        </a:prstGeom>
      </xdr:spPr>
    </xdr:pic>
    <xdr:clientData/>
  </xdr:oneCellAnchor>
  <xdr:oneCellAnchor>
    <xdr:from>
      <xdr:col>12</xdr:col>
      <xdr:colOff>213784</xdr:colOff>
      <xdr:row>147</xdr:row>
      <xdr:rowOff>56084</xdr:rowOff>
    </xdr:from>
    <xdr:ext cx="459317" cy="459317"/>
    <xdr:pic>
      <xdr:nvPicPr>
        <xdr:cNvPr id="56" name="Graphic 55" descr="Open folder">
          <a:hlinkClick xmlns:r="http://schemas.openxmlformats.org/officeDocument/2006/relationships" r:id="rId5"/>
          <a:extLst>
            <a:ext uri="{FF2B5EF4-FFF2-40B4-BE49-F238E27FC236}">
              <a16:creationId xmlns:a16="http://schemas.microsoft.com/office/drawing/2014/main" id="{B1AF2AD4-7296-4D88-B17E-F0567C5C0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017097" y="32004522"/>
          <a:ext cx="459317" cy="459317"/>
        </a:xfrm>
        <a:prstGeom prst="rect">
          <a:avLst/>
        </a:prstGeom>
      </xdr:spPr>
    </xdr:pic>
    <xdr:clientData/>
  </xdr:oneCellAnchor>
  <xdr:oneCellAnchor>
    <xdr:from>
      <xdr:col>16</xdr:col>
      <xdr:colOff>224365</xdr:colOff>
      <xdr:row>147</xdr:row>
      <xdr:rowOff>24335</xdr:rowOff>
    </xdr:from>
    <xdr:ext cx="459317" cy="459317"/>
    <xdr:pic>
      <xdr:nvPicPr>
        <xdr:cNvPr id="57" name="Graphic 56" descr="Open folder">
          <a:hlinkClick xmlns:r="http://schemas.openxmlformats.org/officeDocument/2006/relationships" r:id="rId6"/>
          <a:extLst>
            <a:ext uri="{FF2B5EF4-FFF2-40B4-BE49-F238E27FC236}">
              <a16:creationId xmlns:a16="http://schemas.microsoft.com/office/drawing/2014/main" id="{D9F01C6A-EB3F-4218-BDCC-53E6F8609E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012178" y="31972773"/>
          <a:ext cx="459317" cy="459317"/>
        </a:xfrm>
        <a:prstGeom prst="rect">
          <a:avLst/>
        </a:prstGeom>
      </xdr:spPr>
    </xdr:pic>
    <xdr:clientData/>
  </xdr:oneCellAnchor>
  <xdr:twoCellAnchor editAs="oneCell">
    <xdr:from>
      <xdr:col>9</xdr:col>
      <xdr:colOff>139701</xdr:colOff>
      <xdr:row>147</xdr:row>
      <xdr:rowOff>98417</xdr:rowOff>
    </xdr:from>
    <xdr:to>
      <xdr:col>9</xdr:col>
      <xdr:colOff>579968</xdr:colOff>
      <xdr:row>147</xdr:row>
      <xdr:rowOff>552443</xdr:rowOff>
    </xdr:to>
    <xdr:pic>
      <xdr:nvPicPr>
        <xdr:cNvPr id="58" name="Graphic 57" descr="Open folder">
          <a:hlinkClick xmlns:r="http://schemas.openxmlformats.org/officeDocument/2006/relationships" r:id="rId7"/>
          <a:extLst>
            <a:ext uri="{FF2B5EF4-FFF2-40B4-BE49-F238E27FC236}">
              <a16:creationId xmlns:a16="http://schemas.microsoft.com/office/drawing/2014/main" id="{FD86A05A-5AEF-40F8-9566-9037E0BADD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839576" y="32046855"/>
          <a:ext cx="459317" cy="454026"/>
        </a:xfrm>
        <a:prstGeom prst="rect">
          <a:avLst/>
        </a:prstGeom>
      </xdr:spPr>
    </xdr:pic>
    <xdr:clientData/>
  </xdr:twoCellAnchor>
  <xdr:oneCellAnchor>
    <xdr:from>
      <xdr:col>13</xdr:col>
      <xdr:colOff>228600</xdr:colOff>
      <xdr:row>147</xdr:row>
      <xdr:rowOff>49734</xdr:rowOff>
    </xdr:from>
    <xdr:ext cx="459317" cy="459317"/>
    <xdr:pic>
      <xdr:nvPicPr>
        <xdr:cNvPr id="59" name="Graphic 58" descr="Open folder">
          <a:hlinkClick xmlns:r="http://schemas.openxmlformats.org/officeDocument/2006/relationships" r:id="rId8"/>
          <a:extLst>
            <a:ext uri="{FF2B5EF4-FFF2-40B4-BE49-F238E27FC236}">
              <a16:creationId xmlns:a16="http://schemas.microsoft.com/office/drawing/2014/main" id="{A315AD5D-2C04-4DE9-BA67-3C09B82144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78038" y="31998172"/>
          <a:ext cx="459317" cy="459317"/>
        </a:xfrm>
        <a:prstGeom prst="rect">
          <a:avLst/>
        </a:prstGeom>
      </xdr:spPr>
    </xdr:pic>
    <xdr:clientData/>
  </xdr:oneCellAnchor>
  <xdr:oneCellAnchor>
    <xdr:from>
      <xdr:col>14</xdr:col>
      <xdr:colOff>211667</xdr:colOff>
      <xdr:row>147</xdr:row>
      <xdr:rowOff>53968</xdr:rowOff>
    </xdr:from>
    <xdr:ext cx="459317" cy="459317"/>
    <xdr:pic>
      <xdr:nvPicPr>
        <xdr:cNvPr id="60" name="Graphic 59" descr="Open folder">
          <a:hlinkClick xmlns:r="http://schemas.openxmlformats.org/officeDocument/2006/relationships" r:id="rId9"/>
          <a:extLst>
            <a:ext uri="{FF2B5EF4-FFF2-40B4-BE49-F238E27FC236}">
              <a16:creationId xmlns:a16="http://schemas.microsoft.com/office/drawing/2014/main" id="{18DDD46A-961E-4D28-A7C6-BD39D5A4E5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507230" y="32002406"/>
          <a:ext cx="459317" cy="459317"/>
        </a:xfrm>
        <a:prstGeom prst="rect">
          <a:avLst/>
        </a:prstGeom>
      </xdr:spPr>
    </xdr:pic>
    <xdr:clientData/>
  </xdr:oneCellAnchor>
  <xdr:oneCellAnchor>
    <xdr:from>
      <xdr:col>15</xdr:col>
      <xdr:colOff>194734</xdr:colOff>
      <xdr:row>147</xdr:row>
      <xdr:rowOff>37035</xdr:rowOff>
    </xdr:from>
    <xdr:ext cx="459317" cy="459317"/>
    <xdr:pic>
      <xdr:nvPicPr>
        <xdr:cNvPr id="61" name="Graphic 60" descr="Open folder">
          <a:hlinkClick xmlns:r="http://schemas.openxmlformats.org/officeDocument/2006/relationships" r:id="rId10"/>
          <a:extLst>
            <a:ext uri="{FF2B5EF4-FFF2-40B4-BE49-F238E27FC236}">
              <a16:creationId xmlns:a16="http://schemas.microsoft.com/office/drawing/2014/main" id="{B27E81E9-E7A4-4A38-87B9-09F24E37DA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236422" y="31985473"/>
          <a:ext cx="459317" cy="459317"/>
        </a:xfrm>
        <a:prstGeom prst="rect">
          <a:avLst/>
        </a:prstGeom>
      </xdr:spPr>
    </xdr:pic>
    <xdr:clientData/>
  </xdr:oneCellAnchor>
  <xdr:oneCellAnchor>
    <xdr:from>
      <xdr:col>17</xdr:col>
      <xdr:colOff>207428</xdr:colOff>
      <xdr:row>146</xdr:row>
      <xdr:rowOff>584199</xdr:rowOff>
    </xdr:from>
    <xdr:ext cx="459317" cy="459317"/>
    <xdr:pic>
      <xdr:nvPicPr>
        <xdr:cNvPr id="62" name="Graphic 61" descr="Open folder">
          <a:hlinkClick xmlns:r="http://schemas.openxmlformats.org/officeDocument/2006/relationships" r:id="rId11"/>
          <a:extLst>
            <a:ext uri="{FF2B5EF4-FFF2-40B4-BE49-F238E27FC236}">
              <a16:creationId xmlns:a16="http://schemas.microsoft.com/office/drawing/2014/main" id="{B74C1641-D8EC-4974-9B70-E8B3799486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741366" y="31945262"/>
          <a:ext cx="459317" cy="459317"/>
        </a:xfrm>
        <a:prstGeom prst="rect">
          <a:avLst/>
        </a:prstGeom>
      </xdr:spPr>
    </xdr:pic>
    <xdr:clientData/>
  </xdr:oneCellAnchor>
  <xdr:oneCellAnchor>
    <xdr:from>
      <xdr:col>10</xdr:col>
      <xdr:colOff>735845</xdr:colOff>
      <xdr:row>183</xdr:row>
      <xdr:rowOff>100763</xdr:rowOff>
    </xdr:from>
    <xdr:ext cx="184731" cy="264560"/>
    <xdr:sp macro="" textlink="">
      <xdr:nvSpPr>
        <xdr:cNvPr id="63" name="TextBox 62">
          <a:extLst>
            <a:ext uri="{FF2B5EF4-FFF2-40B4-BE49-F238E27FC236}">
              <a16:creationId xmlns:a16="http://schemas.microsoft.com/office/drawing/2014/main" id="{7503042E-75B4-49FA-BCD4-EC236DA191EA}"/>
            </a:ext>
          </a:extLst>
        </xdr:cNvPr>
        <xdr:cNvSpPr txBox="1"/>
      </xdr:nvSpPr>
      <xdr:spPr>
        <a:xfrm>
          <a:off x="13046908" y="401375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10</xdr:col>
      <xdr:colOff>207434</xdr:colOff>
      <xdr:row>182</xdr:row>
      <xdr:rowOff>62964</xdr:rowOff>
    </xdr:from>
    <xdr:to>
      <xdr:col>10</xdr:col>
      <xdr:colOff>666751</xdr:colOff>
      <xdr:row>182</xdr:row>
      <xdr:rowOff>522281</xdr:rowOff>
    </xdr:to>
    <xdr:pic>
      <xdr:nvPicPr>
        <xdr:cNvPr id="64" name="Graphic 63" descr="Open folder">
          <a:hlinkClick xmlns:r="http://schemas.openxmlformats.org/officeDocument/2006/relationships" r:id="rId1"/>
          <a:extLst>
            <a:ext uri="{FF2B5EF4-FFF2-40B4-BE49-F238E27FC236}">
              <a16:creationId xmlns:a16="http://schemas.microsoft.com/office/drawing/2014/main" id="{B5D132DC-14E7-46E0-A240-76D4969B2F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518497" y="39544089"/>
          <a:ext cx="459317" cy="459317"/>
        </a:xfrm>
        <a:prstGeom prst="rect">
          <a:avLst/>
        </a:prstGeom>
      </xdr:spPr>
    </xdr:pic>
    <xdr:clientData/>
  </xdr:twoCellAnchor>
  <xdr:oneCellAnchor>
    <xdr:from>
      <xdr:col>11</xdr:col>
      <xdr:colOff>154517</xdr:colOff>
      <xdr:row>182</xdr:row>
      <xdr:rowOff>52380</xdr:rowOff>
    </xdr:from>
    <xdr:ext cx="459317" cy="459317"/>
    <xdr:pic>
      <xdr:nvPicPr>
        <xdr:cNvPr id="65" name="Graphic 64" descr="Open folder">
          <a:hlinkClick xmlns:r="http://schemas.openxmlformats.org/officeDocument/2006/relationships" r:id="rId4"/>
          <a:extLst>
            <a:ext uri="{FF2B5EF4-FFF2-40B4-BE49-F238E27FC236}">
              <a16:creationId xmlns:a16="http://schemas.microsoft.com/office/drawing/2014/main" id="{41546516-C599-4C1C-B65E-48AB214B6C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11705" y="39533505"/>
          <a:ext cx="459317" cy="459317"/>
        </a:xfrm>
        <a:prstGeom prst="rect">
          <a:avLst/>
        </a:prstGeom>
      </xdr:spPr>
    </xdr:pic>
    <xdr:clientData/>
  </xdr:oneCellAnchor>
  <xdr:oneCellAnchor>
    <xdr:from>
      <xdr:col>12</xdr:col>
      <xdr:colOff>175684</xdr:colOff>
      <xdr:row>182</xdr:row>
      <xdr:rowOff>73547</xdr:rowOff>
    </xdr:from>
    <xdr:ext cx="459317" cy="459317"/>
    <xdr:pic>
      <xdr:nvPicPr>
        <xdr:cNvPr id="66" name="Graphic 65" descr="Open folder">
          <a:hlinkClick xmlns:r="http://schemas.openxmlformats.org/officeDocument/2006/relationships" r:id="rId5"/>
          <a:extLst>
            <a:ext uri="{FF2B5EF4-FFF2-40B4-BE49-F238E27FC236}">
              <a16:creationId xmlns:a16="http://schemas.microsoft.com/office/drawing/2014/main" id="{9AE950E7-7FD3-4580-9260-BBF49557C7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978997" y="39554672"/>
          <a:ext cx="459317" cy="459317"/>
        </a:xfrm>
        <a:prstGeom prst="rect">
          <a:avLst/>
        </a:prstGeom>
      </xdr:spPr>
    </xdr:pic>
    <xdr:clientData/>
  </xdr:oneCellAnchor>
  <xdr:oneCellAnchor>
    <xdr:from>
      <xdr:col>16</xdr:col>
      <xdr:colOff>186265</xdr:colOff>
      <xdr:row>182</xdr:row>
      <xdr:rowOff>41798</xdr:rowOff>
    </xdr:from>
    <xdr:ext cx="459317" cy="459317"/>
    <xdr:pic>
      <xdr:nvPicPr>
        <xdr:cNvPr id="67" name="Graphic 66" descr="Open folder">
          <a:hlinkClick xmlns:r="http://schemas.openxmlformats.org/officeDocument/2006/relationships" r:id="rId6"/>
          <a:extLst>
            <a:ext uri="{FF2B5EF4-FFF2-40B4-BE49-F238E27FC236}">
              <a16:creationId xmlns:a16="http://schemas.microsoft.com/office/drawing/2014/main" id="{32653C10-790B-4C50-8361-EA96A184C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974078" y="39522923"/>
          <a:ext cx="459317" cy="459317"/>
        </a:xfrm>
        <a:prstGeom prst="rect">
          <a:avLst/>
        </a:prstGeom>
      </xdr:spPr>
    </xdr:pic>
    <xdr:clientData/>
  </xdr:oneCellAnchor>
  <xdr:twoCellAnchor editAs="oneCell">
    <xdr:from>
      <xdr:col>9</xdr:col>
      <xdr:colOff>101601</xdr:colOff>
      <xdr:row>182</xdr:row>
      <xdr:rowOff>115880</xdr:rowOff>
    </xdr:from>
    <xdr:to>
      <xdr:col>9</xdr:col>
      <xdr:colOff>560918</xdr:colOff>
      <xdr:row>183</xdr:row>
      <xdr:rowOff>14281</xdr:rowOff>
    </xdr:to>
    <xdr:pic>
      <xdr:nvPicPr>
        <xdr:cNvPr id="68" name="Graphic 67" descr="Open folder">
          <a:hlinkClick xmlns:r="http://schemas.openxmlformats.org/officeDocument/2006/relationships" r:id="rId7"/>
          <a:extLst>
            <a:ext uri="{FF2B5EF4-FFF2-40B4-BE49-F238E27FC236}">
              <a16:creationId xmlns:a16="http://schemas.microsoft.com/office/drawing/2014/main" id="{138A0600-AB72-4AF4-B9D1-0D7A51601A2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801476" y="39597005"/>
          <a:ext cx="459317" cy="454026"/>
        </a:xfrm>
        <a:prstGeom prst="rect">
          <a:avLst/>
        </a:prstGeom>
      </xdr:spPr>
    </xdr:pic>
    <xdr:clientData/>
  </xdr:twoCellAnchor>
  <xdr:oneCellAnchor>
    <xdr:from>
      <xdr:col>13</xdr:col>
      <xdr:colOff>190500</xdr:colOff>
      <xdr:row>182</xdr:row>
      <xdr:rowOff>67197</xdr:rowOff>
    </xdr:from>
    <xdr:ext cx="459317" cy="459317"/>
    <xdr:pic>
      <xdr:nvPicPr>
        <xdr:cNvPr id="69" name="Graphic 68" descr="Open folder">
          <a:hlinkClick xmlns:r="http://schemas.openxmlformats.org/officeDocument/2006/relationships" r:id="rId8"/>
          <a:extLst>
            <a:ext uri="{FF2B5EF4-FFF2-40B4-BE49-F238E27FC236}">
              <a16:creationId xmlns:a16="http://schemas.microsoft.com/office/drawing/2014/main" id="{A24607BD-171D-4268-BA5E-DF50176DAF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39938" y="39548322"/>
          <a:ext cx="459317" cy="459317"/>
        </a:xfrm>
        <a:prstGeom prst="rect">
          <a:avLst/>
        </a:prstGeom>
      </xdr:spPr>
    </xdr:pic>
    <xdr:clientData/>
  </xdr:oneCellAnchor>
  <xdr:oneCellAnchor>
    <xdr:from>
      <xdr:col>14</xdr:col>
      <xdr:colOff>173567</xdr:colOff>
      <xdr:row>182</xdr:row>
      <xdr:rowOff>71431</xdr:rowOff>
    </xdr:from>
    <xdr:ext cx="459317" cy="459317"/>
    <xdr:pic>
      <xdr:nvPicPr>
        <xdr:cNvPr id="70" name="Graphic 69" descr="Open folder">
          <a:hlinkClick xmlns:r="http://schemas.openxmlformats.org/officeDocument/2006/relationships" r:id="rId9"/>
          <a:extLst>
            <a:ext uri="{FF2B5EF4-FFF2-40B4-BE49-F238E27FC236}">
              <a16:creationId xmlns:a16="http://schemas.microsoft.com/office/drawing/2014/main" id="{7E5D3529-E868-46AB-BE9A-4D4604B809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469130" y="39552556"/>
          <a:ext cx="459317" cy="459317"/>
        </a:xfrm>
        <a:prstGeom prst="rect">
          <a:avLst/>
        </a:prstGeom>
      </xdr:spPr>
    </xdr:pic>
    <xdr:clientData/>
  </xdr:oneCellAnchor>
  <xdr:oneCellAnchor>
    <xdr:from>
      <xdr:col>15</xdr:col>
      <xdr:colOff>156634</xdr:colOff>
      <xdr:row>182</xdr:row>
      <xdr:rowOff>54498</xdr:rowOff>
    </xdr:from>
    <xdr:ext cx="459317" cy="459317"/>
    <xdr:pic>
      <xdr:nvPicPr>
        <xdr:cNvPr id="71" name="Graphic 70" descr="Open folder">
          <a:hlinkClick xmlns:r="http://schemas.openxmlformats.org/officeDocument/2006/relationships" r:id="rId10"/>
          <a:extLst>
            <a:ext uri="{FF2B5EF4-FFF2-40B4-BE49-F238E27FC236}">
              <a16:creationId xmlns:a16="http://schemas.microsoft.com/office/drawing/2014/main" id="{6D9AB4D9-FC30-441D-96E8-CEA5F91A3E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198322" y="39535623"/>
          <a:ext cx="459317" cy="459317"/>
        </a:xfrm>
        <a:prstGeom prst="rect">
          <a:avLst/>
        </a:prstGeom>
      </xdr:spPr>
    </xdr:pic>
    <xdr:clientData/>
  </xdr:oneCellAnchor>
  <xdr:oneCellAnchor>
    <xdr:from>
      <xdr:col>17</xdr:col>
      <xdr:colOff>169328</xdr:colOff>
      <xdr:row>182</xdr:row>
      <xdr:rowOff>14287</xdr:rowOff>
    </xdr:from>
    <xdr:ext cx="459317" cy="459317"/>
    <xdr:pic>
      <xdr:nvPicPr>
        <xdr:cNvPr id="72" name="Graphic 71" descr="Open folder">
          <a:hlinkClick xmlns:r="http://schemas.openxmlformats.org/officeDocument/2006/relationships" r:id="rId11"/>
          <a:extLst>
            <a:ext uri="{FF2B5EF4-FFF2-40B4-BE49-F238E27FC236}">
              <a16:creationId xmlns:a16="http://schemas.microsoft.com/office/drawing/2014/main" id="{DFDB00A4-44A2-4AE0-A07A-3B32757568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703266" y="39495412"/>
          <a:ext cx="459317" cy="459317"/>
        </a:xfrm>
        <a:prstGeom prst="rect">
          <a:avLst/>
        </a:prstGeom>
      </xdr:spPr>
    </xdr:pic>
    <xdr:clientData/>
  </xdr:oneCellAnchor>
  <xdr:oneCellAnchor>
    <xdr:from>
      <xdr:col>10</xdr:col>
      <xdr:colOff>713620</xdr:colOff>
      <xdr:row>218</xdr:row>
      <xdr:rowOff>102350</xdr:rowOff>
    </xdr:from>
    <xdr:ext cx="184731" cy="264560"/>
    <xdr:sp macro="" textlink="">
      <xdr:nvSpPr>
        <xdr:cNvPr id="73" name="TextBox 72">
          <a:extLst>
            <a:ext uri="{FF2B5EF4-FFF2-40B4-BE49-F238E27FC236}">
              <a16:creationId xmlns:a16="http://schemas.microsoft.com/office/drawing/2014/main" id="{FAB46131-DC7E-48DB-A51E-6436CBC3684D}"/>
            </a:ext>
          </a:extLst>
        </xdr:cNvPr>
        <xdr:cNvSpPr txBox="1"/>
      </xdr:nvSpPr>
      <xdr:spPr>
        <a:xfrm>
          <a:off x="13024683" y="476717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10</xdr:col>
      <xdr:colOff>185209</xdr:colOff>
      <xdr:row>217</xdr:row>
      <xdr:rowOff>64551</xdr:rowOff>
    </xdr:from>
    <xdr:to>
      <xdr:col>10</xdr:col>
      <xdr:colOff>644526</xdr:colOff>
      <xdr:row>217</xdr:row>
      <xdr:rowOff>523868</xdr:rowOff>
    </xdr:to>
    <xdr:pic>
      <xdr:nvPicPr>
        <xdr:cNvPr id="74" name="Graphic 73" descr="Open folder">
          <a:hlinkClick xmlns:r="http://schemas.openxmlformats.org/officeDocument/2006/relationships" r:id="rId1"/>
          <a:extLst>
            <a:ext uri="{FF2B5EF4-FFF2-40B4-BE49-F238E27FC236}">
              <a16:creationId xmlns:a16="http://schemas.microsoft.com/office/drawing/2014/main" id="{F2867420-CF67-4D87-B6CC-61B950C6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496272" y="47078364"/>
          <a:ext cx="459317" cy="459317"/>
        </a:xfrm>
        <a:prstGeom prst="rect">
          <a:avLst/>
        </a:prstGeom>
      </xdr:spPr>
    </xdr:pic>
    <xdr:clientData/>
  </xdr:twoCellAnchor>
  <xdr:oneCellAnchor>
    <xdr:from>
      <xdr:col>11</xdr:col>
      <xdr:colOff>132292</xdr:colOff>
      <xdr:row>217</xdr:row>
      <xdr:rowOff>53967</xdr:rowOff>
    </xdr:from>
    <xdr:ext cx="459317" cy="459317"/>
    <xdr:pic>
      <xdr:nvPicPr>
        <xdr:cNvPr id="75" name="Graphic 74" descr="Open folder">
          <a:hlinkClick xmlns:r="http://schemas.openxmlformats.org/officeDocument/2006/relationships" r:id="rId4"/>
          <a:extLst>
            <a:ext uri="{FF2B5EF4-FFF2-40B4-BE49-F238E27FC236}">
              <a16:creationId xmlns:a16="http://schemas.microsoft.com/office/drawing/2014/main" id="{2002AD9B-9EBA-46D9-9E29-F43E92C44D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189480" y="47067780"/>
          <a:ext cx="459317" cy="459317"/>
        </a:xfrm>
        <a:prstGeom prst="rect">
          <a:avLst/>
        </a:prstGeom>
      </xdr:spPr>
    </xdr:pic>
    <xdr:clientData/>
  </xdr:oneCellAnchor>
  <xdr:oneCellAnchor>
    <xdr:from>
      <xdr:col>12</xdr:col>
      <xdr:colOff>153459</xdr:colOff>
      <xdr:row>217</xdr:row>
      <xdr:rowOff>75134</xdr:rowOff>
    </xdr:from>
    <xdr:ext cx="459317" cy="459317"/>
    <xdr:pic>
      <xdr:nvPicPr>
        <xdr:cNvPr id="76" name="Graphic 75" descr="Open folder">
          <a:hlinkClick xmlns:r="http://schemas.openxmlformats.org/officeDocument/2006/relationships" r:id="rId5"/>
          <a:extLst>
            <a:ext uri="{FF2B5EF4-FFF2-40B4-BE49-F238E27FC236}">
              <a16:creationId xmlns:a16="http://schemas.microsoft.com/office/drawing/2014/main" id="{5A167C3E-B665-4848-AA27-5D3D23A94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956772" y="47088947"/>
          <a:ext cx="459317" cy="459317"/>
        </a:xfrm>
        <a:prstGeom prst="rect">
          <a:avLst/>
        </a:prstGeom>
      </xdr:spPr>
    </xdr:pic>
    <xdr:clientData/>
  </xdr:oneCellAnchor>
  <xdr:oneCellAnchor>
    <xdr:from>
      <xdr:col>16</xdr:col>
      <xdr:colOff>164040</xdr:colOff>
      <xdr:row>217</xdr:row>
      <xdr:rowOff>43385</xdr:rowOff>
    </xdr:from>
    <xdr:ext cx="459317" cy="459317"/>
    <xdr:pic>
      <xdr:nvPicPr>
        <xdr:cNvPr id="77" name="Graphic 76" descr="Open folder">
          <a:hlinkClick xmlns:r="http://schemas.openxmlformats.org/officeDocument/2006/relationships" r:id="rId6"/>
          <a:extLst>
            <a:ext uri="{FF2B5EF4-FFF2-40B4-BE49-F238E27FC236}">
              <a16:creationId xmlns:a16="http://schemas.microsoft.com/office/drawing/2014/main" id="{B2E58188-F4FC-4D9A-851F-007FB18054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951853" y="47057198"/>
          <a:ext cx="459317" cy="459317"/>
        </a:xfrm>
        <a:prstGeom prst="rect">
          <a:avLst/>
        </a:prstGeom>
      </xdr:spPr>
    </xdr:pic>
    <xdr:clientData/>
  </xdr:oneCellAnchor>
  <xdr:twoCellAnchor editAs="oneCell">
    <xdr:from>
      <xdr:col>9</xdr:col>
      <xdr:colOff>79376</xdr:colOff>
      <xdr:row>217</xdr:row>
      <xdr:rowOff>117467</xdr:rowOff>
    </xdr:from>
    <xdr:to>
      <xdr:col>9</xdr:col>
      <xdr:colOff>538693</xdr:colOff>
      <xdr:row>218</xdr:row>
      <xdr:rowOff>15868</xdr:rowOff>
    </xdr:to>
    <xdr:pic>
      <xdr:nvPicPr>
        <xdr:cNvPr id="78" name="Graphic 77" descr="Open folder">
          <a:hlinkClick xmlns:r="http://schemas.openxmlformats.org/officeDocument/2006/relationships" r:id="rId7"/>
          <a:extLst>
            <a:ext uri="{FF2B5EF4-FFF2-40B4-BE49-F238E27FC236}">
              <a16:creationId xmlns:a16="http://schemas.microsoft.com/office/drawing/2014/main" id="{F1D68084-E55F-4CBC-832A-DA6E634B66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779251" y="47131280"/>
          <a:ext cx="459317" cy="454026"/>
        </a:xfrm>
        <a:prstGeom prst="rect">
          <a:avLst/>
        </a:prstGeom>
      </xdr:spPr>
    </xdr:pic>
    <xdr:clientData/>
  </xdr:twoCellAnchor>
  <xdr:oneCellAnchor>
    <xdr:from>
      <xdr:col>13</xdr:col>
      <xdr:colOff>168275</xdr:colOff>
      <xdr:row>217</xdr:row>
      <xdr:rowOff>68784</xdr:rowOff>
    </xdr:from>
    <xdr:ext cx="459317" cy="459317"/>
    <xdr:pic>
      <xdr:nvPicPr>
        <xdr:cNvPr id="79" name="Graphic 78" descr="Open folder">
          <a:hlinkClick xmlns:r="http://schemas.openxmlformats.org/officeDocument/2006/relationships" r:id="rId8"/>
          <a:extLst>
            <a:ext uri="{FF2B5EF4-FFF2-40B4-BE49-F238E27FC236}">
              <a16:creationId xmlns:a16="http://schemas.microsoft.com/office/drawing/2014/main" id="{71A7C7AE-88EC-4EB7-9147-14DDC3242F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17713" y="47082597"/>
          <a:ext cx="459317" cy="459317"/>
        </a:xfrm>
        <a:prstGeom prst="rect">
          <a:avLst/>
        </a:prstGeom>
      </xdr:spPr>
    </xdr:pic>
    <xdr:clientData/>
  </xdr:oneCellAnchor>
  <xdr:oneCellAnchor>
    <xdr:from>
      <xdr:col>14</xdr:col>
      <xdr:colOff>151342</xdr:colOff>
      <xdr:row>217</xdr:row>
      <xdr:rowOff>73018</xdr:rowOff>
    </xdr:from>
    <xdr:ext cx="459317" cy="459317"/>
    <xdr:pic>
      <xdr:nvPicPr>
        <xdr:cNvPr id="80" name="Graphic 79" descr="Open folder">
          <a:hlinkClick xmlns:r="http://schemas.openxmlformats.org/officeDocument/2006/relationships" r:id="rId9"/>
          <a:extLst>
            <a:ext uri="{FF2B5EF4-FFF2-40B4-BE49-F238E27FC236}">
              <a16:creationId xmlns:a16="http://schemas.microsoft.com/office/drawing/2014/main" id="{25063DD7-215E-421A-A501-A950735DF5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446905" y="47086831"/>
          <a:ext cx="459317" cy="459317"/>
        </a:xfrm>
        <a:prstGeom prst="rect">
          <a:avLst/>
        </a:prstGeom>
      </xdr:spPr>
    </xdr:pic>
    <xdr:clientData/>
  </xdr:oneCellAnchor>
  <xdr:oneCellAnchor>
    <xdr:from>
      <xdr:col>15</xdr:col>
      <xdr:colOff>134409</xdr:colOff>
      <xdr:row>217</xdr:row>
      <xdr:rowOff>56085</xdr:rowOff>
    </xdr:from>
    <xdr:ext cx="459317" cy="459317"/>
    <xdr:pic>
      <xdr:nvPicPr>
        <xdr:cNvPr id="81" name="Graphic 80" descr="Open folder">
          <a:hlinkClick xmlns:r="http://schemas.openxmlformats.org/officeDocument/2006/relationships" r:id="rId10"/>
          <a:extLst>
            <a:ext uri="{FF2B5EF4-FFF2-40B4-BE49-F238E27FC236}">
              <a16:creationId xmlns:a16="http://schemas.microsoft.com/office/drawing/2014/main" id="{572F8B07-A8A7-4AFE-A7AF-C973CFD941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176097" y="47069898"/>
          <a:ext cx="459317" cy="459317"/>
        </a:xfrm>
        <a:prstGeom prst="rect">
          <a:avLst/>
        </a:prstGeom>
      </xdr:spPr>
    </xdr:pic>
    <xdr:clientData/>
  </xdr:oneCellAnchor>
  <xdr:oneCellAnchor>
    <xdr:from>
      <xdr:col>17</xdr:col>
      <xdr:colOff>147103</xdr:colOff>
      <xdr:row>217</xdr:row>
      <xdr:rowOff>15874</xdr:rowOff>
    </xdr:from>
    <xdr:ext cx="459317" cy="459317"/>
    <xdr:pic>
      <xdr:nvPicPr>
        <xdr:cNvPr id="82" name="Graphic 81" descr="Open folder">
          <a:hlinkClick xmlns:r="http://schemas.openxmlformats.org/officeDocument/2006/relationships" r:id="rId11"/>
          <a:extLst>
            <a:ext uri="{FF2B5EF4-FFF2-40B4-BE49-F238E27FC236}">
              <a16:creationId xmlns:a16="http://schemas.microsoft.com/office/drawing/2014/main" id="{170A4985-4F93-4292-87D4-EB46500F43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681041" y="47029687"/>
          <a:ext cx="459317" cy="459317"/>
        </a:xfrm>
        <a:prstGeom prst="rect">
          <a:avLst/>
        </a:prstGeom>
      </xdr:spPr>
    </xdr:pic>
    <xdr:clientData/>
  </xdr:oneCellAnchor>
  <xdr:oneCellAnchor>
    <xdr:from>
      <xdr:col>10</xdr:col>
      <xdr:colOff>739020</xdr:colOff>
      <xdr:row>253</xdr:row>
      <xdr:rowOff>64251</xdr:rowOff>
    </xdr:from>
    <xdr:ext cx="184731" cy="264560"/>
    <xdr:sp macro="" textlink="">
      <xdr:nvSpPr>
        <xdr:cNvPr id="83" name="TextBox 82">
          <a:extLst>
            <a:ext uri="{FF2B5EF4-FFF2-40B4-BE49-F238E27FC236}">
              <a16:creationId xmlns:a16="http://schemas.microsoft.com/office/drawing/2014/main" id="{9724423D-1BAD-4341-9592-EE64B02D7FA5}"/>
            </a:ext>
          </a:extLst>
        </xdr:cNvPr>
        <xdr:cNvSpPr txBox="1"/>
      </xdr:nvSpPr>
      <xdr:spPr>
        <a:xfrm>
          <a:off x="13050083" y="551663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10</xdr:col>
      <xdr:colOff>210609</xdr:colOff>
      <xdr:row>252</xdr:row>
      <xdr:rowOff>26452</xdr:rowOff>
    </xdr:from>
    <xdr:to>
      <xdr:col>10</xdr:col>
      <xdr:colOff>669926</xdr:colOff>
      <xdr:row>252</xdr:row>
      <xdr:rowOff>485769</xdr:rowOff>
    </xdr:to>
    <xdr:pic>
      <xdr:nvPicPr>
        <xdr:cNvPr id="84" name="Graphic 83" descr="Open folder">
          <a:hlinkClick xmlns:r="http://schemas.openxmlformats.org/officeDocument/2006/relationships" r:id="rId1"/>
          <a:extLst>
            <a:ext uri="{FF2B5EF4-FFF2-40B4-BE49-F238E27FC236}">
              <a16:creationId xmlns:a16="http://schemas.microsoft.com/office/drawing/2014/main" id="{BA898337-5B30-4AD2-9E3B-0587B4BCD4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521672" y="54572952"/>
          <a:ext cx="459317" cy="459317"/>
        </a:xfrm>
        <a:prstGeom prst="rect">
          <a:avLst/>
        </a:prstGeom>
      </xdr:spPr>
    </xdr:pic>
    <xdr:clientData/>
  </xdr:twoCellAnchor>
  <xdr:oneCellAnchor>
    <xdr:from>
      <xdr:col>11</xdr:col>
      <xdr:colOff>157692</xdr:colOff>
      <xdr:row>252</xdr:row>
      <xdr:rowOff>15868</xdr:rowOff>
    </xdr:from>
    <xdr:ext cx="459317" cy="459317"/>
    <xdr:pic>
      <xdr:nvPicPr>
        <xdr:cNvPr id="85" name="Graphic 84" descr="Open folder">
          <a:hlinkClick xmlns:r="http://schemas.openxmlformats.org/officeDocument/2006/relationships" r:id="rId4"/>
          <a:extLst>
            <a:ext uri="{FF2B5EF4-FFF2-40B4-BE49-F238E27FC236}">
              <a16:creationId xmlns:a16="http://schemas.microsoft.com/office/drawing/2014/main" id="{A0E2BBD0-AAE5-4DC0-8096-AB040FF302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14880" y="54562368"/>
          <a:ext cx="459317" cy="459317"/>
        </a:xfrm>
        <a:prstGeom prst="rect">
          <a:avLst/>
        </a:prstGeom>
      </xdr:spPr>
    </xdr:pic>
    <xdr:clientData/>
  </xdr:oneCellAnchor>
  <xdr:oneCellAnchor>
    <xdr:from>
      <xdr:col>12</xdr:col>
      <xdr:colOff>178859</xdr:colOff>
      <xdr:row>252</xdr:row>
      <xdr:rowOff>37035</xdr:rowOff>
    </xdr:from>
    <xdr:ext cx="459317" cy="459317"/>
    <xdr:pic>
      <xdr:nvPicPr>
        <xdr:cNvPr id="86" name="Graphic 85" descr="Open folder">
          <a:hlinkClick xmlns:r="http://schemas.openxmlformats.org/officeDocument/2006/relationships" r:id="rId5"/>
          <a:extLst>
            <a:ext uri="{FF2B5EF4-FFF2-40B4-BE49-F238E27FC236}">
              <a16:creationId xmlns:a16="http://schemas.microsoft.com/office/drawing/2014/main" id="{F964D8AC-8EEA-4AB6-ADDB-61CE261E42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982172" y="54583535"/>
          <a:ext cx="459317" cy="459317"/>
        </a:xfrm>
        <a:prstGeom prst="rect">
          <a:avLst/>
        </a:prstGeom>
      </xdr:spPr>
    </xdr:pic>
    <xdr:clientData/>
  </xdr:oneCellAnchor>
  <xdr:oneCellAnchor>
    <xdr:from>
      <xdr:col>16</xdr:col>
      <xdr:colOff>189440</xdr:colOff>
      <xdr:row>252</xdr:row>
      <xdr:rowOff>5286</xdr:rowOff>
    </xdr:from>
    <xdr:ext cx="459317" cy="459317"/>
    <xdr:pic>
      <xdr:nvPicPr>
        <xdr:cNvPr id="87" name="Graphic 86" descr="Open folder">
          <a:hlinkClick xmlns:r="http://schemas.openxmlformats.org/officeDocument/2006/relationships" r:id="rId6"/>
          <a:extLst>
            <a:ext uri="{FF2B5EF4-FFF2-40B4-BE49-F238E27FC236}">
              <a16:creationId xmlns:a16="http://schemas.microsoft.com/office/drawing/2014/main" id="{FE041294-8F1E-454F-8BAD-ACEE80A7A5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977253" y="54551786"/>
          <a:ext cx="459317" cy="459317"/>
        </a:xfrm>
        <a:prstGeom prst="rect">
          <a:avLst/>
        </a:prstGeom>
      </xdr:spPr>
    </xdr:pic>
    <xdr:clientData/>
  </xdr:oneCellAnchor>
  <xdr:twoCellAnchor editAs="oneCell">
    <xdr:from>
      <xdr:col>9</xdr:col>
      <xdr:colOff>104776</xdr:colOff>
      <xdr:row>252</xdr:row>
      <xdr:rowOff>79368</xdr:rowOff>
    </xdr:from>
    <xdr:to>
      <xdr:col>9</xdr:col>
      <xdr:colOff>564093</xdr:colOff>
      <xdr:row>252</xdr:row>
      <xdr:rowOff>533394</xdr:rowOff>
    </xdr:to>
    <xdr:pic>
      <xdr:nvPicPr>
        <xdr:cNvPr id="88" name="Graphic 87" descr="Open folder">
          <a:hlinkClick xmlns:r="http://schemas.openxmlformats.org/officeDocument/2006/relationships" r:id="rId7"/>
          <a:extLst>
            <a:ext uri="{FF2B5EF4-FFF2-40B4-BE49-F238E27FC236}">
              <a16:creationId xmlns:a16="http://schemas.microsoft.com/office/drawing/2014/main" id="{5D8D110C-C487-4600-AB22-BA4B48FBB0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804651" y="54625868"/>
          <a:ext cx="459317" cy="454026"/>
        </a:xfrm>
        <a:prstGeom prst="rect">
          <a:avLst/>
        </a:prstGeom>
      </xdr:spPr>
    </xdr:pic>
    <xdr:clientData/>
  </xdr:twoCellAnchor>
  <xdr:oneCellAnchor>
    <xdr:from>
      <xdr:col>13</xdr:col>
      <xdr:colOff>193675</xdr:colOff>
      <xdr:row>252</xdr:row>
      <xdr:rowOff>30685</xdr:rowOff>
    </xdr:from>
    <xdr:ext cx="459317" cy="459317"/>
    <xdr:pic>
      <xdr:nvPicPr>
        <xdr:cNvPr id="89" name="Graphic 88" descr="Open folder">
          <a:hlinkClick xmlns:r="http://schemas.openxmlformats.org/officeDocument/2006/relationships" r:id="rId8"/>
          <a:extLst>
            <a:ext uri="{FF2B5EF4-FFF2-40B4-BE49-F238E27FC236}">
              <a16:creationId xmlns:a16="http://schemas.microsoft.com/office/drawing/2014/main" id="{FDA743C3-A211-40C5-9F00-AE755E9FAC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43113" y="54577185"/>
          <a:ext cx="459317" cy="459317"/>
        </a:xfrm>
        <a:prstGeom prst="rect">
          <a:avLst/>
        </a:prstGeom>
      </xdr:spPr>
    </xdr:pic>
    <xdr:clientData/>
  </xdr:oneCellAnchor>
  <xdr:oneCellAnchor>
    <xdr:from>
      <xdr:col>14</xdr:col>
      <xdr:colOff>176742</xdr:colOff>
      <xdr:row>252</xdr:row>
      <xdr:rowOff>34919</xdr:rowOff>
    </xdr:from>
    <xdr:ext cx="459317" cy="459317"/>
    <xdr:pic>
      <xdr:nvPicPr>
        <xdr:cNvPr id="90" name="Graphic 89" descr="Open folder">
          <a:hlinkClick xmlns:r="http://schemas.openxmlformats.org/officeDocument/2006/relationships" r:id="rId9"/>
          <a:extLst>
            <a:ext uri="{FF2B5EF4-FFF2-40B4-BE49-F238E27FC236}">
              <a16:creationId xmlns:a16="http://schemas.microsoft.com/office/drawing/2014/main" id="{78FFEA30-7E1E-4B7F-8D2D-95118BD582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472305" y="54581419"/>
          <a:ext cx="459317" cy="459317"/>
        </a:xfrm>
        <a:prstGeom prst="rect">
          <a:avLst/>
        </a:prstGeom>
      </xdr:spPr>
    </xdr:pic>
    <xdr:clientData/>
  </xdr:oneCellAnchor>
  <xdr:oneCellAnchor>
    <xdr:from>
      <xdr:col>15</xdr:col>
      <xdr:colOff>159809</xdr:colOff>
      <xdr:row>252</xdr:row>
      <xdr:rowOff>17986</xdr:rowOff>
    </xdr:from>
    <xdr:ext cx="459317" cy="459317"/>
    <xdr:pic>
      <xdr:nvPicPr>
        <xdr:cNvPr id="91" name="Graphic 90" descr="Open folder">
          <a:hlinkClick xmlns:r="http://schemas.openxmlformats.org/officeDocument/2006/relationships" r:id="rId10"/>
          <a:extLst>
            <a:ext uri="{FF2B5EF4-FFF2-40B4-BE49-F238E27FC236}">
              <a16:creationId xmlns:a16="http://schemas.microsoft.com/office/drawing/2014/main" id="{C904B5C7-7DB3-4E72-9ADB-98EB63B4AA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201497" y="54564486"/>
          <a:ext cx="459317" cy="459317"/>
        </a:xfrm>
        <a:prstGeom prst="rect">
          <a:avLst/>
        </a:prstGeom>
      </xdr:spPr>
    </xdr:pic>
    <xdr:clientData/>
  </xdr:oneCellAnchor>
  <xdr:oneCellAnchor>
    <xdr:from>
      <xdr:col>17</xdr:col>
      <xdr:colOff>172503</xdr:colOff>
      <xdr:row>251</xdr:row>
      <xdr:rowOff>565150</xdr:rowOff>
    </xdr:from>
    <xdr:ext cx="459317" cy="459317"/>
    <xdr:pic>
      <xdr:nvPicPr>
        <xdr:cNvPr id="92" name="Graphic 91" descr="Open folder">
          <a:hlinkClick xmlns:r="http://schemas.openxmlformats.org/officeDocument/2006/relationships" r:id="rId11"/>
          <a:extLst>
            <a:ext uri="{FF2B5EF4-FFF2-40B4-BE49-F238E27FC236}">
              <a16:creationId xmlns:a16="http://schemas.microsoft.com/office/drawing/2014/main" id="{780E7A06-919F-44CA-AE49-5DC066B6DD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706441" y="54524275"/>
          <a:ext cx="459317" cy="459317"/>
        </a:xfrm>
        <a:prstGeom prst="rect">
          <a:avLst/>
        </a:prstGeom>
      </xdr:spPr>
    </xdr:pic>
    <xdr:clientData/>
  </xdr:oneCellAnchor>
  <xdr:oneCellAnchor>
    <xdr:from>
      <xdr:col>10</xdr:col>
      <xdr:colOff>732670</xdr:colOff>
      <xdr:row>288</xdr:row>
      <xdr:rowOff>34088</xdr:rowOff>
    </xdr:from>
    <xdr:ext cx="184731" cy="264560"/>
    <xdr:sp macro="" textlink="">
      <xdr:nvSpPr>
        <xdr:cNvPr id="93" name="TextBox 92">
          <a:extLst>
            <a:ext uri="{FF2B5EF4-FFF2-40B4-BE49-F238E27FC236}">
              <a16:creationId xmlns:a16="http://schemas.microsoft.com/office/drawing/2014/main" id="{45326CA5-5E03-4176-85CB-677CB02EAEF2}"/>
            </a:ext>
          </a:extLst>
        </xdr:cNvPr>
        <xdr:cNvSpPr txBox="1"/>
      </xdr:nvSpPr>
      <xdr:spPr>
        <a:xfrm>
          <a:off x="13043733" y="626689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10</xdr:col>
      <xdr:colOff>204259</xdr:colOff>
      <xdr:row>286</xdr:row>
      <xdr:rowOff>583664</xdr:rowOff>
    </xdr:from>
    <xdr:to>
      <xdr:col>10</xdr:col>
      <xdr:colOff>663576</xdr:colOff>
      <xdr:row>287</xdr:row>
      <xdr:rowOff>455606</xdr:rowOff>
    </xdr:to>
    <xdr:pic>
      <xdr:nvPicPr>
        <xdr:cNvPr id="94" name="Graphic 93" descr="Open folder">
          <a:hlinkClick xmlns:r="http://schemas.openxmlformats.org/officeDocument/2006/relationships" r:id="rId1"/>
          <a:extLst>
            <a:ext uri="{FF2B5EF4-FFF2-40B4-BE49-F238E27FC236}">
              <a16:creationId xmlns:a16="http://schemas.microsoft.com/office/drawing/2014/main" id="{1960E3DA-7D1B-4B30-93DB-84C811CF68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515322" y="62075477"/>
          <a:ext cx="459317" cy="459317"/>
        </a:xfrm>
        <a:prstGeom prst="rect">
          <a:avLst/>
        </a:prstGeom>
      </xdr:spPr>
    </xdr:pic>
    <xdr:clientData/>
  </xdr:twoCellAnchor>
  <xdr:oneCellAnchor>
    <xdr:from>
      <xdr:col>11</xdr:col>
      <xdr:colOff>151342</xdr:colOff>
      <xdr:row>286</xdr:row>
      <xdr:rowOff>573080</xdr:rowOff>
    </xdr:from>
    <xdr:ext cx="459317" cy="459317"/>
    <xdr:pic>
      <xdr:nvPicPr>
        <xdr:cNvPr id="95" name="Graphic 94" descr="Open folder">
          <a:hlinkClick xmlns:r="http://schemas.openxmlformats.org/officeDocument/2006/relationships" r:id="rId4"/>
          <a:extLst>
            <a:ext uri="{FF2B5EF4-FFF2-40B4-BE49-F238E27FC236}">
              <a16:creationId xmlns:a16="http://schemas.microsoft.com/office/drawing/2014/main" id="{E867DB03-545A-49E2-93B6-7BC249D802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208530" y="62064893"/>
          <a:ext cx="459317" cy="459317"/>
        </a:xfrm>
        <a:prstGeom prst="rect">
          <a:avLst/>
        </a:prstGeom>
      </xdr:spPr>
    </xdr:pic>
    <xdr:clientData/>
  </xdr:oneCellAnchor>
  <xdr:oneCellAnchor>
    <xdr:from>
      <xdr:col>12</xdr:col>
      <xdr:colOff>172509</xdr:colOff>
      <xdr:row>287</xdr:row>
      <xdr:rowOff>6872</xdr:rowOff>
    </xdr:from>
    <xdr:ext cx="459317" cy="459317"/>
    <xdr:pic>
      <xdr:nvPicPr>
        <xdr:cNvPr id="96" name="Graphic 95" descr="Open folder">
          <a:hlinkClick xmlns:r="http://schemas.openxmlformats.org/officeDocument/2006/relationships" r:id="rId5"/>
          <a:extLst>
            <a:ext uri="{FF2B5EF4-FFF2-40B4-BE49-F238E27FC236}">
              <a16:creationId xmlns:a16="http://schemas.microsoft.com/office/drawing/2014/main" id="{D6F3F3EE-5893-4203-A037-AFAE636D12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3975822" y="62086060"/>
          <a:ext cx="459317" cy="459317"/>
        </a:xfrm>
        <a:prstGeom prst="rect">
          <a:avLst/>
        </a:prstGeom>
      </xdr:spPr>
    </xdr:pic>
    <xdr:clientData/>
  </xdr:oneCellAnchor>
  <xdr:oneCellAnchor>
    <xdr:from>
      <xdr:col>16</xdr:col>
      <xdr:colOff>183090</xdr:colOff>
      <xdr:row>286</xdr:row>
      <xdr:rowOff>562498</xdr:rowOff>
    </xdr:from>
    <xdr:ext cx="459317" cy="459317"/>
    <xdr:pic>
      <xdr:nvPicPr>
        <xdr:cNvPr id="97" name="Graphic 96" descr="Open folder">
          <a:hlinkClick xmlns:r="http://schemas.openxmlformats.org/officeDocument/2006/relationships" r:id="rId6"/>
          <a:extLst>
            <a:ext uri="{FF2B5EF4-FFF2-40B4-BE49-F238E27FC236}">
              <a16:creationId xmlns:a16="http://schemas.microsoft.com/office/drawing/2014/main" id="{A48BF4DA-6B95-4ABF-A829-15789F5891E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970903" y="62054311"/>
          <a:ext cx="459317" cy="459317"/>
        </a:xfrm>
        <a:prstGeom prst="rect">
          <a:avLst/>
        </a:prstGeom>
      </xdr:spPr>
    </xdr:pic>
    <xdr:clientData/>
  </xdr:oneCellAnchor>
  <xdr:twoCellAnchor editAs="oneCell">
    <xdr:from>
      <xdr:col>9</xdr:col>
      <xdr:colOff>98426</xdr:colOff>
      <xdr:row>287</xdr:row>
      <xdr:rowOff>49205</xdr:rowOff>
    </xdr:from>
    <xdr:to>
      <xdr:col>9</xdr:col>
      <xdr:colOff>557743</xdr:colOff>
      <xdr:row>287</xdr:row>
      <xdr:rowOff>503231</xdr:rowOff>
    </xdr:to>
    <xdr:pic>
      <xdr:nvPicPr>
        <xdr:cNvPr id="98" name="Graphic 97" descr="Open folder">
          <a:hlinkClick xmlns:r="http://schemas.openxmlformats.org/officeDocument/2006/relationships" r:id="rId7"/>
          <a:extLst>
            <a:ext uri="{FF2B5EF4-FFF2-40B4-BE49-F238E27FC236}">
              <a16:creationId xmlns:a16="http://schemas.microsoft.com/office/drawing/2014/main" id="{749E40FA-D709-4EF9-9C1C-8FD33C27E2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798301" y="62128393"/>
          <a:ext cx="459317" cy="454026"/>
        </a:xfrm>
        <a:prstGeom prst="rect">
          <a:avLst/>
        </a:prstGeom>
      </xdr:spPr>
    </xdr:pic>
    <xdr:clientData/>
  </xdr:twoCellAnchor>
  <xdr:oneCellAnchor>
    <xdr:from>
      <xdr:col>13</xdr:col>
      <xdr:colOff>187325</xdr:colOff>
      <xdr:row>287</xdr:row>
      <xdr:rowOff>522</xdr:rowOff>
    </xdr:from>
    <xdr:ext cx="459317" cy="459317"/>
    <xdr:pic>
      <xdr:nvPicPr>
        <xdr:cNvPr id="99" name="Graphic 98" descr="Open folder">
          <a:hlinkClick xmlns:r="http://schemas.openxmlformats.org/officeDocument/2006/relationships" r:id="rId8"/>
          <a:extLst>
            <a:ext uri="{FF2B5EF4-FFF2-40B4-BE49-F238E27FC236}">
              <a16:creationId xmlns:a16="http://schemas.microsoft.com/office/drawing/2014/main" id="{EB39CF99-D931-44BA-9368-972D774928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736763" y="62079710"/>
          <a:ext cx="459317" cy="459317"/>
        </a:xfrm>
        <a:prstGeom prst="rect">
          <a:avLst/>
        </a:prstGeom>
      </xdr:spPr>
    </xdr:pic>
    <xdr:clientData/>
  </xdr:oneCellAnchor>
  <xdr:oneCellAnchor>
    <xdr:from>
      <xdr:col>14</xdr:col>
      <xdr:colOff>170392</xdr:colOff>
      <xdr:row>287</xdr:row>
      <xdr:rowOff>4756</xdr:rowOff>
    </xdr:from>
    <xdr:ext cx="459317" cy="459317"/>
    <xdr:pic>
      <xdr:nvPicPr>
        <xdr:cNvPr id="100" name="Graphic 99" descr="Open folder">
          <a:hlinkClick xmlns:r="http://schemas.openxmlformats.org/officeDocument/2006/relationships" r:id="rId9"/>
          <a:extLst>
            <a:ext uri="{FF2B5EF4-FFF2-40B4-BE49-F238E27FC236}">
              <a16:creationId xmlns:a16="http://schemas.microsoft.com/office/drawing/2014/main" id="{73001B72-8834-4447-BCB0-926915C438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465955" y="62083944"/>
          <a:ext cx="459317" cy="459317"/>
        </a:xfrm>
        <a:prstGeom prst="rect">
          <a:avLst/>
        </a:prstGeom>
      </xdr:spPr>
    </xdr:pic>
    <xdr:clientData/>
  </xdr:oneCellAnchor>
  <xdr:oneCellAnchor>
    <xdr:from>
      <xdr:col>15</xdr:col>
      <xdr:colOff>153459</xdr:colOff>
      <xdr:row>286</xdr:row>
      <xdr:rowOff>575198</xdr:rowOff>
    </xdr:from>
    <xdr:ext cx="459317" cy="459317"/>
    <xdr:pic>
      <xdr:nvPicPr>
        <xdr:cNvPr id="101" name="Graphic 100" descr="Open folder">
          <a:hlinkClick xmlns:r="http://schemas.openxmlformats.org/officeDocument/2006/relationships" r:id="rId10"/>
          <a:extLst>
            <a:ext uri="{FF2B5EF4-FFF2-40B4-BE49-F238E27FC236}">
              <a16:creationId xmlns:a16="http://schemas.microsoft.com/office/drawing/2014/main" id="{CE2B8F6C-68A7-42D8-8E02-3D2514F431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195147" y="62067011"/>
          <a:ext cx="459317" cy="459317"/>
        </a:xfrm>
        <a:prstGeom prst="rect">
          <a:avLst/>
        </a:prstGeom>
      </xdr:spPr>
    </xdr:pic>
    <xdr:clientData/>
  </xdr:oneCellAnchor>
  <xdr:oneCellAnchor>
    <xdr:from>
      <xdr:col>17</xdr:col>
      <xdr:colOff>166153</xdr:colOff>
      <xdr:row>286</xdr:row>
      <xdr:rowOff>534987</xdr:rowOff>
    </xdr:from>
    <xdr:ext cx="459317" cy="459317"/>
    <xdr:pic>
      <xdr:nvPicPr>
        <xdr:cNvPr id="102" name="Graphic 101" descr="Open folder">
          <a:hlinkClick xmlns:r="http://schemas.openxmlformats.org/officeDocument/2006/relationships" r:id="rId11"/>
          <a:extLst>
            <a:ext uri="{FF2B5EF4-FFF2-40B4-BE49-F238E27FC236}">
              <a16:creationId xmlns:a16="http://schemas.microsoft.com/office/drawing/2014/main" id="{DCC2CDD7-6F1A-4B39-979A-CC3CA34A9D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700091" y="62026800"/>
          <a:ext cx="459317" cy="45931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1384300</xdr:colOff>
      <xdr:row>32</xdr:row>
      <xdr:rowOff>152400</xdr:rowOff>
    </xdr:from>
    <xdr:to>
      <xdr:col>2</xdr:col>
      <xdr:colOff>1651000</xdr:colOff>
      <xdr:row>34</xdr:row>
      <xdr:rowOff>50800</xdr:rowOff>
    </xdr:to>
    <xdr:pic>
      <xdr:nvPicPr>
        <xdr:cNvPr id="3" name="Graphic 2" descr="Open folder">
          <a:extLst>
            <a:ext uri="{FF2B5EF4-FFF2-40B4-BE49-F238E27FC236}">
              <a16:creationId xmlns:a16="http://schemas.microsoft.com/office/drawing/2014/main" id="{B08FBAFE-4A21-4FCC-BBA2-2A70A947F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98700" y="5435600"/>
          <a:ext cx="266700" cy="266700"/>
        </a:xfrm>
        <a:prstGeom prst="rect">
          <a:avLst/>
        </a:prstGeom>
      </xdr:spPr>
    </xdr:pic>
    <xdr:clientData/>
  </xdr:twoCellAnchor>
</xdr:wsDr>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67062-E6C0-498B-BB1A-343AE0A8B2F3}">
  <sheetPr>
    <pageSetUpPr fitToPage="1"/>
  </sheetPr>
  <dimension ref="A1:R314"/>
  <sheetViews>
    <sheetView tabSelected="1" view="pageBreakPreview" zoomScale="70" zoomScaleNormal="85" zoomScaleSheetLayoutView="70" workbookViewId="0">
      <selection activeCell="G5" sqref="G5:H5"/>
    </sheetView>
  </sheetViews>
  <sheetFormatPr defaultRowHeight="15" x14ac:dyDescent="0.25"/>
  <cols>
    <col min="1" max="1" width="14.5703125" style="1" customWidth="1"/>
    <col min="2" max="2" width="1.140625" style="1" customWidth="1"/>
    <col min="3" max="3" width="30.85546875" style="1" customWidth="1"/>
    <col min="4" max="4" width="26" style="1" customWidth="1"/>
    <col min="5" max="5" width="46.28515625" style="1" customWidth="1"/>
    <col min="6" max="6" width="1.140625" style="1" customWidth="1"/>
    <col min="7" max="7" width="14.5703125" style="1" customWidth="1"/>
    <col min="8" max="8" width="23.85546875" style="1" customWidth="1"/>
    <col min="10" max="10" width="8.7109375" customWidth="1"/>
    <col min="11" max="18" width="10.5703125" style="12" customWidth="1"/>
  </cols>
  <sheetData>
    <row r="1" spans="1:18" ht="15.75" x14ac:dyDescent="0.25">
      <c r="A1" s="178" t="s">
        <v>3421</v>
      </c>
      <c r="B1" s="178"/>
      <c r="C1" s="178"/>
      <c r="D1" s="178"/>
      <c r="E1" s="178"/>
      <c r="F1" s="178"/>
      <c r="G1" s="178"/>
      <c r="H1" s="178"/>
    </row>
    <row r="2" spans="1:18" ht="15.75" x14ac:dyDescent="0.25">
      <c r="A2" s="178" t="s">
        <v>0</v>
      </c>
      <c r="B2" s="178"/>
      <c r="C2" s="178"/>
      <c r="D2" s="178"/>
      <c r="E2" s="178"/>
      <c r="F2" s="178"/>
      <c r="G2" s="178"/>
      <c r="H2" s="178"/>
    </row>
    <row r="3" spans="1:18" ht="15.75" x14ac:dyDescent="0.25">
      <c r="A3" s="178" t="s">
        <v>3422</v>
      </c>
      <c r="B3" s="178"/>
      <c r="C3" s="178"/>
      <c r="D3" s="178"/>
      <c r="E3" s="178"/>
      <c r="F3" s="178"/>
      <c r="G3" s="178"/>
      <c r="H3" s="178"/>
    </row>
    <row r="4" spans="1:18" ht="9" customHeight="1" thickBot="1" x14ac:dyDescent="0.3">
      <c r="A4" s="4"/>
      <c r="B4" s="4"/>
      <c r="C4" s="4"/>
      <c r="D4" s="4"/>
      <c r="E4" s="4"/>
      <c r="F4" s="4"/>
      <c r="G4" s="4"/>
      <c r="H4" s="4"/>
    </row>
    <row r="5" spans="1:18" ht="18" customHeight="1" x14ac:dyDescent="0.25">
      <c r="A5" s="139" t="s">
        <v>8</v>
      </c>
      <c r="B5" s="140" t="s">
        <v>6</v>
      </c>
      <c r="C5" s="183" t="str">
        <f>VLOOKUP(J7,Kegiatan!$A$3:$K$717,2,TRUE)</f>
        <v>D-III Akuntansi PSDKU Kediri-1</v>
      </c>
      <c r="D5" s="185"/>
      <c r="E5" s="141" t="s">
        <v>9</v>
      </c>
      <c r="F5" s="140" t="s">
        <v>6</v>
      </c>
      <c r="G5" s="183" t="s">
        <v>3122</v>
      </c>
      <c r="H5" s="184"/>
      <c r="J5" s="210" t="s">
        <v>3298</v>
      </c>
      <c r="K5" s="211"/>
      <c r="L5" s="211"/>
      <c r="M5" s="211"/>
      <c r="N5" s="211"/>
      <c r="O5" s="211"/>
      <c r="P5" s="211"/>
      <c r="Q5" s="211"/>
      <c r="R5" s="212"/>
    </row>
    <row r="6" spans="1:18" s="3" customFormat="1" ht="24" thickBot="1" x14ac:dyDescent="0.3">
      <c r="A6" s="142" t="s">
        <v>14</v>
      </c>
      <c r="B6" s="6" t="s">
        <v>6</v>
      </c>
      <c r="C6" s="179"/>
      <c r="D6" s="179"/>
      <c r="E6" s="10" t="s">
        <v>3424</v>
      </c>
      <c r="F6" s="6" t="s">
        <v>7</v>
      </c>
      <c r="G6" s="179">
        <v>2025</v>
      </c>
      <c r="H6" s="180"/>
      <c r="J6" s="153">
        <v>1</v>
      </c>
      <c r="K6" s="154">
        <v>2</v>
      </c>
      <c r="L6" s="154">
        <v>3</v>
      </c>
      <c r="M6" s="154">
        <v>4</v>
      </c>
      <c r="N6" s="154">
        <v>5</v>
      </c>
      <c r="O6" s="154">
        <v>6</v>
      </c>
      <c r="P6" s="154">
        <v>7</v>
      </c>
      <c r="Q6" s="154">
        <v>8</v>
      </c>
      <c r="R6" s="155">
        <v>9</v>
      </c>
    </row>
    <row r="7" spans="1:18" s="23" customFormat="1" ht="46.35" customHeight="1" thickTop="1" x14ac:dyDescent="0.25">
      <c r="A7" s="143" t="s">
        <v>1</v>
      </c>
      <c r="B7" s="9" t="s">
        <v>6</v>
      </c>
      <c r="C7" s="176" t="str">
        <f>VLOOKUP(J7,Kegiatan!$A$3:$K$717,3,TRUE)</f>
        <v>Focus Group Discussion Kurikulum Merdeka Belajar Kampus Merdeka (MBKM) - Lanjutan - D-III Akuntansi PSDKU Kediri</v>
      </c>
      <c r="D7" s="176"/>
      <c r="E7" s="176"/>
      <c r="F7" s="9"/>
      <c r="G7" s="9"/>
      <c r="H7" s="144"/>
      <c r="J7" s="156">
        <v>36</v>
      </c>
      <c r="K7" s="157">
        <v>0</v>
      </c>
      <c r="L7" s="158">
        <v>0</v>
      </c>
      <c r="M7" s="157">
        <v>0</v>
      </c>
      <c r="N7" s="158">
        <v>0</v>
      </c>
      <c r="O7" s="157">
        <v>0</v>
      </c>
      <c r="P7" s="158">
        <v>0</v>
      </c>
      <c r="Q7" s="157">
        <v>0</v>
      </c>
      <c r="R7" s="159"/>
    </row>
    <row r="8" spans="1:18" s="3" customFormat="1" ht="44.45" customHeight="1" thickBot="1" x14ac:dyDescent="0.3">
      <c r="A8" s="145" t="s">
        <v>5</v>
      </c>
      <c r="B8" s="5" t="s">
        <v>6</v>
      </c>
      <c r="C8" s="176" t="str">
        <f>VLOOKUP(J7,Kegiatan!$A$3:$K$717,10,TRUE)</f>
        <v>Karena keterbatasan kemampuan SDM dalam mengembangkan kurikulum berbasis MBKM di Prodi D3 Akuntansi Kampus Kediri mungkin proses pengajaran berbasis kurikulum MBKM tidak maksimal, sehingga pengajaran berbasis kurikulum MBKM tidak berjalan</v>
      </c>
      <c r="D8" s="176"/>
      <c r="E8" s="176"/>
      <c r="F8" s="176"/>
      <c r="G8" s="176"/>
      <c r="H8" s="177"/>
      <c r="J8" s="160"/>
      <c r="K8" s="161"/>
      <c r="L8" s="161"/>
      <c r="M8" s="161"/>
      <c r="N8" s="161"/>
      <c r="O8" s="161"/>
      <c r="P8" s="161"/>
      <c r="Q8" s="161"/>
      <c r="R8" s="162"/>
    </row>
    <row r="9" spans="1:18" s="3" customFormat="1" ht="27.95" customHeight="1" x14ac:dyDescent="0.25">
      <c r="A9" s="146" t="s">
        <v>2</v>
      </c>
      <c r="B9" s="7" t="s">
        <v>6</v>
      </c>
      <c r="C9" s="181" t="str">
        <f>VLOOKUP(J7,Kegiatan!$A$3:$K$717,7,TRUE)</f>
        <v>HIGH</v>
      </c>
      <c r="D9" s="181"/>
      <c r="E9" s="8" t="s">
        <v>3300</v>
      </c>
      <c r="F9" s="7" t="s">
        <v>7</v>
      </c>
      <c r="G9" s="181" t="s">
        <v>3432</v>
      </c>
      <c r="H9" s="182"/>
      <c r="K9" s="12"/>
      <c r="L9" s="12"/>
      <c r="M9" s="12"/>
      <c r="N9" s="12"/>
      <c r="O9" s="12"/>
      <c r="P9" s="12"/>
      <c r="Q9" s="12"/>
      <c r="R9" s="12"/>
    </row>
    <row r="10" spans="1:18" x14ac:dyDescent="0.25">
      <c r="A10" s="147"/>
      <c r="H10" s="137"/>
      <c r="J10" t="s">
        <v>3433</v>
      </c>
    </row>
    <row r="11" spans="1:18" s="3" customFormat="1" ht="18" customHeight="1" x14ac:dyDescent="0.25">
      <c r="A11" s="171" t="s">
        <v>3</v>
      </c>
      <c r="B11" s="172"/>
      <c r="C11" s="173"/>
      <c r="D11" s="148" t="s">
        <v>4</v>
      </c>
      <c r="E11" s="174" t="s">
        <v>13</v>
      </c>
      <c r="F11" s="172"/>
      <c r="G11" s="172"/>
      <c r="H11" s="175"/>
      <c r="J11" t="s">
        <v>3457</v>
      </c>
      <c r="K11" s="12"/>
      <c r="L11" s="12"/>
      <c r="M11" s="12"/>
      <c r="N11" s="12"/>
      <c r="O11" s="12"/>
      <c r="P11" s="12"/>
      <c r="Q11" s="12"/>
      <c r="R11" s="12"/>
    </row>
    <row r="12" spans="1:18" ht="14.45" customHeight="1" x14ac:dyDescent="0.25">
      <c r="A12" s="246" t="str">
        <f>VLOOKUP(J7,Kegiatan!$A$3:$K$717,11,TRUE)</f>
        <v>Untuk mengatasi resiko yang mungkin terjadi, maka cara mengendalikan dampaknya adalah: mengikuti sosialisasi online atau menunggu kampus pusat untuk mengadakan sosialisasi tentang kurikulum merdeka belajar.</v>
      </c>
      <c r="B12" s="247"/>
      <c r="C12" s="248"/>
      <c r="D12" s="255" t="s">
        <v>3423</v>
      </c>
      <c r="E12" s="256" t="s">
        <v>3460</v>
      </c>
      <c r="F12" s="256"/>
      <c r="G12" s="256"/>
      <c r="H12" s="257"/>
      <c r="J12" s="170" t="s">
        <v>3440</v>
      </c>
    </row>
    <row r="13" spans="1:18" x14ac:dyDescent="0.25">
      <c r="A13" s="249"/>
      <c r="B13" s="250"/>
      <c r="C13" s="251"/>
      <c r="D13" s="258"/>
      <c r="E13" s="259"/>
      <c r="F13" s="259"/>
      <c r="G13" s="259"/>
      <c r="H13" s="260"/>
      <c r="J13" t="s">
        <v>3434</v>
      </c>
    </row>
    <row r="14" spans="1:18" x14ac:dyDescent="0.25">
      <c r="A14" s="249"/>
      <c r="B14" s="250"/>
      <c r="C14" s="251"/>
      <c r="D14" s="258"/>
      <c r="E14" s="259"/>
      <c r="F14" s="259"/>
      <c r="G14" s="259"/>
      <c r="H14" s="260"/>
      <c r="J14" t="s">
        <v>3435</v>
      </c>
    </row>
    <row r="15" spans="1:18" x14ac:dyDescent="0.25">
      <c r="A15" s="249"/>
      <c r="B15" s="250"/>
      <c r="C15" s="251"/>
      <c r="D15" s="258"/>
      <c r="E15" s="259"/>
      <c r="F15" s="259"/>
      <c r="G15" s="259"/>
      <c r="H15" s="260"/>
      <c r="J15" t="s">
        <v>3436</v>
      </c>
    </row>
    <row r="16" spans="1:18" x14ac:dyDescent="0.25">
      <c r="A16" s="249"/>
      <c r="B16" s="250"/>
      <c r="C16" s="251"/>
      <c r="D16" s="261" t="str">
        <f>IF(D12="Menerima Risiko","","Unit Penerima Risiko")</f>
        <v/>
      </c>
      <c r="E16" s="259"/>
      <c r="F16" s="259"/>
      <c r="G16" s="259"/>
      <c r="H16" s="260"/>
      <c r="J16" t="s">
        <v>3437</v>
      </c>
    </row>
    <row r="17" spans="1:10" x14ac:dyDescent="0.25">
      <c r="A17" s="249"/>
      <c r="B17" s="250"/>
      <c r="C17" s="251"/>
      <c r="D17" s="262"/>
      <c r="E17" s="259"/>
      <c r="F17" s="259"/>
      <c r="G17" s="259"/>
      <c r="H17" s="260"/>
      <c r="J17" t="s">
        <v>3438</v>
      </c>
    </row>
    <row r="18" spans="1:10" x14ac:dyDescent="0.25">
      <c r="A18" s="249"/>
      <c r="B18" s="250"/>
      <c r="C18" s="251"/>
      <c r="D18" s="262"/>
      <c r="E18" s="259"/>
      <c r="F18" s="259"/>
      <c r="G18" s="259"/>
      <c r="H18" s="260"/>
      <c r="J18" t="s">
        <v>3439</v>
      </c>
    </row>
    <row r="19" spans="1:10" x14ac:dyDescent="0.25">
      <c r="A19" s="249"/>
      <c r="B19" s="250"/>
      <c r="C19" s="251"/>
      <c r="D19" s="262"/>
      <c r="E19" s="259"/>
      <c r="F19" s="259"/>
      <c r="G19" s="259"/>
      <c r="H19" s="260"/>
      <c r="J19" s="170" t="s">
        <v>3441</v>
      </c>
    </row>
    <row r="20" spans="1:10" x14ac:dyDescent="0.25">
      <c r="A20" s="249"/>
      <c r="B20" s="250"/>
      <c r="C20" s="251"/>
      <c r="D20" s="261" t="s">
        <v>3371</v>
      </c>
      <c r="E20" s="259"/>
      <c r="F20" s="259"/>
      <c r="G20" s="259"/>
      <c r="H20" s="260"/>
      <c r="J20" t="s">
        <v>3442</v>
      </c>
    </row>
    <row r="21" spans="1:10" x14ac:dyDescent="0.25">
      <c r="A21" s="249"/>
      <c r="B21" s="250"/>
      <c r="C21" s="251"/>
      <c r="D21" s="263" t="s">
        <v>3372</v>
      </c>
      <c r="E21" s="259"/>
      <c r="F21" s="259"/>
      <c r="G21" s="259"/>
      <c r="H21" s="260"/>
      <c r="J21" t="s">
        <v>3443</v>
      </c>
    </row>
    <row r="22" spans="1:10" x14ac:dyDescent="0.25">
      <c r="A22" s="249"/>
      <c r="B22" s="250"/>
      <c r="C22" s="251"/>
      <c r="D22" s="263" t="s">
        <v>3372</v>
      </c>
      <c r="E22" s="259"/>
      <c r="F22" s="259"/>
      <c r="G22" s="259"/>
      <c r="H22" s="260"/>
      <c r="J22" t="s">
        <v>3444</v>
      </c>
    </row>
    <row r="23" spans="1:10" ht="15.75" thickBot="1" x14ac:dyDescent="0.3">
      <c r="A23" s="252"/>
      <c r="B23" s="253"/>
      <c r="C23" s="254"/>
      <c r="D23" s="264" t="s">
        <v>3372</v>
      </c>
      <c r="E23" s="265"/>
      <c r="F23" s="265"/>
      <c r="G23" s="265"/>
      <c r="H23" s="266"/>
      <c r="J23" s="170" t="s">
        <v>3445</v>
      </c>
    </row>
    <row r="24" spans="1:10" x14ac:dyDescent="0.25">
      <c r="J24" t="s">
        <v>3446</v>
      </c>
    </row>
    <row r="25" spans="1:10" x14ac:dyDescent="0.25">
      <c r="J25" t="s">
        <v>3447</v>
      </c>
    </row>
    <row r="26" spans="1:10" x14ac:dyDescent="0.25">
      <c r="G26" s="1" t="s">
        <v>3427</v>
      </c>
      <c r="H26" s="24">
        <f>G6</f>
        <v>2025</v>
      </c>
      <c r="J26" t="s">
        <v>3456</v>
      </c>
    </row>
    <row r="27" spans="1:10" x14ac:dyDescent="0.25">
      <c r="C27" s="2" t="s">
        <v>12</v>
      </c>
      <c r="G27" s="2" t="s">
        <v>10</v>
      </c>
      <c r="J27" s="170" t="s">
        <v>3448</v>
      </c>
    </row>
    <row r="28" spans="1:10" x14ac:dyDescent="0.25">
      <c r="J28" t="s">
        <v>3449</v>
      </c>
    </row>
    <row r="29" spans="1:10" x14ac:dyDescent="0.25">
      <c r="J29" t="s">
        <v>3450</v>
      </c>
    </row>
    <row r="30" spans="1:10" x14ac:dyDescent="0.25">
      <c r="J30" s="170" t="s">
        <v>3451</v>
      </c>
    </row>
    <row r="31" spans="1:10" x14ac:dyDescent="0.25">
      <c r="J31" t="s">
        <v>3452</v>
      </c>
    </row>
    <row r="32" spans="1:10" x14ac:dyDescent="0.25">
      <c r="G32" s="25" t="str">
        <f>G5</f>
        <v>Usman Nurhasan, S.Kom., M.T.</v>
      </c>
      <c r="J32" t="s">
        <v>3453</v>
      </c>
    </row>
    <row r="33" spans="1:18" x14ac:dyDescent="0.25">
      <c r="G33" s="24" t="str">
        <f>IF(G32="Dr. Drs. Sumiadji, Ak., M.SA.","NIP. 196405121993031001",IF(G32="Usman Nurhasan, S.Kom., M.T.","NIP. 198909162014042001",IF(G32="Ir. Wahiddin, S.T., MT.IPM.ASEAN Eng.","NIP. 197312072003121001",IF(G32="Dr. Ir. Azam Muzakhim Imammuddin, M.T.","NIP. 196705041994031004",IF(G32="Dr. Atik Andhayani, S.E., MSA.","NIP. 197505032009032001",IF(G32="Lina Budiarti, S.E., M.M.","NIP. 198609232015041001",IF(G32="Drs. Mufid M.T.","NIP. 196408221994031001",IF(G32="Lis Diana Mustafa, S.T., M.T.","NIP. 197805052001122003"))))))))</f>
        <v>NIP. 198909162014042001</v>
      </c>
      <c r="J33" t="s">
        <v>3454</v>
      </c>
    </row>
    <row r="34" spans="1:18" x14ac:dyDescent="0.25">
      <c r="J34" t="s">
        <v>3455</v>
      </c>
    </row>
    <row r="36" spans="1:18" ht="15.75" x14ac:dyDescent="0.25">
      <c r="A36" s="178" t="s">
        <v>3421</v>
      </c>
      <c r="B36" s="178"/>
      <c r="C36" s="178"/>
      <c r="D36" s="178"/>
      <c r="E36" s="178"/>
      <c r="F36" s="178"/>
      <c r="G36" s="178"/>
      <c r="H36" s="178"/>
    </row>
    <row r="37" spans="1:18" ht="15.75" x14ac:dyDescent="0.25">
      <c r="A37" s="178" t="s">
        <v>0</v>
      </c>
      <c r="B37" s="178"/>
      <c r="C37" s="178"/>
      <c r="D37" s="178"/>
      <c r="E37" s="178"/>
      <c r="F37" s="178"/>
      <c r="G37" s="178"/>
      <c r="H37" s="178"/>
    </row>
    <row r="38" spans="1:18" ht="15.75" x14ac:dyDescent="0.25">
      <c r="A38" s="178" t="s">
        <v>3422</v>
      </c>
      <c r="B38" s="178"/>
      <c r="C38" s="178"/>
      <c r="D38" s="178"/>
      <c r="E38" s="178"/>
      <c r="F38" s="178"/>
      <c r="G38" s="178"/>
      <c r="H38" s="178"/>
    </row>
    <row r="39" spans="1:18" ht="9" customHeight="1" thickBot="1" x14ac:dyDescent="0.3">
      <c r="A39" s="4"/>
      <c r="B39" s="4"/>
      <c r="C39" s="4"/>
      <c r="D39" s="4"/>
      <c r="E39" s="4"/>
      <c r="F39" s="4"/>
      <c r="G39" s="4"/>
      <c r="H39" s="4"/>
    </row>
    <row r="40" spans="1:18" ht="18" customHeight="1" x14ac:dyDescent="0.25">
      <c r="A40" s="139" t="s">
        <v>8</v>
      </c>
      <c r="B40" s="140" t="s">
        <v>6</v>
      </c>
      <c r="C40" s="183" t="e">
        <f>VLOOKUP(K42,Kegiatan!$A$3:$K$717,2,TRUE)</f>
        <v>#N/A</v>
      </c>
      <c r="D40" s="185"/>
      <c r="E40" s="141" t="s">
        <v>9</v>
      </c>
      <c r="F40" s="140" t="s">
        <v>6</v>
      </c>
      <c r="G40" s="183" t="s">
        <v>3122</v>
      </c>
      <c r="H40" s="184"/>
      <c r="J40" s="209" t="s">
        <v>3298</v>
      </c>
      <c r="K40" s="209"/>
      <c r="L40" s="209"/>
      <c r="M40" s="209"/>
      <c r="N40" s="209"/>
      <c r="O40" s="209"/>
      <c r="P40" s="209"/>
      <c r="Q40" s="209"/>
      <c r="R40" s="209"/>
    </row>
    <row r="41" spans="1:18" s="3" customFormat="1" ht="23.25" x14ac:dyDescent="0.25">
      <c r="A41" s="142" t="s">
        <v>14</v>
      </c>
      <c r="B41" s="6" t="s">
        <v>6</v>
      </c>
      <c r="C41" s="179"/>
      <c r="D41" s="179"/>
      <c r="E41" s="10" t="s">
        <v>3424</v>
      </c>
      <c r="F41" s="6" t="s">
        <v>7</v>
      </c>
      <c r="G41" s="179">
        <v>2025</v>
      </c>
      <c r="H41" s="180"/>
      <c r="J41" s="149">
        <v>1</v>
      </c>
      <c r="K41" s="151">
        <v>2</v>
      </c>
      <c r="L41" s="149">
        <v>3</v>
      </c>
      <c r="M41" s="149">
        <v>4</v>
      </c>
      <c r="N41" s="149">
        <v>5</v>
      </c>
      <c r="O41" s="149">
        <v>6</v>
      </c>
      <c r="P41" s="149">
        <v>7</v>
      </c>
      <c r="Q41" s="149">
        <v>8</v>
      </c>
      <c r="R41" s="149">
        <v>9</v>
      </c>
    </row>
    <row r="42" spans="1:18" s="23" customFormat="1" ht="46.35" customHeight="1" x14ac:dyDescent="0.25">
      <c r="A42" s="143" t="s">
        <v>1</v>
      </c>
      <c r="B42" s="9" t="s">
        <v>6</v>
      </c>
      <c r="C42" s="176" t="e">
        <f>VLOOKUP(K42,Kegiatan!$A$3:$K$717,3,TRUE)</f>
        <v>#N/A</v>
      </c>
      <c r="D42" s="176"/>
      <c r="E42" s="176"/>
      <c r="F42" s="9"/>
      <c r="G42" s="9"/>
      <c r="H42" s="144"/>
      <c r="J42" s="126">
        <f>J7</f>
        <v>36</v>
      </c>
      <c r="K42" s="150">
        <f t="shared" ref="K42:R42" si="0">K7</f>
        <v>0</v>
      </c>
      <c r="L42" s="126">
        <f t="shared" si="0"/>
        <v>0</v>
      </c>
      <c r="M42" s="126">
        <f t="shared" si="0"/>
        <v>0</v>
      </c>
      <c r="N42" s="126">
        <f t="shared" si="0"/>
        <v>0</v>
      </c>
      <c r="O42" s="126">
        <f t="shared" si="0"/>
        <v>0</v>
      </c>
      <c r="P42" s="126">
        <f t="shared" si="0"/>
        <v>0</v>
      </c>
      <c r="Q42" s="126">
        <f t="shared" si="0"/>
        <v>0</v>
      </c>
      <c r="R42" s="126">
        <f t="shared" si="0"/>
        <v>0</v>
      </c>
    </row>
    <row r="43" spans="1:18" s="3" customFormat="1" ht="44.45" customHeight="1" x14ac:dyDescent="0.25">
      <c r="A43" s="145" t="s">
        <v>5</v>
      </c>
      <c r="B43" s="5" t="s">
        <v>6</v>
      </c>
      <c r="C43" s="176" t="e">
        <f>VLOOKUP(K42,Kegiatan!$A$3:$K$717,10,TRUE)</f>
        <v>#N/A</v>
      </c>
      <c r="D43" s="176"/>
      <c r="E43" s="176"/>
      <c r="F43" s="176"/>
      <c r="G43" s="176"/>
      <c r="H43" s="177"/>
      <c r="K43" s="12"/>
      <c r="L43" s="12"/>
      <c r="M43" s="12"/>
      <c r="N43" s="12"/>
      <c r="O43" s="12"/>
      <c r="P43" s="12"/>
      <c r="Q43" s="12"/>
      <c r="R43" s="12"/>
    </row>
    <row r="44" spans="1:18" s="3" customFormat="1" ht="27.95" customHeight="1" x14ac:dyDescent="0.25">
      <c r="A44" s="146" t="s">
        <v>2</v>
      </c>
      <c r="B44" s="7" t="s">
        <v>6</v>
      </c>
      <c r="C44" s="181" t="e">
        <f>VLOOKUP(K42,Kegiatan!$A$3:$K$717,7,TRUE)</f>
        <v>#N/A</v>
      </c>
      <c r="D44" s="181"/>
      <c r="E44" s="8" t="s">
        <v>3300</v>
      </c>
      <c r="F44" s="7" t="s">
        <v>7</v>
      </c>
      <c r="G44" s="181" t="s">
        <v>3432</v>
      </c>
      <c r="H44" s="182"/>
      <c r="K44" s="12"/>
      <c r="L44" s="12"/>
      <c r="M44" s="12"/>
      <c r="N44" s="12"/>
      <c r="O44" s="12"/>
      <c r="P44" s="12"/>
      <c r="Q44" s="12"/>
      <c r="R44" s="12"/>
    </row>
    <row r="45" spans="1:18" x14ac:dyDescent="0.25">
      <c r="A45" s="147"/>
      <c r="H45" s="137"/>
      <c r="J45" t="s">
        <v>3433</v>
      </c>
    </row>
    <row r="46" spans="1:18" s="3" customFormat="1" ht="18" customHeight="1" x14ac:dyDescent="0.25">
      <c r="A46" s="171" t="s">
        <v>3</v>
      </c>
      <c r="B46" s="172"/>
      <c r="C46" s="173"/>
      <c r="D46" s="148" t="s">
        <v>4</v>
      </c>
      <c r="E46" s="174" t="s">
        <v>13</v>
      </c>
      <c r="F46" s="172"/>
      <c r="G46" s="172"/>
      <c r="H46" s="175"/>
      <c r="J46" t="s">
        <v>3457</v>
      </c>
      <c r="K46" s="12"/>
      <c r="L46" s="12"/>
      <c r="M46" s="12"/>
      <c r="N46" s="12"/>
      <c r="O46" s="12"/>
      <c r="P46" s="12"/>
      <c r="Q46" s="12"/>
      <c r="R46" s="12"/>
    </row>
    <row r="47" spans="1:18" ht="14.45" customHeight="1" x14ac:dyDescent="0.25">
      <c r="A47" s="186" t="e">
        <f>VLOOKUP(K42,Kegiatan!$A$3:$K$717,11,TRUE)</f>
        <v>#N/A</v>
      </c>
      <c r="B47" s="187"/>
      <c r="C47" s="188"/>
      <c r="D47" s="195" t="s">
        <v>3423</v>
      </c>
      <c r="E47" s="197" t="s">
        <v>3461</v>
      </c>
      <c r="F47" s="197"/>
      <c r="G47" s="197"/>
      <c r="H47" s="198"/>
      <c r="J47" s="170" t="s">
        <v>3440</v>
      </c>
    </row>
    <row r="48" spans="1:18" x14ac:dyDescent="0.25">
      <c r="A48" s="189"/>
      <c r="B48" s="190"/>
      <c r="C48" s="191"/>
      <c r="D48" s="196"/>
      <c r="E48" s="199"/>
      <c r="F48" s="199"/>
      <c r="G48" s="199"/>
      <c r="H48" s="200"/>
      <c r="J48" t="s">
        <v>3434</v>
      </c>
    </row>
    <row r="49" spans="1:10" x14ac:dyDescent="0.25">
      <c r="A49" s="189"/>
      <c r="B49" s="190"/>
      <c r="C49" s="191"/>
      <c r="D49" s="196"/>
      <c r="E49" s="199"/>
      <c r="F49" s="199"/>
      <c r="G49" s="199"/>
      <c r="H49" s="200"/>
      <c r="J49" t="s">
        <v>3435</v>
      </c>
    </row>
    <row r="50" spans="1:10" x14ac:dyDescent="0.25">
      <c r="A50" s="189"/>
      <c r="B50" s="190"/>
      <c r="C50" s="191"/>
      <c r="D50" s="196"/>
      <c r="E50" s="199"/>
      <c r="F50" s="199"/>
      <c r="G50" s="199"/>
      <c r="H50" s="200"/>
      <c r="J50" t="s">
        <v>3436</v>
      </c>
    </row>
    <row r="51" spans="1:10" x14ac:dyDescent="0.25">
      <c r="A51" s="189"/>
      <c r="B51" s="190"/>
      <c r="C51" s="191"/>
      <c r="D51" s="165" t="str">
        <f>IF(D47="Menerima Risiko","","Unit Penerima Risiko")</f>
        <v/>
      </c>
      <c r="E51" s="199"/>
      <c r="F51" s="199"/>
      <c r="G51" s="199"/>
      <c r="H51" s="200"/>
      <c r="J51" t="s">
        <v>3437</v>
      </c>
    </row>
    <row r="52" spans="1:10" x14ac:dyDescent="0.25">
      <c r="A52" s="189"/>
      <c r="B52" s="190"/>
      <c r="C52" s="191"/>
      <c r="D52" s="138"/>
      <c r="E52" s="199"/>
      <c r="F52" s="199"/>
      <c r="G52" s="199"/>
      <c r="H52" s="200"/>
      <c r="J52" t="s">
        <v>3438</v>
      </c>
    </row>
    <row r="53" spans="1:10" x14ac:dyDescent="0.25">
      <c r="A53" s="189"/>
      <c r="B53" s="190"/>
      <c r="C53" s="191"/>
      <c r="D53" s="138"/>
      <c r="E53" s="199"/>
      <c r="F53" s="199"/>
      <c r="G53" s="199"/>
      <c r="H53" s="200"/>
      <c r="J53" t="s">
        <v>3439</v>
      </c>
    </row>
    <row r="54" spans="1:10" x14ac:dyDescent="0.25">
      <c r="A54" s="189"/>
      <c r="B54" s="190"/>
      <c r="C54" s="191"/>
      <c r="D54" s="138"/>
      <c r="E54" s="199"/>
      <c r="F54" s="199"/>
      <c r="G54" s="199"/>
      <c r="H54" s="200"/>
      <c r="J54" s="170" t="s">
        <v>3441</v>
      </c>
    </row>
    <row r="55" spans="1:10" x14ac:dyDescent="0.25">
      <c r="A55" s="189"/>
      <c r="B55" s="190"/>
      <c r="C55" s="191"/>
      <c r="D55" s="165" t="s">
        <v>3371</v>
      </c>
      <c r="E55" s="199"/>
      <c r="F55" s="199"/>
      <c r="G55" s="199"/>
      <c r="H55" s="200"/>
      <c r="J55" t="s">
        <v>3442</v>
      </c>
    </row>
    <row r="56" spans="1:10" x14ac:dyDescent="0.25">
      <c r="A56" s="189"/>
      <c r="B56" s="190"/>
      <c r="C56" s="191"/>
      <c r="D56" s="164" t="s">
        <v>3372</v>
      </c>
      <c r="E56" s="199"/>
      <c r="F56" s="199"/>
      <c r="G56" s="199"/>
      <c r="H56" s="200"/>
      <c r="J56" t="s">
        <v>3443</v>
      </c>
    </row>
    <row r="57" spans="1:10" x14ac:dyDescent="0.25">
      <c r="A57" s="189"/>
      <c r="B57" s="190"/>
      <c r="C57" s="191"/>
      <c r="D57" s="164" t="s">
        <v>3372</v>
      </c>
      <c r="E57" s="199"/>
      <c r="F57" s="199"/>
      <c r="G57" s="199"/>
      <c r="H57" s="200"/>
      <c r="J57" t="s">
        <v>3444</v>
      </c>
    </row>
    <row r="58" spans="1:10" ht="15.75" thickBot="1" x14ac:dyDescent="0.3">
      <c r="A58" s="192"/>
      <c r="B58" s="193"/>
      <c r="C58" s="194"/>
      <c r="D58" s="166" t="s">
        <v>3372</v>
      </c>
      <c r="E58" s="201"/>
      <c r="F58" s="201"/>
      <c r="G58" s="201"/>
      <c r="H58" s="202"/>
      <c r="J58" s="170" t="s">
        <v>3445</v>
      </c>
    </row>
    <row r="59" spans="1:10" x14ac:dyDescent="0.25">
      <c r="J59" t="s">
        <v>3446</v>
      </c>
    </row>
    <row r="60" spans="1:10" x14ac:dyDescent="0.25">
      <c r="J60" t="s">
        <v>3447</v>
      </c>
    </row>
    <row r="61" spans="1:10" x14ac:dyDescent="0.25">
      <c r="G61" s="1" t="s">
        <v>3425</v>
      </c>
      <c r="H61" s="24">
        <f>G41</f>
        <v>2025</v>
      </c>
      <c r="J61" t="s">
        <v>3456</v>
      </c>
    </row>
    <row r="62" spans="1:10" x14ac:dyDescent="0.25">
      <c r="C62" s="2" t="s">
        <v>12</v>
      </c>
      <c r="G62" s="2" t="s">
        <v>10</v>
      </c>
      <c r="J62" s="170" t="s">
        <v>3448</v>
      </c>
    </row>
    <row r="63" spans="1:10" x14ac:dyDescent="0.25">
      <c r="J63" t="s">
        <v>3449</v>
      </c>
    </row>
    <row r="64" spans="1:10" x14ac:dyDescent="0.25">
      <c r="J64" t="s">
        <v>3450</v>
      </c>
    </row>
    <row r="65" spans="1:18" x14ac:dyDescent="0.25">
      <c r="J65" s="170" t="s">
        <v>3451</v>
      </c>
    </row>
    <row r="66" spans="1:18" x14ac:dyDescent="0.25">
      <c r="J66" t="s">
        <v>3452</v>
      </c>
    </row>
    <row r="67" spans="1:18" x14ac:dyDescent="0.25">
      <c r="G67" s="25" t="str">
        <f>G40</f>
        <v>Usman Nurhasan, S.Kom., M.T.</v>
      </c>
      <c r="J67" t="s">
        <v>3453</v>
      </c>
    </row>
    <row r="68" spans="1:18" x14ac:dyDescent="0.25">
      <c r="G68" s="24" t="str">
        <f>IF(G67="Dr. Drs. Sumiadji, Ak., M.SA.","NIP. 196405121993031001",IF(G67="Usman Nurhasan, S.Kom., M.T.","NIP. 198909162014042001",IF(G67="Ir. Wahiddin, S.T., MT.IPM.ASEAN Eng.","NIP. 197312072003121001",IF(G67="Dr. Ir. Azam Muzakhim Imammuddin, M.T.","NIP. 196705041994031004",IF(G67="Dr. Atik Andhayani, S.E., MSA.","NIP. 197505032009032001",IF(G67="Lina Budiarti, S.E., M.M.","NIP. 198609232015041001",IF(G67="Drs. Mufid M.T.","NIP. 196408221994031001",IF(G67="Lis Diana Mustafa, S.T., M.T.","NIP. 197805052001122003"))))))))</f>
        <v>NIP. 198909162014042001</v>
      </c>
      <c r="J68" t="s">
        <v>3454</v>
      </c>
    </row>
    <row r="69" spans="1:18" x14ac:dyDescent="0.25">
      <c r="J69" t="s">
        <v>3455</v>
      </c>
    </row>
    <row r="71" spans="1:18" ht="15.75" x14ac:dyDescent="0.25">
      <c r="A71" s="178" t="s">
        <v>3421</v>
      </c>
      <c r="B71" s="178"/>
      <c r="C71" s="178"/>
      <c r="D71" s="178"/>
      <c r="E71" s="178"/>
      <c r="F71" s="178"/>
      <c r="G71" s="178"/>
      <c r="H71" s="178"/>
    </row>
    <row r="72" spans="1:18" ht="15.75" x14ac:dyDescent="0.25">
      <c r="A72" s="178" t="s">
        <v>0</v>
      </c>
      <c r="B72" s="178"/>
      <c r="C72" s="178"/>
      <c r="D72" s="178"/>
      <c r="E72" s="178"/>
      <c r="F72" s="178"/>
      <c r="G72" s="178"/>
      <c r="H72" s="178"/>
    </row>
    <row r="73" spans="1:18" ht="15.75" x14ac:dyDescent="0.25">
      <c r="A73" s="178" t="s">
        <v>3422</v>
      </c>
      <c r="B73" s="178"/>
      <c r="C73" s="178"/>
      <c r="D73" s="178"/>
      <c r="E73" s="178"/>
      <c r="F73" s="178"/>
      <c r="G73" s="178"/>
      <c r="H73" s="178"/>
    </row>
    <row r="74" spans="1:18" ht="9" customHeight="1" thickBot="1" x14ac:dyDescent="0.3">
      <c r="A74" s="4"/>
      <c r="B74" s="4"/>
      <c r="C74" s="4"/>
      <c r="D74" s="4"/>
      <c r="E74" s="4"/>
      <c r="F74" s="4"/>
      <c r="G74" s="4"/>
      <c r="H74" s="4"/>
    </row>
    <row r="75" spans="1:18" ht="18" customHeight="1" x14ac:dyDescent="0.25">
      <c r="A75" s="139" t="s">
        <v>8</v>
      </c>
      <c r="B75" s="140" t="s">
        <v>6</v>
      </c>
      <c r="C75" s="183" t="e">
        <f>VLOOKUP(L77,Kegiatan!$A$3:$K$717,2,TRUE)</f>
        <v>#N/A</v>
      </c>
      <c r="D75" s="185"/>
      <c r="E75" s="141" t="s">
        <v>9</v>
      </c>
      <c r="F75" s="140" t="s">
        <v>6</v>
      </c>
      <c r="G75" s="183" t="s">
        <v>3122</v>
      </c>
      <c r="H75" s="184"/>
      <c r="J75" s="209" t="s">
        <v>3298</v>
      </c>
      <c r="K75" s="209"/>
      <c r="L75" s="209"/>
      <c r="M75" s="209"/>
      <c r="N75" s="209"/>
      <c r="O75" s="209"/>
      <c r="P75" s="209"/>
      <c r="Q75" s="209"/>
      <c r="R75" s="209"/>
    </row>
    <row r="76" spans="1:18" s="3" customFormat="1" ht="23.25" x14ac:dyDescent="0.25">
      <c r="A76" s="142" t="s">
        <v>14</v>
      </c>
      <c r="B76" s="6" t="s">
        <v>6</v>
      </c>
      <c r="C76" s="179"/>
      <c r="D76" s="179"/>
      <c r="E76" s="10" t="s">
        <v>3424</v>
      </c>
      <c r="F76" s="6" t="s">
        <v>7</v>
      </c>
      <c r="G76" s="179">
        <v>2025</v>
      </c>
      <c r="H76" s="180"/>
      <c r="J76" s="149">
        <v>1</v>
      </c>
      <c r="K76" s="149">
        <v>2</v>
      </c>
      <c r="L76" s="151">
        <v>3</v>
      </c>
      <c r="M76" s="149">
        <v>4</v>
      </c>
      <c r="N76" s="149">
        <v>5</v>
      </c>
      <c r="O76" s="149">
        <v>6</v>
      </c>
      <c r="P76" s="149">
        <v>7</v>
      </c>
      <c r="Q76" s="149">
        <v>8</v>
      </c>
      <c r="R76" s="149">
        <v>9</v>
      </c>
    </row>
    <row r="77" spans="1:18" s="23" customFormat="1" ht="46.35" customHeight="1" x14ac:dyDescent="0.25">
      <c r="A77" s="143" t="s">
        <v>1</v>
      </c>
      <c r="B77" s="9" t="s">
        <v>6</v>
      </c>
      <c r="C77" s="176" t="e">
        <f>VLOOKUP(L77,Kegiatan!$A$3:$K$717,3,TRUE)</f>
        <v>#N/A</v>
      </c>
      <c r="D77" s="176"/>
      <c r="E77" s="176"/>
      <c r="F77" s="9"/>
      <c r="G77" s="9"/>
      <c r="H77" s="144"/>
      <c r="J77" s="126">
        <f>J7</f>
        <v>36</v>
      </c>
      <c r="K77" s="126">
        <f t="shared" ref="K77:R77" si="1">K7</f>
        <v>0</v>
      </c>
      <c r="L77" s="150">
        <f t="shared" si="1"/>
        <v>0</v>
      </c>
      <c r="M77" s="126">
        <f t="shared" si="1"/>
        <v>0</v>
      </c>
      <c r="N77" s="126">
        <f t="shared" si="1"/>
        <v>0</v>
      </c>
      <c r="O77" s="126">
        <f t="shared" si="1"/>
        <v>0</v>
      </c>
      <c r="P77" s="126">
        <f t="shared" si="1"/>
        <v>0</v>
      </c>
      <c r="Q77" s="126">
        <f t="shared" si="1"/>
        <v>0</v>
      </c>
      <c r="R77" s="126">
        <f t="shared" si="1"/>
        <v>0</v>
      </c>
    </row>
    <row r="78" spans="1:18" s="3" customFormat="1" ht="44.45" customHeight="1" x14ac:dyDescent="0.25">
      <c r="A78" s="145" t="s">
        <v>5</v>
      </c>
      <c r="B78" s="5" t="s">
        <v>6</v>
      </c>
      <c r="C78" s="176" t="e">
        <f>VLOOKUP(L77,Kegiatan!$A$3:$K$717,10,TRUE)</f>
        <v>#N/A</v>
      </c>
      <c r="D78" s="176"/>
      <c r="E78" s="176"/>
      <c r="F78" s="176"/>
      <c r="G78" s="176"/>
      <c r="H78" s="177"/>
      <c r="K78" s="12"/>
      <c r="L78" s="12"/>
      <c r="M78" s="12"/>
      <c r="N78" s="12"/>
      <c r="O78" s="12"/>
      <c r="P78" s="12"/>
      <c r="Q78" s="12"/>
      <c r="R78" s="12"/>
    </row>
    <row r="79" spans="1:18" s="3" customFormat="1" ht="27.95" customHeight="1" x14ac:dyDescent="0.25">
      <c r="A79" s="146" t="s">
        <v>2</v>
      </c>
      <c r="B79" s="7" t="s">
        <v>6</v>
      </c>
      <c r="C79" s="181" t="e">
        <f>VLOOKUP(L77,Kegiatan!$A$3:$K$717,7,TRUE)</f>
        <v>#N/A</v>
      </c>
      <c r="D79" s="181"/>
      <c r="E79" s="8" t="s">
        <v>3300</v>
      </c>
      <c r="F79" s="7" t="s">
        <v>7</v>
      </c>
      <c r="G79" s="181" t="s">
        <v>3432</v>
      </c>
      <c r="H79" s="182"/>
      <c r="K79" s="12"/>
      <c r="L79" s="12"/>
      <c r="M79" s="12"/>
      <c r="N79" s="12"/>
      <c r="O79" s="12"/>
      <c r="P79" s="12"/>
      <c r="Q79" s="12"/>
      <c r="R79" s="12"/>
    </row>
    <row r="80" spans="1:18" x14ac:dyDescent="0.25">
      <c r="A80" s="147"/>
      <c r="H80" s="137"/>
    </row>
    <row r="81" spans="1:18" s="3" customFormat="1" ht="18" customHeight="1" x14ac:dyDescent="0.25">
      <c r="A81" s="171" t="s">
        <v>3</v>
      </c>
      <c r="B81" s="172"/>
      <c r="C81" s="173"/>
      <c r="D81" s="148" t="s">
        <v>4</v>
      </c>
      <c r="E81" s="174" t="s">
        <v>13</v>
      </c>
      <c r="F81" s="172"/>
      <c r="G81" s="172"/>
      <c r="H81" s="175"/>
      <c r="J81" t="s">
        <v>3433</v>
      </c>
      <c r="K81" s="12"/>
      <c r="L81" s="12"/>
      <c r="M81" s="12"/>
      <c r="N81" s="12"/>
      <c r="O81" s="12"/>
      <c r="P81" s="12"/>
      <c r="Q81" s="12"/>
      <c r="R81" s="12"/>
    </row>
    <row r="82" spans="1:18" ht="14.45" customHeight="1" x14ac:dyDescent="0.25">
      <c r="A82" s="186" t="e">
        <f>VLOOKUP(L77,Kegiatan!$A$3:$K$717,11,TRUE)</f>
        <v>#N/A</v>
      </c>
      <c r="B82" s="187"/>
      <c r="C82" s="188"/>
      <c r="D82" s="195" t="s">
        <v>3423</v>
      </c>
      <c r="E82" s="197" t="s">
        <v>3462</v>
      </c>
      <c r="F82" s="197"/>
      <c r="G82" s="197"/>
      <c r="H82" s="198"/>
      <c r="J82" t="s">
        <v>3457</v>
      </c>
    </row>
    <row r="83" spans="1:18" x14ac:dyDescent="0.25">
      <c r="A83" s="189"/>
      <c r="B83" s="190"/>
      <c r="C83" s="191"/>
      <c r="D83" s="196"/>
      <c r="E83" s="199"/>
      <c r="F83" s="199"/>
      <c r="G83" s="199"/>
      <c r="H83" s="200"/>
      <c r="J83" s="170" t="s">
        <v>3440</v>
      </c>
    </row>
    <row r="84" spans="1:18" x14ac:dyDescent="0.25">
      <c r="A84" s="189"/>
      <c r="B84" s="190"/>
      <c r="C84" s="191"/>
      <c r="D84" s="196"/>
      <c r="E84" s="199"/>
      <c r="F84" s="199"/>
      <c r="G84" s="199"/>
      <c r="H84" s="200"/>
      <c r="J84" t="s">
        <v>3434</v>
      </c>
    </row>
    <row r="85" spans="1:18" x14ac:dyDescent="0.25">
      <c r="A85" s="189"/>
      <c r="B85" s="190"/>
      <c r="C85" s="191"/>
      <c r="D85" s="196"/>
      <c r="E85" s="199"/>
      <c r="F85" s="199"/>
      <c r="G85" s="199"/>
      <c r="H85" s="200"/>
      <c r="J85" t="s">
        <v>3435</v>
      </c>
    </row>
    <row r="86" spans="1:18" x14ac:dyDescent="0.25">
      <c r="A86" s="189"/>
      <c r="B86" s="190"/>
      <c r="C86" s="191"/>
      <c r="D86" s="165" t="str">
        <f>IF(D82="Menerima Risiko","","Unit Penerima Risiko")</f>
        <v/>
      </c>
      <c r="E86" s="199"/>
      <c r="F86" s="199"/>
      <c r="G86" s="199"/>
      <c r="H86" s="200"/>
      <c r="J86" t="s">
        <v>3436</v>
      </c>
    </row>
    <row r="87" spans="1:18" x14ac:dyDescent="0.25">
      <c r="A87" s="189"/>
      <c r="B87" s="190"/>
      <c r="C87" s="191"/>
      <c r="D87" s="138"/>
      <c r="E87" s="199"/>
      <c r="F87" s="199"/>
      <c r="G87" s="199"/>
      <c r="H87" s="200"/>
      <c r="J87" t="s">
        <v>3437</v>
      </c>
    </row>
    <row r="88" spans="1:18" x14ac:dyDescent="0.25">
      <c r="A88" s="189"/>
      <c r="B88" s="190"/>
      <c r="C88" s="191"/>
      <c r="D88" s="138"/>
      <c r="E88" s="199"/>
      <c r="F88" s="199"/>
      <c r="G88" s="199"/>
      <c r="H88" s="200"/>
      <c r="J88" t="s">
        <v>3438</v>
      </c>
    </row>
    <row r="89" spans="1:18" x14ac:dyDescent="0.25">
      <c r="A89" s="189"/>
      <c r="B89" s="190"/>
      <c r="C89" s="191"/>
      <c r="D89" s="138"/>
      <c r="E89" s="199"/>
      <c r="F89" s="199"/>
      <c r="G89" s="199"/>
      <c r="H89" s="200"/>
      <c r="J89" t="s">
        <v>3439</v>
      </c>
    </row>
    <row r="90" spans="1:18" x14ac:dyDescent="0.25">
      <c r="A90" s="189"/>
      <c r="B90" s="190"/>
      <c r="C90" s="191"/>
      <c r="D90" s="165" t="s">
        <v>3371</v>
      </c>
      <c r="E90" s="199"/>
      <c r="F90" s="199"/>
      <c r="G90" s="199"/>
      <c r="H90" s="200"/>
      <c r="J90" s="170" t="s">
        <v>3441</v>
      </c>
    </row>
    <row r="91" spans="1:18" x14ac:dyDescent="0.25">
      <c r="A91" s="189"/>
      <c r="B91" s="190"/>
      <c r="C91" s="191"/>
      <c r="D91" s="164" t="s">
        <v>3372</v>
      </c>
      <c r="E91" s="199"/>
      <c r="F91" s="199"/>
      <c r="G91" s="199"/>
      <c r="H91" s="200"/>
      <c r="J91" t="s">
        <v>3442</v>
      </c>
    </row>
    <row r="92" spans="1:18" x14ac:dyDescent="0.25">
      <c r="A92" s="189"/>
      <c r="B92" s="190"/>
      <c r="C92" s="191"/>
      <c r="D92" s="164" t="s">
        <v>3372</v>
      </c>
      <c r="E92" s="199"/>
      <c r="F92" s="199"/>
      <c r="G92" s="199"/>
      <c r="H92" s="200"/>
      <c r="J92" t="s">
        <v>3443</v>
      </c>
    </row>
    <row r="93" spans="1:18" ht="15.75" thickBot="1" x14ac:dyDescent="0.3">
      <c r="A93" s="192"/>
      <c r="B93" s="193"/>
      <c r="C93" s="194"/>
      <c r="D93" s="166" t="s">
        <v>3372</v>
      </c>
      <c r="E93" s="201"/>
      <c r="F93" s="201"/>
      <c r="G93" s="201"/>
      <c r="H93" s="202"/>
      <c r="J93" t="s">
        <v>3444</v>
      </c>
    </row>
    <row r="94" spans="1:18" x14ac:dyDescent="0.25">
      <c r="J94" s="170" t="s">
        <v>3445</v>
      </c>
    </row>
    <row r="95" spans="1:18" x14ac:dyDescent="0.25">
      <c r="J95" t="s">
        <v>3446</v>
      </c>
    </row>
    <row r="96" spans="1:18" x14ac:dyDescent="0.25">
      <c r="G96" s="1" t="s">
        <v>3425</v>
      </c>
      <c r="H96" s="24">
        <f>G76</f>
        <v>2025</v>
      </c>
      <c r="J96" t="s">
        <v>3447</v>
      </c>
    </row>
    <row r="97" spans="1:18" x14ac:dyDescent="0.25">
      <c r="C97" s="2" t="s">
        <v>12</v>
      </c>
      <c r="G97" s="2" t="s">
        <v>10</v>
      </c>
      <c r="J97" t="s">
        <v>3456</v>
      </c>
    </row>
    <row r="98" spans="1:18" x14ac:dyDescent="0.25">
      <c r="J98" s="170" t="s">
        <v>3448</v>
      </c>
    </row>
    <row r="99" spans="1:18" x14ac:dyDescent="0.25">
      <c r="J99" t="s">
        <v>3449</v>
      </c>
    </row>
    <row r="100" spans="1:18" x14ac:dyDescent="0.25">
      <c r="J100" t="s">
        <v>3450</v>
      </c>
    </row>
    <row r="101" spans="1:18" x14ac:dyDescent="0.25">
      <c r="J101" s="170" t="s">
        <v>3451</v>
      </c>
    </row>
    <row r="102" spans="1:18" x14ac:dyDescent="0.25">
      <c r="C102" s="1" t="s">
        <v>3458</v>
      </c>
      <c r="G102" s="25" t="str">
        <f>G75</f>
        <v>Usman Nurhasan, S.Kom., M.T.</v>
      </c>
      <c r="J102" t="s">
        <v>3452</v>
      </c>
    </row>
    <row r="103" spans="1:18" x14ac:dyDescent="0.25">
      <c r="C103" s="1" t="s">
        <v>3459</v>
      </c>
      <c r="G103" s="24" t="str">
        <f>IF(G102="Dr. Drs. Sumiadji, Ak., M.SA.","NIP. 196405121993031001",IF(G102="Usman Nurhasan, S.Kom., M.T.","NIP. 198909162014042001",IF(G102="Ir. Wahiddin, S.T., MT.IPM.ASEAN Eng.","NIP. 197312072003121001",IF(G102="Dr. Ir. Azam Muzakhim Imammuddin, M.T.","NIP. 196705041994031004",IF(G102="Dr. Atik Andhayani, S.E., MSA.","NIP. 197505032009032001",IF(G102="Lina Budiarti, S.E., M.M.","NIP. 198609232015041001",IF(G102="Drs. Mufid M.T.","NIP. 196408221994031001",IF(G102="Lis Diana Mustafa, S.T., M.T.","NIP. 197805052001122003"))))))))</f>
        <v>NIP. 198909162014042001</v>
      </c>
      <c r="J103" t="s">
        <v>3453</v>
      </c>
    </row>
    <row r="104" spans="1:18" x14ac:dyDescent="0.25">
      <c r="J104" t="s">
        <v>3454</v>
      </c>
    </row>
    <row r="105" spans="1:18" x14ac:dyDescent="0.25">
      <c r="J105" t="s">
        <v>3455</v>
      </c>
    </row>
    <row r="106" spans="1:18" ht="15.75" x14ac:dyDescent="0.25">
      <c r="A106" s="178" t="s">
        <v>3421</v>
      </c>
      <c r="B106" s="178"/>
      <c r="C106" s="178"/>
      <c r="D106" s="178"/>
      <c r="E106" s="178"/>
      <c r="F106" s="178"/>
      <c r="G106" s="178"/>
      <c r="H106" s="178"/>
    </row>
    <row r="107" spans="1:18" ht="15.75" x14ac:dyDescent="0.25">
      <c r="A107" s="178" t="s">
        <v>0</v>
      </c>
      <c r="B107" s="178"/>
      <c r="C107" s="178"/>
      <c r="D107" s="178"/>
      <c r="E107" s="178"/>
      <c r="F107" s="178"/>
      <c r="G107" s="178"/>
      <c r="H107" s="178"/>
    </row>
    <row r="108" spans="1:18" ht="15.75" x14ac:dyDescent="0.25">
      <c r="A108" s="178" t="s">
        <v>3422</v>
      </c>
      <c r="B108" s="178"/>
      <c r="C108" s="178"/>
      <c r="D108" s="178"/>
      <c r="E108" s="178"/>
      <c r="F108" s="178"/>
      <c r="G108" s="178"/>
      <c r="H108" s="178"/>
    </row>
    <row r="109" spans="1:18" ht="9" customHeight="1" thickBot="1" x14ac:dyDescent="0.3">
      <c r="A109" s="4"/>
      <c r="B109" s="4"/>
      <c r="C109" s="4"/>
      <c r="D109" s="4"/>
      <c r="E109" s="4"/>
      <c r="F109" s="4"/>
      <c r="G109" s="4"/>
      <c r="H109" s="4"/>
    </row>
    <row r="110" spans="1:18" ht="18" customHeight="1" x14ac:dyDescent="0.25">
      <c r="A110" s="139" t="s">
        <v>8</v>
      </c>
      <c r="B110" s="140" t="s">
        <v>6</v>
      </c>
      <c r="C110" s="183" t="e">
        <f>VLOOKUP(M112,Kegiatan!$A$3:$K$717,2,TRUE)</f>
        <v>#N/A</v>
      </c>
      <c r="D110" s="185"/>
      <c r="E110" s="141" t="s">
        <v>9</v>
      </c>
      <c r="F110" s="140" t="s">
        <v>6</v>
      </c>
      <c r="G110" s="183" t="s">
        <v>3122</v>
      </c>
      <c r="H110" s="184"/>
      <c r="J110" s="209" t="s">
        <v>3298</v>
      </c>
      <c r="K110" s="209"/>
      <c r="L110" s="209"/>
      <c r="M110" s="209"/>
      <c r="N110" s="209"/>
      <c r="O110" s="209"/>
      <c r="P110" s="209"/>
      <c r="Q110" s="209"/>
      <c r="R110" s="209"/>
    </row>
    <row r="111" spans="1:18" s="3" customFormat="1" ht="23.25" x14ac:dyDescent="0.25">
      <c r="A111" s="142" t="s">
        <v>14</v>
      </c>
      <c r="B111" s="6" t="s">
        <v>6</v>
      </c>
      <c r="C111" s="179"/>
      <c r="D111" s="179"/>
      <c r="E111" s="10" t="s">
        <v>3424</v>
      </c>
      <c r="F111" s="6" t="s">
        <v>7</v>
      </c>
      <c r="G111" s="179">
        <v>2025</v>
      </c>
      <c r="H111" s="180"/>
      <c r="J111" s="149">
        <v>1</v>
      </c>
      <c r="K111" s="149">
        <v>2</v>
      </c>
      <c r="L111" s="149">
        <v>3</v>
      </c>
      <c r="M111" s="151">
        <v>4</v>
      </c>
      <c r="N111" s="149">
        <v>5</v>
      </c>
      <c r="O111" s="149">
        <v>6</v>
      </c>
      <c r="P111" s="149">
        <v>7</v>
      </c>
      <c r="Q111" s="149">
        <v>8</v>
      </c>
      <c r="R111" s="149">
        <v>9</v>
      </c>
    </row>
    <row r="112" spans="1:18" s="23" customFormat="1" ht="46.35" customHeight="1" x14ac:dyDescent="0.25">
      <c r="A112" s="143" t="s">
        <v>1</v>
      </c>
      <c r="B112" s="9" t="s">
        <v>6</v>
      </c>
      <c r="C112" s="176" t="e">
        <f>VLOOKUP(M112,Kegiatan!$A$3:$K$717,3,TRUE)</f>
        <v>#N/A</v>
      </c>
      <c r="D112" s="176"/>
      <c r="E112" s="176"/>
      <c r="F112" s="9"/>
      <c r="G112" s="9"/>
      <c r="H112" s="144"/>
      <c r="J112" s="126">
        <f>J7</f>
        <v>36</v>
      </c>
      <c r="K112" s="126">
        <f t="shared" ref="K112:R112" si="2">K7</f>
        <v>0</v>
      </c>
      <c r="L112" s="126">
        <f t="shared" si="2"/>
        <v>0</v>
      </c>
      <c r="M112" s="150">
        <f t="shared" si="2"/>
        <v>0</v>
      </c>
      <c r="N112" s="126">
        <f t="shared" si="2"/>
        <v>0</v>
      </c>
      <c r="O112" s="126">
        <f t="shared" si="2"/>
        <v>0</v>
      </c>
      <c r="P112" s="126">
        <f t="shared" si="2"/>
        <v>0</v>
      </c>
      <c r="Q112" s="126">
        <f t="shared" si="2"/>
        <v>0</v>
      </c>
      <c r="R112" s="126">
        <f t="shared" si="2"/>
        <v>0</v>
      </c>
    </row>
    <row r="113" spans="1:18" s="3" customFormat="1" ht="44.45" customHeight="1" x14ac:dyDescent="0.25">
      <c r="A113" s="145" t="s">
        <v>5</v>
      </c>
      <c r="B113" s="5" t="s">
        <v>6</v>
      </c>
      <c r="C113" s="176" t="e">
        <f>VLOOKUP(M112,Kegiatan!$A$3:$K$717,10,TRUE)</f>
        <v>#N/A</v>
      </c>
      <c r="D113" s="176"/>
      <c r="E113" s="176"/>
      <c r="F113" s="176"/>
      <c r="G113" s="176"/>
      <c r="H113" s="177"/>
      <c r="K113" s="12"/>
      <c r="L113" s="12"/>
      <c r="M113" s="12"/>
      <c r="N113" s="12"/>
      <c r="O113" s="12"/>
      <c r="P113" s="12"/>
      <c r="Q113" s="12"/>
      <c r="R113" s="12"/>
    </row>
    <row r="114" spans="1:18" s="3" customFormat="1" ht="27.95" customHeight="1" x14ac:dyDescent="0.25">
      <c r="A114" s="146" t="s">
        <v>2</v>
      </c>
      <c r="B114" s="7" t="s">
        <v>6</v>
      </c>
      <c r="C114" s="181" t="e">
        <f>VLOOKUP(M112,Kegiatan!$A$3:$K$717,7,TRUE)</f>
        <v>#N/A</v>
      </c>
      <c r="D114" s="181"/>
      <c r="E114" s="8" t="s">
        <v>3300</v>
      </c>
      <c r="F114" s="7" t="s">
        <v>7</v>
      </c>
      <c r="G114" s="181" t="s">
        <v>3432</v>
      </c>
      <c r="H114" s="182"/>
      <c r="K114" s="12"/>
      <c r="L114" s="12"/>
      <c r="M114" s="12"/>
      <c r="N114" s="12"/>
      <c r="O114" s="12"/>
      <c r="P114" s="12"/>
      <c r="Q114" s="12"/>
      <c r="R114" s="12"/>
    </row>
    <row r="115" spans="1:18" x14ac:dyDescent="0.25">
      <c r="A115" s="147"/>
      <c r="H115" s="137"/>
      <c r="J115" t="s">
        <v>3433</v>
      </c>
    </row>
    <row r="116" spans="1:18" s="3" customFormat="1" ht="18" customHeight="1" x14ac:dyDescent="0.25">
      <c r="A116" s="171" t="s">
        <v>3</v>
      </c>
      <c r="B116" s="172"/>
      <c r="C116" s="173"/>
      <c r="D116" s="148" t="s">
        <v>4</v>
      </c>
      <c r="E116" s="174" t="s">
        <v>13</v>
      </c>
      <c r="F116" s="172"/>
      <c r="G116" s="172"/>
      <c r="H116" s="175"/>
      <c r="J116" t="s">
        <v>3457</v>
      </c>
      <c r="K116" s="12"/>
      <c r="L116" s="12"/>
      <c r="M116" s="12"/>
      <c r="N116" s="12"/>
      <c r="O116" s="12"/>
      <c r="P116" s="12"/>
      <c r="Q116" s="12"/>
      <c r="R116" s="12"/>
    </row>
    <row r="117" spans="1:18" ht="14.45" customHeight="1" x14ac:dyDescent="0.25">
      <c r="A117" s="186" t="e">
        <f>VLOOKUP(M112,Kegiatan!$A$3:$K$717,11,TRUE)</f>
        <v>#N/A</v>
      </c>
      <c r="B117" s="187"/>
      <c r="C117" s="188"/>
      <c r="D117" s="195" t="s">
        <v>3423</v>
      </c>
      <c r="E117" s="197" t="s">
        <v>3463</v>
      </c>
      <c r="F117" s="197"/>
      <c r="G117" s="197"/>
      <c r="H117" s="198"/>
      <c r="J117" s="170" t="s">
        <v>3440</v>
      </c>
    </row>
    <row r="118" spans="1:18" x14ac:dyDescent="0.25">
      <c r="A118" s="189"/>
      <c r="B118" s="190"/>
      <c r="C118" s="191"/>
      <c r="D118" s="196"/>
      <c r="E118" s="199"/>
      <c r="F118" s="199"/>
      <c r="G118" s="199"/>
      <c r="H118" s="200"/>
      <c r="J118" t="s">
        <v>3434</v>
      </c>
    </row>
    <row r="119" spans="1:18" x14ac:dyDescent="0.25">
      <c r="A119" s="189"/>
      <c r="B119" s="190"/>
      <c r="C119" s="191"/>
      <c r="D119" s="196"/>
      <c r="E119" s="199"/>
      <c r="F119" s="199"/>
      <c r="G119" s="199"/>
      <c r="H119" s="200"/>
      <c r="J119" t="s">
        <v>3435</v>
      </c>
    </row>
    <row r="120" spans="1:18" x14ac:dyDescent="0.25">
      <c r="A120" s="189"/>
      <c r="B120" s="190"/>
      <c r="C120" s="191"/>
      <c r="D120" s="196"/>
      <c r="E120" s="199"/>
      <c r="F120" s="199"/>
      <c r="G120" s="199"/>
      <c r="H120" s="200"/>
      <c r="J120" t="s">
        <v>3436</v>
      </c>
    </row>
    <row r="121" spans="1:18" x14ac:dyDescent="0.25">
      <c r="A121" s="189"/>
      <c r="B121" s="190"/>
      <c r="C121" s="191"/>
      <c r="D121" s="165" t="str">
        <f>IF(D117="Menerima Risiko","","Unit Penerima Risiko")</f>
        <v/>
      </c>
      <c r="E121" s="199"/>
      <c r="F121" s="199"/>
      <c r="G121" s="199"/>
      <c r="H121" s="200"/>
      <c r="J121" t="s">
        <v>3437</v>
      </c>
    </row>
    <row r="122" spans="1:18" x14ac:dyDescent="0.25">
      <c r="A122" s="189"/>
      <c r="B122" s="190"/>
      <c r="C122" s="191"/>
      <c r="D122" s="138"/>
      <c r="E122" s="199"/>
      <c r="F122" s="199"/>
      <c r="G122" s="199"/>
      <c r="H122" s="200"/>
      <c r="J122" t="s">
        <v>3438</v>
      </c>
    </row>
    <row r="123" spans="1:18" x14ac:dyDescent="0.25">
      <c r="A123" s="189"/>
      <c r="B123" s="190"/>
      <c r="C123" s="191"/>
      <c r="D123" s="138"/>
      <c r="E123" s="199"/>
      <c r="F123" s="199"/>
      <c r="G123" s="199"/>
      <c r="H123" s="200"/>
      <c r="J123" t="s">
        <v>3439</v>
      </c>
    </row>
    <row r="124" spans="1:18" x14ac:dyDescent="0.25">
      <c r="A124" s="189"/>
      <c r="B124" s="190"/>
      <c r="C124" s="191"/>
      <c r="D124" s="138"/>
      <c r="E124" s="199"/>
      <c r="F124" s="199"/>
      <c r="G124" s="199"/>
      <c r="H124" s="200"/>
      <c r="J124" s="170" t="s">
        <v>3441</v>
      </c>
    </row>
    <row r="125" spans="1:18" x14ac:dyDescent="0.25">
      <c r="A125" s="189"/>
      <c r="B125" s="190"/>
      <c r="C125" s="191"/>
      <c r="D125" s="165" t="s">
        <v>3371</v>
      </c>
      <c r="E125" s="199"/>
      <c r="F125" s="199"/>
      <c r="G125" s="199"/>
      <c r="H125" s="200"/>
      <c r="J125" t="s">
        <v>3442</v>
      </c>
    </row>
    <row r="126" spans="1:18" x14ac:dyDescent="0.25">
      <c r="A126" s="189"/>
      <c r="B126" s="190"/>
      <c r="C126" s="191"/>
      <c r="D126" s="164" t="s">
        <v>3372</v>
      </c>
      <c r="E126" s="199"/>
      <c r="F126" s="199"/>
      <c r="G126" s="199"/>
      <c r="H126" s="200"/>
      <c r="J126" t="s">
        <v>3443</v>
      </c>
    </row>
    <row r="127" spans="1:18" x14ac:dyDescent="0.25">
      <c r="A127" s="189"/>
      <c r="B127" s="190"/>
      <c r="C127" s="191"/>
      <c r="D127" s="164" t="s">
        <v>3372</v>
      </c>
      <c r="E127" s="199"/>
      <c r="F127" s="199"/>
      <c r="G127" s="199"/>
      <c r="H127" s="200"/>
      <c r="J127" t="s">
        <v>3444</v>
      </c>
    </row>
    <row r="128" spans="1:18" ht="15.75" thickBot="1" x14ac:dyDescent="0.3">
      <c r="A128" s="192"/>
      <c r="B128" s="193"/>
      <c r="C128" s="194"/>
      <c r="D128" s="166" t="s">
        <v>3372</v>
      </c>
      <c r="E128" s="201"/>
      <c r="F128" s="201"/>
      <c r="G128" s="201"/>
      <c r="H128" s="202"/>
      <c r="J128" s="170" t="s">
        <v>3445</v>
      </c>
    </row>
    <row r="129" spans="1:10" x14ac:dyDescent="0.25">
      <c r="J129" t="s">
        <v>3446</v>
      </c>
    </row>
    <row r="130" spans="1:10" x14ac:dyDescent="0.25">
      <c r="J130" t="s">
        <v>3447</v>
      </c>
    </row>
    <row r="131" spans="1:10" x14ac:dyDescent="0.25">
      <c r="G131" s="1" t="s">
        <v>3425</v>
      </c>
      <c r="H131" s="24">
        <f>G111</f>
        <v>2025</v>
      </c>
      <c r="J131" t="s">
        <v>3456</v>
      </c>
    </row>
    <row r="132" spans="1:10" x14ac:dyDescent="0.25">
      <c r="C132" s="2" t="s">
        <v>12</v>
      </c>
      <c r="G132" s="2" t="s">
        <v>10</v>
      </c>
      <c r="J132" s="170" t="s">
        <v>3448</v>
      </c>
    </row>
    <row r="133" spans="1:10" x14ac:dyDescent="0.25">
      <c r="J133" t="s">
        <v>3449</v>
      </c>
    </row>
    <row r="134" spans="1:10" x14ac:dyDescent="0.25">
      <c r="J134" t="s">
        <v>3450</v>
      </c>
    </row>
    <row r="135" spans="1:10" x14ac:dyDescent="0.25">
      <c r="J135" s="170" t="s">
        <v>3451</v>
      </c>
    </row>
    <row r="136" spans="1:10" x14ac:dyDescent="0.25">
      <c r="J136" t="s">
        <v>3452</v>
      </c>
    </row>
    <row r="137" spans="1:10" x14ac:dyDescent="0.25">
      <c r="G137" s="25" t="str">
        <f>G110</f>
        <v>Usman Nurhasan, S.Kom., M.T.</v>
      </c>
      <c r="J137" t="s">
        <v>3453</v>
      </c>
    </row>
    <row r="138" spans="1:10" x14ac:dyDescent="0.25">
      <c r="G138" s="24" t="str">
        <f>IF(G137="Dr. Drs. Sumiadji, Ak., M.SA.","NIP. 196405121993031001",IF(G137="Usman Nurhasan, S.Kom., M.T.","NIP. 198909162014042001",IF(G137="Ir. Wahiddin, S.T., MT.IPM.ASEAN Eng.","NIP. 197312072003121001",IF(G137="Dr. Ir. Azam Muzakhim Imammuddin, M.T.","NIP. 196705041994031004",IF(G137="Dr. Atik Andhayani, S.E., MSA.","NIP. 197505032009032001",IF(G137="Lina Budiarti, S.E., M.M.","NIP. 198609232015041001",IF(G137="Drs. Mufid M.T.","NIP. 196408221994031001",IF(G137="Lis Diana Mustafa, S.T., M.T.","NIP. 197805052001122003"))))))))</f>
        <v>NIP. 198909162014042001</v>
      </c>
      <c r="J138" t="s">
        <v>3454</v>
      </c>
    </row>
    <row r="139" spans="1:10" x14ac:dyDescent="0.25">
      <c r="J139" t="s">
        <v>3455</v>
      </c>
    </row>
    <row r="141" spans="1:10" ht="15.75" x14ac:dyDescent="0.25">
      <c r="A141" s="178" t="s">
        <v>3421</v>
      </c>
      <c r="B141" s="178"/>
      <c r="C141" s="178"/>
      <c r="D141" s="178"/>
      <c r="E141" s="178"/>
      <c r="F141" s="178"/>
      <c r="G141" s="178"/>
      <c r="H141" s="178"/>
    </row>
    <row r="142" spans="1:10" ht="15.75" x14ac:dyDescent="0.25">
      <c r="A142" s="178" t="s">
        <v>0</v>
      </c>
      <c r="B142" s="178"/>
      <c r="C142" s="178"/>
      <c r="D142" s="178"/>
      <c r="E142" s="178"/>
      <c r="F142" s="178"/>
      <c r="G142" s="178"/>
      <c r="H142" s="178"/>
    </row>
    <row r="143" spans="1:10" ht="15.75" x14ac:dyDescent="0.25">
      <c r="A143" s="178" t="s">
        <v>3422</v>
      </c>
      <c r="B143" s="178"/>
      <c r="C143" s="178"/>
      <c r="D143" s="178"/>
      <c r="E143" s="178"/>
      <c r="F143" s="178"/>
      <c r="G143" s="178"/>
      <c r="H143" s="178"/>
    </row>
    <row r="144" spans="1:10" ht="9" customHeight="1" thickBot="1" x14ac:dyDescent="0.3">
      <c r="A144" s="4"/>
      <c r="B144" s="4"/>
      <c r="C144" s="4"/>
      <c r="D144" s="4"/>
      <c r="E144" s="4"/>
      <c r="F144" s="4"/>
      <c r="G144" s="4"/>
      <c r="H144" s="4"/>
    </row>
    <row r="145" spans="1:18" ht="18" customHeight="1" x14ac:dyDescent="0.25">
      <c r="A145" s="139" t="s">
        <v>8</v>
      </c>
      <c r="B145" s="140" t="s">
        <v>6</v>
      </c>
      <c r="C145" s="183" t="e">
        <f>VLOOKUP(N147,Kegiatan!$A$3:$K$717,2,TRUE)</f>
        <v>#N/A</v>
      </c>
      <c r="D145" s="185"/>
      <c r="E145" s="141" t="s">
        <v>9</v>
      </c>
      <c r="F145" s="140" t="s">
        <v>6</v>
      </c>
      <c r="G145" s="183" t="s">
        <v>3122</v>
      </c>
      <c r="H145" s="184"/>
      <c r="J145" s="209" t="s">
        <v>3298</v>
      </c>
      <c r="K145" s="209"/>
      <c r="L145" s="209"/>
      <c r="M145" s="209"/>
      <c r="N145" s="209"/>
      <c r="O145" s="209"/>
      <c r="P145" s="209"/>
      <c r="Q145" s="209"/>
      <c r="R145" s="209"/>
    </row>
    <row r="146" spans="1:18" s="3" customFormat="1" ht="23.25" x14ac:dyDescent="0.25">
      <c r="A146" s="142" t="s">
        <v>14</v>
      </c>
      <c r="B146" s="6" t="s">
        <v>6</v>
      </c>
      <c r="C146" s="179"/>
      <c r="D146" s="179"/>
      <c r="E146" s="10" t="s">
        <v>3424</v>
      </c>
      <c r="F146" s="6" t="s">
        <v>7</v>
      </c>
      <c r="G146" s="179">
        <v>2025</v>
      </c>
      <c r="H146" s="180"/>
      <c r="J146" s="149">
        <v>1</v>
      </c>
      <c r="K146" s="149">
        <v>2</v>
      </c>
      <c r="L146" s="149">
        <v>3</v>
      </c>
      <c r="M146" s="149">
        <v>4</v>
      </c>
      <c r="N146" s="151">
        <v>5</v>
      </c>
      <c r="O146" s="149">
        <v>6</v>
      </c>
      <c r="P146" s="149">
        <v>7</v>
      </c>
      <c r="Q146" s="149">
        <v>8</v>
      </c>
      <c r="R146" s="149">
        <v>9</v>
      </c>
    </row>
    <row r="147" spans="1:18" s="23" customFormat="1" ht="46.35" customHeight="1" x14ac:dyDescent="0.25">
      <c r="A147" s="143" t="s">
        <v>1</v>
      </c>
      <c r="B147" s="9" t="s">
        <v>6</v>
      </c>
      <c r="C147" s="176" t="e">
        <f>VLOOKUP(N147,Kegiatan!$A$3:$K$717,3,TRUE)</f>
        <v>#N/A</v>
      </c>
      <c r="D147" s="176"/>
      <c r="E147" s="176"/>
      <c r="F147" s="9"/>
      <c r="G147" s="9"/>
      <c r="H147" s="144"/>
      <c r="J147" s="126">
        <f>J7</f>
        <v>36</v>
      </c>
      <c r="K147" s="126">
        <f t="shared" ref="K147:R147" si="3">K7</f>
        <v>0</v>
      </c>
      <c r="L147" s="126">
        <f t="shared" si="3"/>
        <v>0</v>
      </c>
      <c r="M147" s="126">
        <f t="shared" si="3"/>
        <v>0</v>
      </c>
      <c r="N147" s="150">
        <f t="shared" si="3"/>
        <v>0</v>
      </c>
      <c r="O147" s="126">
        <f t="shared" si="3"/>
        <v>0</v>
      </c>
      <c r="P147" s="126">
        <f t="shared" si="3"/>
        <v>0</v>
      </c>
      <c r="Q147" s="126">
        <f t="shared" si="3"/>
        <v>0</v>
      </c>
      <c r="R147" s="126">
        <f t="shared" si="3"/>
        <v>0</v>
      </c>
    </row>
    <row r="148" spans="1:18" s="3" customFormat="1" ht="44.45" customHeight="1" x14ac:dyDescent="0.25">
      <c r="A148" s="145" t="s">
        <v>5</v>
      </c>
      <c r="B148" s="5" t="s">
        <v>6</v>
      </c>
      <c r="C148" s="176" t="e">
        <f>VLOOKUP(N147,Kegiatan!$A$3:$K$717,10,TRUE)</f>
        <v>#N/A</v>
      </c>
      <c r="D148" s="176"/>
      <c r="E148" s="176"/>
      <c r="F148" s="176"/>
      <c r="G148" s="176"/>
      <c r="H148" s="177"/>
      <c r="K148" s="12"/>
      <c r="L148" s="12"/>
      <c r="M148" s="12"/>
      <c r="N148" s="12"/>
      <c r="O148" s="12"/>
      <c r="P148" s="12"/>
      <c r="Q148" s="12"/>
      <c r="R148" s="12"/>
    </row>
    <row r="149" spans="1:18" s="3" customFormat="1" ht="27.95" customHeight="1" x14ac:dyDescent="0.25">
      <c r="A149" s="146" t="s">
        <v>2</v>
      </c>
      <c r="B149" s="7" t="s">
        <v>6</v>
      </c>
      <c r="C149" s="181" t="e">
        <f>VLOOKUP(N147,Kegiatan!$A$3:$K$717,7,TRUE)</f>
        <v>#N/A</v>
      </c>
      <c r="D149" s="181"/>
      <c r="E149" s="8" t="s">
        <v>3300</v>
      </c>
      <c r="F149" s="7" t="s">
        <v>7</v>
      </c>
      <c r="G149" s="181" t="s">
        <v>3432</v>
      </c>
      <c r="H149" s="182"/>
      <c r="K149" s="12"/>
      <c r="L149" s="12"/>
      <c r="M149" s="12"/>
      <c r="N149" s="12"/>
      <c r="O149" s="12"/>
      <c r="P149" s="12"/>
      <c r="Q149" s="12"/>
      <c r="R149" s="12"/>
    </row>
    <row r="150" spans="1:18" x14ac:dyDescent="0.25">
      <c r="A150" s="147"/>
      <c r="H150" s="137"/>
    </row>
    <row r="151" spans="1:18" s="3" customFormat="1" ht="18" customHeight="1" x14ac:dyDescent="0.25">
      <c r="A151" s="171" t="s">
        <v>3</v>
      </c>
      <c r="B151" s="172"/>
      <c r="C151" s="173"/>
      <c r="D151" s="148" t="s">
        <v>4</v>
      </c>
      <c r="E151" s="174" t="s">
        <v>13</v>
      </c>
      <c r="F151" s="172"/>
      <c r="G151" s="172"/>
      <c r="H151" s="175"/>
      <c r="J151" t="s">
        <v>3433</v>
      </c>
      <c r="K151" s="12"/>
      <c r="L151" s="12"/>
      <c r="M151" s="12"/>
      <c r="N151" s="12"/>
      <c r="O151" s="12"/>
      <c r="P151" s="12"/>
      <c r="Q151" s="12"/>
      <c r="R151" s="12"/>
    </row>
    <row r="152" spans="1:18" ht="14.45" customHeight="1" x14ac:dyDescent="0.25">
      <c r="A152" s="186" t="e">
        <f>VLOOKUP(N147,Kegiatan!$A$3:$K$717,11,TRUE)</f>
        <v>#N/A</v>
      </c>
      <c r="B152" s="187"/>
      <c r="C152" s="188"/>
      <c r="D152" s="195" t="s">
        <v>3423</v>
      </c>
      <c r="E152" s="197" t="s">
        <v>3464</v>
      </c>
      <c r="F152" s="197"/>
      <c r="G152" s="197"/>
      <c r="H152" s="198"/>
      <c r="J152" t="s">
        <v>3457</v>
      </c>
    </row>
    <row r="153" spans="1:18" x14ac:dyDescent="0.25">
      <c r="A153" s="189"/>
      <c r="B153" s="190"/>
      <c r="C153" s="191"/>
      <c r="D153" s="196"/>
      <c r="E153" s="199"/>
      <c r="F153" s="199"/>
      <c r="G153" s="199"/>
      <c r="H153" s="200"/>
      <c r="J153" s="170" t="s">
        <v>3440</v>
      </c>
    </row>
    <row r="154" spans="1:18" x14ac:dyDescent="0.25">
      <c r="A154" s="189"/>
      <c r="B154" s="190"/>
      <c r="C154" s="191"/>
      <c r="D154" s="196"/>
      <c r="E154" s="199"/>
      <c r="F154" s="199"/>
      <c r="G154" s="199"/>
      <c r="H154" s="200"/>
      <c r="J154" t="s">
        <v>3434</v>
      </c>
    </row>
    <row r="155" spans="1:18" x14ac:dyDescent="0.25">
      <c r="A155" s="189"/>
      <c r="B155" s="190"/>
      <c r="C155" s="191"/>
      <c r="D155" s="196"/>
      <c r="E155" s="199"/>
      <c r="F155" s="199"/>
      <c r="G155" s="199"/>
      <c r="H155" s="200"/>
      <c r="J155" t="s">
        <v>3435</v>
      </c>
    </row>
    <row r="156" spans="1:18" x14ac:dyDescent="0.25">
      <c r="A156" s="189"/>
      <c r="B156" s="190"/>
      <c r="C156" s="191"/>
      <c r="D156" s="165" t="str">
        <f>IF(D152="Menerima Risiko","","Unit Penerima Risiko")</f>
        <v/>
      </c>
      <c r="E156" s="199"/>
      <c r="F156" s="199"/>
      <c r="G156" s="199"/>
      <c r="H156" s="200"/>
      <c r="J156" t="s">
        <v>3436</v>
      </c>
    </row>
    <row r="157" spans="1:18" x14ac:dyDescent="0.25">
      <c r="A157" s="189"/>
      <c r="B157" s="190"/>
      <c r="C157" s="191"/>
      <c r="D157" s="138"/>
      <c r="E157" s="199"/>
      <c r="F157" s="199"/>
      <c r="G157" s="199"/>
      <c r="H157" s="200"/>
      <c r="J157" t="s">
        <v>3437</v>
      </c>
    </row>
    <row r="158" spans="1:18" x14ac:dyDescent="0.25">
      <c r="A158" s="189"/>
      <c r="B158" s="190"/>
      <c r="C158" s="191"/>
      <c r="D158" s="138"/>
      <c r="E158" s="199"/>
      <c r="F158" s="199"/>
      <c r="G158" s="199"/>
      <c r="H158" s="200"/>
      <c r="J158" t="s">
        <v>3438</v>
      </c>
    </row>
    <row r="159" spans="1:18" x14ac:dyDescent="0.25">
      <c r="A159" s="189"/>
      <c r="B159" s="190"/>
      <c r="C159" s="191"/>
      <c r="D159" s="138"/>
      <c r="E159" s="199"/>
      <c r="F159" s="199"/>
      <c r="G159" s="199"/>
      <c r="H159" s="200"/>
      <c r="J159" t="s">
        <v>3439</v>
      </c>
    </row>
    <row r="160" spans="1:18" x14ac:dyDescent="0.25">
      <c r="A160" s="189"/>
      <c r="B160" s="190"/>
      <c r="C160" s="191"/>
      <c r="D160" s="165" t="s">
        <v>3371</v>
      </c>
      <c r="E160" s="199"/>
      <c r="F160" s="199"/>
      <c r="G160" s="199"/>
      <c r="H160" s="200"/>
      <c r="J160" s="170" t="s">
        <v>3441</v>
      </c>
    </row>
    <row r="161" spans="1:10" x14ac:dyDescent="0.25">
      <c r="A161" s="189"/>
      <c r="B161" s="190"/>
      <c r="C161" s="191"/>
      <c r="D161" s="164" t="s">
        <v>3372</v>
      </c>
      <c r="E161" s="199"/>
      <c r="F161" s="199"/>
      <c r="G161" s="199"/>
      <c r="H161" s="200"/>
      <c r="J161" t="s">
        <v>3442</v>
      </c>
    </row>
    <row r="162" spans="1:10" x14ac:dyDescent="0.25">
      <c r="A162" s="189"/>
      <c r="B162" s="190"/>
      <c r="C162" s="191"/>
      <c r="D162" s="164" t="s">
        <v>3372</v>
      </c>
      <c r="E162" s="199"/>
      <c r="F162" s="199"/>
      <c r="G162" s="199"/>
      <c r="H162" s="200"/>
      <c r="J162" t="s">
        <v>3443</v>
      </c>
    </row>
    <row r="163" spans="1:10" ht="15.75" thickBot="1" x14ac:dyDescent="0.3">
      <c r="A163" s="192"/>
      <c r="B163" s="193"/>
      <c r="C163" s="194"/>
      <c r="D163" s="166" t="s">
        <v>3372</v>
      </c>
      <c r="E163" s="201"/>
      <c r="F163" s="201"/>
      <c r="G163" s="201"/>
      <c r="H163" s="202"/>
      <c r="J163" t="s">
        <v>3444</v>
      </c>
    </row>
    <row r="164" spans="1:10" x14ac:dyDescent="0.25">
      <c r="J164" s="170" t="s">
        <v>3445</v>
      </c>
    </row>
    <row r="165" spans="1:10" x14ac:dyDescent="0.25">
      <c r="J165" t="s">
        <v>3446</v>
      </c>
    </row>
    <row r="166" spans="1:10" x14ac:dyDescent="0.25">
      <c r="G166" s="1" t="s">
        <v>3425</v>
      </c>
      <c r="H166" s="24">
        <f>G146</f>
        <v>2025</v>
      </c>
      <c r="J166" t="s">
        <v>3447</v>
      </c>
    </row>
    <row r="167" spans="1:10" x14ac:dyDescent="0.25">
      <c r="C167" s="2" t="s">
        <v>12</v>
      </c>
      <c r="G167" s="2" t="s">
        <v>10</v>
      </c>
      <c r="J167" t="s">
        <v>3456</v>
      </c>
    </row>
    <row r="168" spans="1:10" x14ac:dyDescent="0.25">
      <c r="J168" s="170" t="s">
        <v>3448</v>
      </c>
    </row>
    <row r="169" spans="1:10" x14ac:dyDescent="0.25">
      <c r="J169" t="s">
        <v>3449</v>
      </c>
    </row>
    <row r="170" spans="1:10" x14ac:dyDescent="0.25">
      <c r="J170" t="s">
        <v>3450</v>
      </c>
    </row>
    <row r="171" spans="1:10" x14ac:dyDescent="0.25">
      <c r="J171" s="170" t="s">
        <v>3451</v>
      </c>
    </row>
    <row r="172" spans="1:10" x14ac:dyDescent="0.25">
      <c r="G172" s="25" t="str">
        <f>G145</f>
        <v>Usman Nurhasan, S.Kom., M.T.</v>
      </c>
      <c r="J172" t="s">
        <v>3452</v>
      </c>
    </row>
    <row r="173" spans="1:10" x14ac:dyDescent="0.25">
      <c r="G173" s="24" t="str">
        <f>IF(G172="Dr. Drs. Sumiadji, Ak., M.SA.","NIP. 196405121993031001",IF(G172="Usman Nurhasan, S.Kom., M.T.","NIP. 198909162014042001",IF(G172="Ir. Wahiddin, S.T., MT.IPM.ASEAN Eng.","NIP. 197312072003121001",IF(G172="Dr. Ir. Azam Muzakhim Imammuddin, M.T.","NIP. 196705041994031004",IF(G172="Dr. Atik Andhayani, S.E., MSA.","NIP. 197505032009032001",IF(G172="Lina Budiarti, S.E., M.M.","NIP. 198609232015041001",IF(G172="Drs. Mufid M.T.","NIP. 196408221994031001",IF(G172="Lis Diana Mustafa, S.T., M.T.","NIP. 197805052001122003"))))))))</f>
        <v>NIP. 198909162014042001</v>
      </c>
      <c r="J173" t="s">
        <v>3453</v>
      </c>
    </row>
    <row r="174" spans="1:10" x14ac:dyDescent="0.25">
      <c r="J174" t="s">
        <v>3454</v>
      </c>
    </row>
    <row r="175" spans="1:10" x14ac:dyDescent="0.25">
      <c r="J175" t="s">
        <v>3455</v>
      </c>
    </row>
    <row r="176" spans="1:10" ht="15.75" x14ac:dyDescent="0.25">
      <c r="A176" s="178" t="s">
        <v>3421</v>
      </c>
      <c r="B176" s="178"/>
      <c r="C176" s="178"/>
      <c r="D176" s="178"/>
      <c r="E176" s="178"/>
      <c r="F176" s="178"/>
      <c r="G176" s="178"/>
      <c r="H176" s="178"/>
    </row>
    <row r="177" spans="1:18" ht="15.75" x14ac:dyDescent="0.25">
      <c r="A177" s="178" t="s">
        <v>0</v>
      </c>
      <c r="B177" s="178"/>
      <c r="C177" s="178"/>
      <c r="D177" s="178"/>
      <c r="E177" s="178"/>
      <c r="F177" s="178"/>
      <c r="G177" s="178"/>
      <c r="H177" s="178"/>
    </row>
    <row r="178" spans="1:18" ht="15.75" x14ac:dyDescent="0.25">
      <c r="A178" s="178" t="s">
        <v>3422</v>
      </c>
      <c r="B178" s="178"/>
      <c r="C178" s="178"/>
      <c r="D178" s="178"/>
      <c r="E178" s="178"/>
      <c r="F178" s="178"/>
      <c r="G178" s="178"/>
      <c r="H178" s="178"/>
    </row>
    <row r="179" spans="1:18" ht="9" customHeight="1" thickBot="1" x14ac:dyDescent="0.3">
      <c r="A179" s="4"/>
      <c r="B179" s="4"/>
      <c r="C179" s="4"/>
      <c r="D179" s="4"/>
      <c r="E179" s="4"/>
      <c r="F179" s="4"/>
      <c r="G179" s="4"/>
      <c r="H179" s="4"/>
    </row>
    <row r="180" spans="1:18" ht="18" customHeight="1" x14ac:dyDescent="0.25">
      <c r="A180" s="139" t="s">
        <v>8</v>
      </c>
      <c r="B180" s="140" t="s">
        <v>6</v>
      </c>
      <c r="C180" s="183" t="e">
        <f>VLOOKUP(O182,Kegiatan!$A$3:$K$717,2,TRUE)</f>
        <v>#N/A</v>
      </c>
      <c r="D180" s="185"/>
      <c r="E180" s="141" t="s">
        <v>9</v>
      </c>
      <c r="F180" s="140" t="s">
        <v>6</v>
      </c>
      <c r="G180" s="183" t="s">
        <v>3122</v>
      </c>
      <c r="H180" s="184"/>
      <c r="J180" s="209" t="s">
        <v>3298</v>
      </c>
      <c r="K180" s="209"/>
      <c r="L180" s="209"/>
      <c r="M180" s="209"/>
      <c r="N180" s="209"/>
      <c r="O180" s="209"/>
      <c r="P180" s="209"/>
      <c r="Q180" s="209"/>
      <c r="R180" s="209"/>
    </row>
    <row r="181" spans="1:18" s="3" customFormat="1" ht="23.25" x14ac:dyDescent="0.25">
      <c r="A181" s="142" t="s">
        <v>14</v>
      </c>
      <c r="B181" s="6" t="s">
        <v>6</v>
      </c>
      <c r="C181" s="179"/>
      <c r="D181" s="179"/>
      <c r="E181" s="10" t="s">
        <v>3424</v>
      </c>
      <c r="F181" s="6" t="s">
        <v>7</v>
      </c>
      <c r="G181" s="179">
        <v>2025</v>
      </c>
      <c r="H181" s="180"/>
      <c r="J181" s="149">
        <v>1</v>
      </c>
      <c r="K181" s="149">
        <v>2</v>
      </c>
      <c r="L181" s="149">
        <v>3</v>
      </c>
      <c r="M181" s="149">
        <v>4</v>
      </c>
      <c r="N181" s="149">
        <v>5</v>
      </c>
      <c r="O181" s="151">
        <v>6</v>
      </c>
      <c r="P181" s="149">
        <v>7</v>
      </c>
      <c r="Q181" s="149">
        <v>8</v>
      </c>
      <c r="R181" s="149">
        <v>9</v>
      </c>
    </row>
    <row r="182" spans="1:18" s="23" customFormat="1" ht="46.35" customHeight="1" x14ac:dyDescent="0.25">
      <c r="A182" s="143" t="s">
        <v>1</v>
      </c>
      <c r="B182" s="9" t="s">
        <v>6</v>
      </c>
      <c r="C182" s="176" t="e">
        <f>VLOOKUP(O182,Kegiatan!$A$3:$K$717,3,TRUE)</f>
        <v>#N/A</v>
      </c>
      <c r="D182" s="176"/>
      <c r="E182" s="176"/>
      <c r="F182" s="9"/>
      <c r="G182" s="9"/>
      <c r="H182" s="144"/>
      <c r="J182" s="126">
        <f>J7</f>
        <v>36</v>
      </c>
      <c r="K182" s="126">
        <f t="shared" ref="K182:N182" si="4">K7</f>
        <v>0</v>
      </c>
      <c r="L182" s="126">
        <f t="shared" si="4"/>
        <v>0</v>
      </c>
      <c r="M182" s="126">
        <f t="shared" si="4"/>
        <v>0</v>
      </c>
      <c r="N182" s="126">
        <f t="shared" si="4"/>
        <v>0</v>
      </c>
      <c r="O182" s="150">
        <f>O7</f>
        <v>0</v>
      </c>
      <c r="P182" s="126">
        <f>P7</f>
        <v>0</v>
      </c>
      <c r="Q182" s="126">
        <f>Q7</f>
        <v>0</v>
      </c>
      <c r="R182" s="126">
        <f>R7</f>
        <v>0</v>
      </c>
    </row>
    <row r="183" spans="1:18" s="3" customFormat="1" ht="44.45" customHeight="1" x14ac:dyDescent="0.25">
      <c r="A183" s="145" t="s">
        <v>5</v>
      </c>
      <c r="B183" s="5" t="s">
        <v>6</v>
      </c>
      <c r="C183" s="176" t="e">
        <f>VLOOKUP(O182,Kegiatan!$A$3:$K$717,10,TRUE)</f>
        <v>#N/A</v>
      </c>
      <c r="D183" s="176"/>
      <c r="E183" s="176"/>
      <c r="F183" s="176"/>
      <c r="G183" s="176"/>
      <c r="H183" s="177"/>
      <c r="K183" s="12"/>
      <c r="L183" s="12"/>
      <c r="M183" s="12"/>
      <c r="N183" s="12"/>
      <c r="O183" s="12"/>
      <c r="P183" s="12"/>
      <c r="Q183" s="12"/>
      <c r="R183" s="12"/>
    </row>
    <row r="184" spans="1:18" s="3" customFormat="1" ht="27.95" customHeight="1" x14ac:dyDescent="0.25">
      <c r="A184" s="146" t="s">
        <v>2</v>
      </c>
      <c r="B184" s="7" t="s">
        <v>6</v>
      </c>
      <c r="C184" s="181" t="e">
        <f>VLOOKUP(O182,Kegiatan!$A$3:$K$717,7,TRUE)</f>
        <v>#N/A</v>
      </c>
      <c r="D184" s="181"/>
      <c r="E184" s="8" t="s">
        <v>3300</v>
      </c>
      <c r="F184" s="7" t="s">
        <v>7</v>
      </c>
      <c r="G184" s="181" t="s">
        <v>3299</v>
      </c>
      <c r="H184" s="182"/>
      <c r="K184" s="12"/>
      <c r="L184" s="12"/>
      <c r="M184" s="12"/>
      <c r="N184" s="12"/>
      <c r="O184" s="12"/>
      <c r="P184" s="12"/>
      <c r="Q184" s="12"/>
      <c r="R184" s="12"/>
    </row>
    <row r="185" spans="1:18" x14ac:dyDescent="0.25">
      <c r="A185" s="147"/>
      <c r="H185" s="137"/>
      <c r="J185" t="s">
        <v>3433</v>
      </c>
    </row>
    <row r="186" spans="1:18" s="3" customFormat="1" ht="18" customHeight="1" x14ac:dyDescent="0.25">
      <c r="A186" s="171" t="s">
        <v>3</v>
      </c>
      <c r="B186" s="172"/>
      <c r="C186" s="173"/>
      <c r="D186" s="148" t="s">
        <v>4</v>
      </c>
      <c r="E186" s="174" t="s">
        <v>13</v>
      </c>
      <c r="F186" s="172"/>
      <c r="G186" s="172"/>
      <c r="H186" s="175"/>
      <c r="J186" t="s">
        <v>3457</v>
      </c>
      <c r="K186" s="12"/>
      <c r="L186" s="12"/>
      <c r="M186" s="12"/>
      <c r="N186" s="12"/>
      <c r="O186" s="12"/>
      <c r="P186" s="12"/>
      <c r="Q186" s="12"/>
      <c r="R186" s="12"/>
    </row>
    <row r="187" spans="1:18" ht="14.45" customHeight="1" x14ac:dyDescent="0.25">
      <c r="A187" s="186" t="e">
        <f>VLOOKUP(O182,Kegiatan!$A$3:$K$717,11,TRUE)</f>
        <v>#N/A</v>
      </c>
      <c r="B187" s="187"/>
      <c r="C187" s="188"/>
      <c r="D187" s="195" t="s">
        <v>3423</v>
      </c>
      <c r="E187" s="197" t="s">
        <v>3465</v>
      </c>
      <c r="F187" s="197"/>
      <c r="G187" s="197"/>
      <c r="H187" s="198"/>
      <c r="J187" s="170" t="s">
        <v>3440</v>
      </c>
    </row>
    <row r="188" spans="1:18" x14ac:dyDescent="0.25">
      <c r="A188" s="189"/>
      <c r="B188" s="190"/>
      <c r="C188" s="191"/>
      <c r="D188" s="196"/>
      <c r="E188" s="199"/>
      <c r="F188" s="199"/>
      <c r="G188" s="199"/>
      <c r="H188" s="200"/>
      <c r="J188" t="s">
        <v>3434</v>
      </c>
    </row>
    <row r="189" spans="1:18" x14ac:dyDescent="0.25">
      <c r="A189" s="189"/>
      <c r="B189" s="190"/>
      <c r="C189" s="191"/>
      <c r="D189" s="196"/>
      <c r="E189" s="199"/>
      <c r="F189" s="199"/>
      <c r="G189" s="199"/>
      <c r="H189" s="200"/>
      <c r="J189" t="s">
        <v>3435</v>
      </c>
    </row>
    <row r="190" spans="1:18" x14ac:dyDescent="0.25">
      <c r="A190" s="189"/>
      <c r="B190" s="190"/>
      <c r="C190" s="191"/>
      <c r="D190" s="196"/>
      <c r="E190" s="199"/>
      <c r="F190" s="199"/>
      <c r="G190" s="199"/>
      <c r="H190" s="200"/>
      <c r="J190" t="s">
        <v>3436</v>
      </c>
    </row>
    <row r="191" spans="1:18" x14ac:dyDescent="0.25">
      <c r="A191" s="189"/>
      <c r="B191" s="190"/>
      <c r="C191" s="191"/>
      <c r="D191" s="165" t="str">
        <f>IF(D187="Menerima Risiko","","Unit Penerima Risiko")</f>
        <v/>
      </c>
      <c r="E191" s="199"/>
      <c r="F191" s="199"/>
      <c r="G191" s="199"/>
      <c r="H191" s="200"/>
      <c r="J191" t="s">
        <v>3437</v>
      </c>
    </row>
    <row r="192" spans="1:18" x14ac:dyDescent="0.25">
      <c r="A192" s="189"/>
      <c r="B192" s="190"/>
      <c r="C192" s="191"/>
      <c r="D192" s="138"/>
      <c r="E192" s="199"/>
      <c r="F192" s="199"/>
      <c r="G192" s="199"/>
      <c r="H192" s="200"/>
      <c r="J192" t="s">
        <v>3438</v>
      </c>
    </row>
    <row r="193" spans="1:10" x14ac:dyDescent="0.25">
      <c r="A193" s="189"/>
      <c r="B193" s="190"/>
      <c r="C193" s="191"/>
      <c r="D193" s="138"/>
      <c r="E193" s="199"/>
      <c r="F193" s="199"/>
      <c r="G193" s="199"/>
      <c r="H193" s="200"/>
      <c r="J193" t="s">
        <v>3439</v>
      </c>
    </row>
    <row r="194" spans="1:10" x14ac:dyDescent="0.25">
      <c r="A194" s="189"/>
      <c r="B194" s="190"/>
      <c r="C194" s="191"/>
      <c r="D194" s="138"/>
      <c r="E194" s="199"/>
      <c r="F194" s="199"/>
      <c r="G194" s="199"/>
      <c r="H194" s="200"/>
      <c r="J194" s="170" t="s">
        <v>3441</v>
      </c>
    </row>
    <row r="195" spans="1:10" x14ac:dyDescent="0.25">
      <c r="A195" s="189"/>
      <c r="B195" s="190"/>
      <c r="C195" s="191"/>
      <c r="D195" s="165" t="s">
        <v>3371</v>
      </c>
      <c r="E195" s="199"/>
      <c r="F195" s="199"/>
      <c r="G195" s="199"/>
      <c r="H195" s="200"/>
      <c r="J195" t="s">
        <v>3442</v>
      </c>
    </row>
    <row r="196" spans="1:10" x14ac:dyDescent="0.25">
      <c r="A196" s="189"/>
      <c r="B196" s="190"/>
      <c r="C196" s="191"/>
      <c r="D196" s="164" t="s">
        <v>3372</v>
      </c>
      <c r="E196" s="199"/>
      <c r="F196" s="199"/>
      <c r="G196" s="199"/>
      <c r="H196" s="200"/>
      <c r="J196" t="s">
        <v>3443</v>
      </c>
    </row>
    <row r="197" spans="1:10" x14ac:dyDescent="0.25">
      <c r="A197" s="189"/>
      <c r="B197" s="190"/>
      <c r="C197" s="191"/>
      <c r="D197" s="164" t="s">
        <v>3372</v>
      </c>
      <c r="E197" s="199"/>
      <c r="F197" s="199"/>
      <c r="G197" s="199"/>
      <c r="H197" s="200"/>
      <c r="J197" t="s">
        <v>3444</v>
      </c>
    </row>
    <row r="198" spans="1:10" ht="15.75" thickBot="1" x14ac:dyDescent="0.3">
      <c r="A198" s="192"/>
      <c r="B198" s="193"/>
      <c r="C198" s="194"/>
      <c r="D198" s="166" t="s">
        <v>3372</v>
      </c>
      <c r="E198" s="201"/>
      <c r="F198" s="201"/>
      <c r="G198" s="201"/>
      <c r="H198" s="202"/>
      <c r="J198" s="170" t="s">
        <v>3445</v>
      </c>
    </row>
    <row r="199" spans="1:10" x14ac:dyDescent="0.25">
      <c r="J199" t="s">
        <v>3446</v>
      </c>
    </row>
    <row r="200" spans="1:10" x14ac:dyDescent="0.25">
      <c r="J200" t="s">
        <v>3447</v>
      </c>
    </row>
    <row r="201" spans="1:10" x14ac:dyDescent="0.25">
      <c r="G201" s="1" t="s">
        <v>3425</v>
      </c>
      <c r="H201" s="24">
        <f>G181</f>
        <v>2025</v>
      </c>
      <c r="J201" t="s">
        <v>3456</v>
      </c>
    </row>
    <row r="202" spans="1:10" x14ac:dyDescent="0.25">
      <c r="C202" s="2" t="s">
        <v>12</v>
      </c>
      <c r="G202" s="2" t="s">
        <v>10</v>
      </c>
      <c r="J202" s="170" t="s">
        <v>3448</v>
      </c>
    </row>
    <row r="203" spans="1:10" x14ac:dyDescent="0.25">
      <c r="J203" t="s">
        <v>3449</v>
      </c>
    </row>
    <row r="204" spans="1:10" x14ac:dyDescent="0.25">
      <c r="J204" t="s">
        <v>3450</v>
      </c>
    </row>
    <row r="205" spans="1:10" x14ac:dyDescent="0.25">
      <c r="J205" s="170" t="s">
        <v>3451</v>
      </c>
    </row>
    <row r="206" spans="1:10" x14ac:dyDescent="0.25">
      <c r="J206" t="s">
        <v>3452</v>
      </c>
    </row>
    <row r="207" spans="1:10" x14ac:dyDescent="0.25">
      <c r="G207" s="25" t="str">
        <f>G180</f>
        <v>Usman Nurhasan, S.Kom., M.T.</v>
      </c>
      <c r="J207" t="s">
        <v>3453</v>
      </c>
    </row>
    <row r="208" spans="1:10" x14ac:dyDescent="0.25">
      <c r="G208" s="24" t="str">
        <f>IF(G207="Dr. Drs. Sumiadji, Ak., M.SA.","NIP. 196405121993031001",IF(G207="Usman Nurhasan, S.Kom., M.T.","NIP. 198909162014042001",IF(G207="Ir. Wahiddin, S.T., MT.IPM.ASEAN Eng.","NIP. 197312072003121001",IF(G207="Dr. Ir. Azam Muzakhim Imammuddin, M.T.","NIP. 196705041994031004",IF(G207="Dr. Atik Andhayani, S.E., MSA.","NIP. 197505032009032001",IF(G207="Lina Budiarti, S.E., M.M.","NIP. 198609232015041001",IF(G207="Drs. Mufid M.T.","NIP. 196408221994031001",IF(G207="Lis Diana Mustafa, S.T., M.T.","NIP. 197805052001122003"))))))))</f>
        <v>NIP. 198909162014042001</v>
      </c>
      <c r="J208" t="s">
        <v>3454</v>
      </c>
    </row>
    <row r="209" spans="1:18" x14ac:dyDescent="0.25">
      <c r="J209" t="s">
        <v>3455</v>
      </c>
    </row>
    <row r="211" spans="1:18" ht="15.75" x14ac:dyDescent="0.25">
      <c r="A211" s="178" t="s">
        <v>3421</v>
      </c>
      <c r="B211" s="178"/>
      <c r="C211" s="178"/>
      <c r="D211" s="178"/>
      <c r="E211" s="178"/>
      <c r="F211" s="178"/>
      <c r="G211" s="178"/>
      <c r="H211" s="178"/>
    </row>
    <row r="212" spans="1:18" ht="15.75" x14ac:dyDescent="0.25">
      <c r="A212" s="178" t="s">
        <v>0</v>
      </c>
      <c r="B212" s="178"/>
      <c r="C212" s="178"/>
      <c r="D212" s="178"/>
      <c r="E212" s="178"/>
      <c r="F212" s="178"/>
      <c r="G212" s="178"/>
      <c r="H212" s="178"/>
    </row>
    <row r="213" spans="1:18" ht="15.75" x14ac:dyDescent="0.25">
      <c r="A213" s="178" t="s">
        <v>3422</v>
      </c>
      <c r="B213" s="178"/>
      <c r="C213" s="178"/>
      <c r="D213" s="178"/>
      <c r="E213" s="178"/>
      <c r="F213" s="178"/>
      <c r="G213" s="178"/>
      <c r="H213" s="178"/>
    </row>
    <row r="214" spans="1:18" ht="9" customHeight="1" thickBot="1" x14ac:dyDescent="0.3">
      <c r="A214" s="4"/>
      <c r="B214" s="4"/>
      <c r="C214" s="4"/>
      <c r="D214" s="4"/>
      <c r="E214" s="4"/>
      <c r="F214" s="4"/>
      <c r="G214" s="4"/>
      <c r="H214" s="4"/>
    </row>
    <row r="215" spans="1:18" ht="18" customHeight="1" x14ac:dyDescent="0.25">
      <c r="A215" s="139" t="s">
        <v>8</v>
      </c>
      <c r="B215" s="140" t="s">
        <v>6</v>
      </c>
      <c r="C215" s="183" t="e">
        <f>VLOOKUP(P217,Kegiatan!$A$3:$K$717,2,TRUE)</f>
        <v>#N/A</v>
      </c>
      <c r="D215" s="185"/>
      <c r="E215" s="141" t="s">
        <v>9</v>
      </c>
      <c r="F215" s="140" t="s">
        <v>6</v>
      </c>
      <c r="G215" s="183" t="s">
        <v>3122</v>
      </c>
      <c r="H215" s="184"/>
      <c r="J215" s="209" t="s">
        <v>3298</v>
      </c>
      <c r="K215" s="209"/>
      <c r="L215" s="209"/>
      <c r="M215" s="209"/>
      <c r="N215" s="209"/>
      <c r="O215" s="209"/>
      <c r="P215" s="209"/>
      <c r="Q215" s="209"/>
      <c r="R215" s="209"/>
    </row>
    <row r="216" spans="1:18" s="3" customFormat="1" ht="23.25" x14ac:dyDescent="0.25">
      <c r="A216" s="142" t="s">
        <v>14</v>
      </c>
      <c r="B216" s="6" t="s">
        <v>6</v>
      </c>
      <c r="C216" s="179"/>
      <c r="D216" s="179"/>
      <c r="E216" s="10" t="s">
        <v>3424</v>
      </c>
      <c r="F216" s="6" t="s">
        <v>7</v>
      </c>
      <c r="G216" s="179">
        <v>2025</v>
      </c>
      <c r="H216" s="180"/>
      <c r="J216" s="149">
        <v>1</v>
      </c>
      <c r="K216" s="149">
        <v>2</v>
      </c>
      <c r="L216" s="149">
        <v>3</v>
      </c>
      <c r="M216" s="149">
        <v>4</v>
      </c>
      <c r="N216" s="149">
        <v>5</v>
      </c>
      <c r="O216" s="149">
        <v>6</v>
      </c>
      <c r="P216" s="151">
        <v>7</v>
      </c>
      <c r="Q216" s="149">
        <v>8</v>
      </c>
      <c r="R216" s="149">
        <v>9</v>
      </c>
    </row>
    <row r="217" spans="1:18" s="23" customFormat="1" ht="46.35" customHeight="1" x14ac:dyDescent="0.25">
      <c r="A217" s="143" t="s">
        <v>1</v>
      </c>
      <c r="B217" s="9" t="s">
        <v>6</v>
      </c>
      <c r="C217" s="176" t="e">
        <f>VLOOKUP(P217,Kegiatan!$A$3:$K$717,3,TRUE)</f>
        <v>#N/A</v>
      </c>
      <c r="D217" s="176"/>
      <c r="E217" s="176"/>
      <c r="F217" s="9"/>
      <c r="G217" s="9"/>
      <c r="H217" s="144"/>
      <c r="J217" s="126">
        <f>J7</f>
        <v>36</v>
      </c>
      <c r="K217" s="126">
        <f t="shared" ref="K217:R217" si="5">K7</f>
        <v>0</v>
      </c>
      <c r="L217" s="126">
        <f t="shared" si="5"/>
        <v>0</v>
      </c>
      <c r="M217" s="126">
        <f t="shared" si="5"/>
        <v>0</v>
      </c>
      <c r="N217" s="126">
        <f t="shared" si="5"/>
        <v>0</v>
      </c>
      <c r="O217" s="126">
        <f t="shared" si="5"/>
        <v>0</v>
      </c>
      <c r="P217" s="150">
        <f t="shared" si="5"/>
        <v>0</v>
      </c>
      <c r="Q217" s="126">
        <f t="shared" si="5"/>
        <v>0</v>
      </c>
      <c r="R217" s="126">
        <f t="shared" si="5"/>
        <v>0</v>
      </c>
    </row>
    <row r="218" spans="1:18" s="3" customFormat="1" ht="44.45" customHeight="1" x14ac:dyDescent="0.25">
      <c r="A218" s="145" t="s">
        <v>5</v>
      </c>
      <c r="B218" s="5" t="s">
        <v>6</v>
      </c>
      <c r="C218" s="176" t="e">
        <f>VLOOKUP(P217,Kegiatan!$A$3:$K$717,10,TRUE)</f>
        <v>#N/A</v>
      </c>
      <c r="D218" s="176"/>
      <c r="E218" s="176"/>
      <c r="F218" s="176"/>
      <c r="G218" s="176"/>
      <c r="H218" s="177"/>
      <c r="K218" s="12"/>
      <c r="L218" s="12"/>
      <c r="M218" s="12"/>
      <c r="N218" s="12"/>
      <c r="O218" s="12"/>
      <c r="P218" s="12"/>
      <c r="Q218" s="12"/>
      <c r="R218" s="12"/>
    </row>
    <row r="219" spans="1:18" s="3" customFormat="1" ht="27.95" customHeight="1" x14ac:dyDescent="0.25">
      <c r="A219" s="146" t="s">
        <v>2</v>
      </c>
      <c r="B219" s="7" t="s">
        <v>6</v>
      </c>
      <c r="C219" s="181" t="e">
        <f>VLOOKUP(P217,Kegiatan!$A$3:$K$717,7,TRUE)</f>
        <v>#N/A</v>
      </c>
      <c r="D219" s="181"/>
      <c r="E219" s="8" t="s">
        <v>3300</v>
      </c>
      <c r="F219" s="7" t="s">
        <v>7</v>
      </c>
      <c r="G219" s="181" t="s">
        <v>3299</v>
      </c>
      <c r="H219" s="182"/>
      <c r="K219" s="12"/>
      <c r="L219" s="12"/>
      <c r="M219" s="12"/>
      <c r="N219" s="12"/>
      <c r="O219" s="12"/>
      <c r="P219" s="12"/>
      <c r="Q219" s="12"/>
      <c r="R219" s="12"/>
    </row>
    <row r="220" spans="1:18" x14ac:dyDescent="0.25">
      <c r="A220" s="147"/>
      <c r="H220" s="137"/>
      <c r="J220" t="s">
        <v>3433</v>
      </c>
    </row>
    <row r="221" spans="1:18" s="3" customFormat="1" ht="18" customHeight="1" x14ac:dyDescent="0.25">
      <c r="A221" s="171" t="s">
        <v>3</v>
      </c>
      <c r="B221" s="172"/>
      <c r="C221" s="173"/>
      <c r="D221" s="148" t="s">
        <v>4</v>
      </c>
      <c r="E221" s="174" t="s">
        <v>13</v>
      </c>
      <c r="F221" s="172"/>
      <c r="G221" s="172"/>
      <c r="H221" s="175"/>
      <c r="J221" t="s">
        <v>3457</v>
      </c>
      <c r="K221" s="12"/>
      <c r="L221" s="12"/>
      <c r="M221" s="12"/>
      <c r="N221" s="12"/>
      <c r="O221" s="12"/>
      <c r="P221" s="12"/>
      <c r="Q221" s="12"/>
      <c r="R221" s="12"/>
    </row>
    <row r="222" spans="1:18" ht="14.45" customHeight="1" x14ac:dyDescent="0.25">
      <c r="A222" s="186" t="e">
        <f>VLOOKUP(P217,Kegiatan!$A$3:$K$717,11,TRUE)</f>
        <v>#N/A</v>
      </c>
      <c r="B222" s="187"/>
      <c r="C222" s="188"/>
      <c r="D222" s="195" t="s">
        <v>3423</v>
      </c>
      <c r="E222" s="197" t="s">
        <v>3466</v>
      </c>
      <c r="F222" s="197"/>
      <c r="G222" s="197"/>
      <c r="H222" s="198"/>
      <c r="J222" s="170" t="s">
        <v>3440</v>
      </c>
    </row>
    <row r="223" spans="1:18" x14ac:dyDescent="0.25">
      <c r="A223" s="189"/>
      <c r="B223" s="190"/>
      <c r="C223" s="191"/>
      <c r="D223" s="196"/>
      <c r="E223" s="199"/>
      <c r="F223" s="199"/>
      <c r="G223" s="199"/>
      <c r="H223" s="200"/>
      <c r="J223" t="s">
        <v>3434</v>
      </c>
    </row>
    <row r="224" spans="1:18" x14ac:dyDescent="0.25">
      <c r="A224" s="189"/>
      <c r="B224" s="190"/>
      <c r="C224" s="191"/>
      <c r="D224" s="196"/>
      <c r="E224" s="199"/>
      <c r="F224" s="199"/>
      <c r="G224" s="199"/>
      <c r="H224" s="200"/>
      <c r="J224" t="s">
        <v>3435</v>
      </c>
    </row>
    <row r="225" spans="1:10" x14ac:dyDescent="0.25">
      <c r="A225" s="189"/>
      <c r="B225" s="190"/>
      <c r="C225" s="191"/>
      <c r="D225" s="196"/>
      <c r="E225" s="199"/>
      <c r="F225" s="199"/>
      <c r="G225" s="199"/>
      <c r="H225" s="200"/>
      <c r="J225" t="s">
        <v>3436</v>
      </c>
    </row>
    <row r="226" spans="1:10" x14ac:dyDescent="0.25">
      <c r="A226" s="189"/>
      <c r="B226" s="190"/>
      <c r="C226" s="191"/>
      <c r="D226" s="165" t="str">
        <f>IF(D222="Menerima Risiko","","Unit Penerima Risiko")</f>
        <v/>
      </c>
      <c r="E226" s="199"/>
      <c r="F226" s="199"/>
      <c r="G226" s="199"/>
      <c r="H226" s="200"/>
      <c r="J226" t="s">
        <v>3437</v>
      </c>
    </row>
    <row r="227" spans="1:10" x14ac:dyDescent="0.25">
      <c r="A227" s="189"/>
      <c r="B227" s="190"/>
      <c r="C227" s="191"/>
      <c r="D227" s="138"/>
      <c r="E227" s="199"/>
      <c r="F227" s="199"/>
      <c r="G227" s="199"/>
      <c r="H227" s="200"/>
      <c r="J227" t="s">
        <v>3438</v>
      </c>
    </row>
    <row r="228" spans="1:10" x14ac:dyDescent="0.25">
      <c r="A228" s="189"/>
      <c r="B228" s="190"/>
      <c r="C228" s="191"/>
      <c r="D228" s="138"/>
      <c r="E228" s="199"/>
      <c r="F228" s="199"/>
      <c r="G228" s="199"/>
      <c r="H228" s="200"/>
      <c r="J228" t="s">
        <v>3439</v>
      </c>
    </row>
    <row r="229" spans="1:10" x14ac:dyDescent="0.25">
      <c r="A229" s="189"/>
      <c r="B229" s="190"/>
      <c r="C229" s="191"/>
      <c r="D229" s="138"/>
      <c r="E229" s="199"/>
      <c r="F229" s="199"/>
      <c r="G229" s="199"/>
      <c r="H229" s="200"/>
      <c r="J229" s="170" t="s">
        <v>3441</v>
      </c>
    </row>
    <row r="230" spans="1:10" x14ac:dyDescent="0.25">
      <c r="A230" s="189"/>
      <c r="B230" s="190"/>
      <c r="C230" s="191"/>
      <c r="D230" s="165" t="s">
        <v>3371</v>
      </c>
      <c r="E230" s="199"/>
      <c r="F230" s="199"/>
      <c r="G230" s="199"/>
      <c r="H230" s="200"/>
      <c r="J230" t="s">
        <v>3442</v>
      </c>
    </row>
    <row r="231" spans="1:10" x14ac:dyDescent="0.25">
      <c r="A231" s="189"/>
      <c r="B231" s="190"/>
      <c r="C231" s="191"/>
      <c r="D231" s="164" t="s">
        <v>3372</v>
      </c>
      <c r="E231" s="199"/>
      <c r="F231" s="199"/>
      <c r="G231" s="199"/>
      <c r="H231" s="200"/>
      <c r="J231" t="s">
        <v>3443</v>
      </c>
    </row>
    <row r="232" spans="1:10" x14ac:dyDescent="0.25">
      <c r="A232" s="189"/>
      <c r="B232" s="190"/>
      <c r="C232" s="191"/>
      <c r="D232" s="164" t="s">
        <v>3372</v>
      </c>
      <c r="E232" s="199"/>
      <c r="F232" s="199"/>
      <c r="G232" s="199"/>
      <c r="H232" s="200"/>
      <c r="J232" t="s">
        <v>3444</v>
      </c>
    </row>
    <row r="233" spans="1:10" ht="15.75" thickBot="1" x14ac:dyDescent="0.3">
      <c r="A233" s="192"/>
      <c r="B233" s="193"/>
      <c r="C233" s="194"/>
      <c r="D233" s="166" t="s">
        <v>3372</v>
      </c>
      <c r="E233" s="201"/>
      <c r="F233" s="201"/>
      <c r="G233" s="201"/>
      <c r="H233" s="202"/>
      <c r="J233" s="170" t="s">
        <v>3445</v>
      </c>
    </row>
    <row r="234" spans="1:10" x14ac:dyDescent="0.25">
      <c r="J234" t="s">
        <v>3446</v>
      </c>
    </row>
    <row r="235" spans="1:10" x14ac:dyDescent="0.25">
      <c r="J235" t="s">
        <v>3447</v>
      </c>
    </row>
    <row r="236" spans="1:10" x14ac:dyDescent="0.25">
      <c r="G236" s="1" t="s">
        <v>3425</v>
      </c>
      <c r="H236" s="24">
        <f>G216</f>
        <v>2025</v>
      </c>
      <c r="J236" t="s">
        <v>3456</v>
      </c>
    </row>
    <row r="237" spans="1:10" x14ac:dyDescent="0.25">
      <c r="C237" s="2" t="s">
        <v>12</v>
      </c>
      <c r="G237" s="2" t="s">
        <v>10</v>
      </c>
      <c r="J237" s="170" t="s">
        <v>3448</v>
      </c>
    </row>
    <row r="238" spans="1:10" x14ac:dyDescent="0.25">
      <c r="J238" t="s">
        <v>3449</v>
      </c>
    </row>
    <row r="239" spans="1:10" x14ac:dyDescent="0.25">
      <c r="J239" t="s">
        <v>3450</v>
      </c>
    </row>
    <row r="240" spans="1:10" x14ac:dyDescent="0.25">
      <c r="J240" s="170" t="s">
        <v>3451</v>
      </c>
    </row>
    <row r="241" spans="1:18" x14ac:dyDescent="0.25">
      <c r="J241" t="s">
        <v>3452</v>
      </c>
    </row>
    <row r="242" spans="1:18" x14ac:dyDescent="0.25">
      <c r="G242" s="25" t="str">
        <f>G215</f>
        <v>Usman Nurhasan, S.Kom., M.T.</v>
      </c>
      <c r="J242" t="s">
        <v>3453</v>
      </c>
    </row>
    <row r="243" spans="1:18" x14ac:dyDescent="0.25">
      <c r="G243" s="24" t="str">
        <f>IF(G242="Dr. Drs. Sumiadji, Ak., M.SA.","NIP. 196405121993031001",IF(G242="Usman Nurhasan, S.Kom., M.T.","NIP. 198909162014042001",IF(G242="Ir. Wahiddin, S.T., MT.IPM.ASEAN Eng.","NIP. 197312072003121001",IF(G242="Dr. Ir. Azam Muzakhim Imammuddin, M.T.","NIP. 196705041994031004",IF(G242="Dr. Atik Andhayani, S.E., MSA.","NIP. 197505032009032001",IF(G242="Lina Budiarti, S.E., M.M.","NIP. 198609232015041001",IF(G242="Drs. Mufid M.T.","NIP. 196408221994031001",IF(G242="Lis Diana Mustafa, S.T., M.T.","NIP. 197805052001122003"))))))))</f>
        <v>NIP. 198909162014042001</v>
      </c>
      <c r="J243" t="s">
        <v>3454</v>
      </c>
    </row>
    <row r="244" spans="1:18" x14ac:dyDescent="0.25">
      <c r="J244" t="s">
        <v>3455</v>
      </c>
    </row>
    <row r="246" spans="1:18" ht="15.75" x14ac:dyDescent="0.25">
      <c r="A246" s="178" t="s">
        <v>3421</v>
      </c>
      <c r="B246" s="178"/>
      <c r="C246" s="178"/>
      <c r="D246" s="178"/>
      <c r="E246" s="178"/>
      <c r="F246" s="178"/>
      <c r="G246" s="178"/>
      <c r="H246" s="178"/>
    </row>
    <row r="247" spans="1:18" ht="15.75" x14ac:dyDescent="0.25">
      <c r="A247" s="178" t="s">
        <v>0</v>
      </c>
      <c r="B247" s="178"/>
      <c r="C247" s="178"/>
      <c r="D247" s="178"/>
      <c r="E247" s="178"/>
      <c r="F247" s="178"/>
      <c r="G247" s="178"/>
      <c r="H247" s="178"/>
    </row>
    <row r="248" spans="1:18" ht="15.75" x14ac:dyDescent="0.25">
      <c r="A248" s="178" t="s">
        <v>3422</v>
      </c>
      <c r="B248" s="178"/>
      <c r="C248" s="178"/>
      <c r="D248" s="178"/>
      <c r="E248" s="178"/>
      <c r="F248" s="178"/>
      <c r="G248" s="178"/>
      <c r="H248" s="178"/>
    </row>
    <row r="249" spans="1:18" ht="9" customHeight="1" thickBot="1" x14ac:dyDescent="0.3">
      <c r="A249" s="4"/>
      <c r="B249" s="4"/>
      <c r="C249" s="4"/>
      <c r="D249" s="4"/>
      <c r="E249" s="4"/>
      <c r="F249" s="4"/>
      <c r="G249" s="4"/>
      <c r="H249" s="4"/>
    </row>
    <row r="250" spans="1:18" ht="18" customHeight="1" x14ac:dyDescent="0.25">
      <c r="A250" s="139" t="s">
        <v>8</v>
      </c>
      <c r="B250" s="140" t="s">
        <v>6</v>
      </c>
      <c r="C250" s="183" t="e">
        <f>VLOOKUP(Q252,Kegiatan!$A$3:$K$717,2,TRUE)</f>
        <v>#N/A</v>
      </c>
      <c r="D250" s="185"/>
      <c r="E250" s="141" t="s">
        <v>9</v>
      </c>
      <c r="F250" s="140" t="s">
        <v>6</v>
      </c>
      <c r="G250" s="183" t="s">
        <v>3122</v>
      </c>
      <c r="H250" s="184"/>
      <c r="J250" s="209" t="s">
        <v>3298</v>
      </c>
      <c r="K250" s="209"/>
      <c r="L250" s="209"/>
      <c r="M250" s="209"/>
      <c r="N250" s="209"/>
      <c r="O250" s="209"/>
      <c r="P250" s="209"/>
      <c r="Q250" s="209"/>
      <c r="R250" s="209"/>
    </row>
    <row r="251" spans="1:18" s="3" customFormat="1" ht="23.25" x14ac:dyDescent="0.25">
      <c r="A251" s="142" t="s">
        <v>14</v>
      </c>
      <c r="B251" s="6" t="s">
        <v>6</v>
      </c>
      <c r="C251" s="179"/>
      <c r="D251" s="179"/>
      <c r="E251" s="10" t="s">
        <v>3424</v>
      </c>
      <c r="F251" s="6" t="s">
        <v>7</v>
      </c>
      <c r="G251" s="179">
        <v>2025</v>
      </c>
      <c r="H251" s="180"/>
      <c r="J251" s="149">
        <v>1</v>
      </c>
      <c r="K251" s="149">
        <v>2</v>
      </c>
      <c r="L251" s="149">
        <v>3</v>
      </c>
      <c r="M251" s="149">
        <v>4</v>
      </c>
      <c r="N251" s="149">
        <v>5</v>
      </c>
      <c r="O251" s="149">
        <v>6</v>
      </c>
      <c r="P251" s="149">
        <v>7</v>
      </c>
      <c r="Q251" s="151">
        <v>8</v>
      </c>
      <c r="R251" s="149">
        <v>9</v>
      </c>
    </row>
    <row r="252" spans="1:18" s="23" customFormat="1" ht="46.35" customHeight="1" x14ac:dyDescent="0.25">
      <c r="A252" s="143" t="s">
        <v>1</v>
      </c>
      <c r="B252" s="9" t="s">
        <v>6</v>
      </c>
      <c r="C252" s="176" t="e">
        <f>VLOOKUP(Q252,Kegiatan!$A$3:$K$717,3,TRUE)</f>
        <v>#N/A</v>
      </c>
      <c r="D252" s="176"/>
      <c r="E252" s="176"/>
      <c r="F252" s="9"/>
      <c r="G252" s="9"/>
      <c r="H252" s="144"/>
      <c r="J252" s="126">
        <v>36</v>
      </c>
      <c r="K252" s="126">
        <v>0</v>
      </c>
      <c r="L252" s="126">
        <v>0</v>
      </c>
      <c r="M252" s="126">
        <v>0</v>
      </c>
      <c r="N252" s="126">
        <v>0</v>
      </c>
      <c r="O252" s="126">
        <v>0</v>
      </c>
      <c r="P252" s="126">
        <v>0</v>
      </c>
      <c r="Q252" s="150">
        <v>0</v>
      </c>
      <c r="R252" s="126">
        <f t="shared" ref="R252" si="6">R7</f>
        <v>0</v>
      </c>
    </row>
    <row r="253" spans="1:18" s="3" customFormat="1" ht="44.45" customHeight="1" x14ac:dyDescent="0.25">
      <c r="A253" s="145" t="s">
        <v>5</v>
      </c>
      <c r="B253" s="5" t="s">
        <v>6</v>
      </c>
      <c r="C253" s="176" t="e">
        <f>VLOOKUP(Q252,Kegiatan!$A$3:$K$717,10,TRUE)</f>
        <v>#N/A</v>
      </c>
      <c r="D253" s="176"/>
      <c r="E253" s="176"/>
      <c r="F253" s="176"/>
      <c r="G253" s="176"/>
      <c r="H253" s="177"/>
      <c r="K253" s="12"/>
      <c r="L253" s="12"/>
      <c r="M253" s="12"/>
      <c r="N253" s="12"/>
      <c r="O253" s="12"/>
      <c r="P253" s="12"/>
      <c r="Q253" s="12"/>
      <c r="R253" s="12"/>
    </row>
    <row r="254" spans="1:18" s="3" customFormat="1" ht="27.95" customHeight="1" x14ac:dyDescent="0.25">
      <c r="A254" s="146" t="s">
        <v>2</v>
      </c>
      <c r="B254" s="7" t="s">
        <v>6</v>
      </c>
      <c r="C254" s="181" t="e">
        <f>VLOOKUP(Q252,Kegiatan!$A$3:$K$717,7,TRUE)</f>
        <v>#N/A</v>
      </c>
      <c r="D254" s="181"/>
      <c r="E254" s="8" t="s">
        <v>3300</v>
      </c>
      <c r="F254" s="7" t="s">
        <v>7</v>
      </c>
      <c r="G254" s="181" t="s">
        <v>3299</v>
      </c>
      <c r="H254" s="182"/>
      <c r="K254" s="12"/>
      <c r="L254" s="12"/>
      <c r="M254" s="12"/>
      <c r="N254" s="12"/>
      <c r="O254" s="12"/>
      <c r="P254" s="12"/>
      <c r="Q254" s="12"/>
      <c r="R254" s="12"/>
    </row>
    <row r="255" spans="1:18" x14ac:dyDescent="0.25">
      <c r="A255" s="147"/>
      <c r="H255" s="137"/>
      <c r="J255" t="s">
        <v>3433</v>
      </c>
    </row>
    <row r="256" spans="1:18" s="3" customFormat="1" ht="18" customHeight="1" x14ac:dyDescent="0.25">
      <c r="A256" s="171" t="s">
        <v>3</v>
      </c>
      <c r="B256" s="172"/>
      <c r="C256" s="173"/>
      <c r="D256" s="148" t="s">
        <v>4</v>
      </c>
      <c r="E256" s="174" t="s">
        <v>13</v>
      </c>
      <c r="F256" s="172"/>
      <c r="G256" s="172"/>
      <c r="H256" s="175"/>
      <c r="J256" t="s">
        <v>3457</v>
      </c>
      <c r="K256" s="12"/>
      <c r="L256" s="12"/>
      <c r="M256" s="12"/>
      <c r="N256" s="12"/>
      <c r="O256" s="12"/>
      <c r="P256" s="12"/>
      <c r="Q256" s="12"/>
      <c r="R256" s="12"/>
    </row>
    <row r="257" spans="1:10" ht="14.45" customHeight="1" x14ac:dyDescent="0.25">
      <c r="A257" s="186" t="e">
        <f>VLOOKUP(Q252,Kegiatan!$A$3:$K$717,11,TRUE)</f>
        <v>#N/A</v>
      </c>
      <c r="B257" s="187"/>
      <c r="C257" s="188"/>
      <c r="D257" s="195" t="s">
        <v>3423</v>
      </c>
      <c r="E257" s="197" t="s">
        <v>3467</v>
      </c>
      <c r="F257" s="197"/>
      <c r="G257" s="197"/>
      <c r="H257" s="198"/>
      <c r="J257" s="170" t="s">
        <v>3440</v>
      </c>
    </row>
    <row r="258" spans="1:10" x14ac:dyDescent="0.25">
      <c r="A258" s="189"/>
      <c r="B258" s="190"/>
      <c r="C258" s="191"/>
      <c r="D258" s="196"/>
      <c r="E258" s="199"/>
      <c r="F258" s="199"/>
      <c r="G258" s="199"/>
      <c r="H258" s="200"/>
      <c r="J258" t="s">
        <v>3434</v>
      </c>
    </row>
    <row r="259" spans="1:10" x14ac:dyDescent="0.25">
      <c r="A259" s="189"/>
      <c r="B259" s="190"/>
      <c r="C259" s="191"/>
      <c r="D259" s="196"/>
      <c r="E259" s="199"/>
      <c r="F259" s="199"/>
      <c r="G259" s="199"/>
      <c r="H259" s="200"/>
      <c r="J259" t="s">
        <v>3435</v>
      </c>
    </row>
    <row r="260" spans="1:10" x14ac:dyDescent="0.25">
      <c r="A260" s="189"/>
      <c r="B260" s="190"/>
      <c r="C260" s="191"/>
      <c r="D260" s="196"/>
      <c r="E260" s="199"/>
      <c r="F260" s="199"/>
      <c r="G260" s="199"/>
      <c r="H260" s="200"/>
      <c r="J260" t="s">
        <v>3436</v>
      </c>
    </row>
    <row r="261" spans="1:10" x14ac:dyDescent="0.25">
      <c r="A261" s="189"/>
      <c r="B261" s="190"/>
      <c r="C261" s="191"/>
      <c r="D261" s="165" t="str">
        <f>IF(D257="Menerima Risiko","","Unit Penerima Risiko")</f>
        <v/>
      </c>
      <c r="E261" s="199"/>
      <c r="F261" s="199"/>
      <c r="G261" s="199"/>
      <c r="H261" s="200"/>
      <c r="J261" t="s">
        <v>3437</v>
      </c>
    </row>
    <row r="262" spans="1:10" x14ac:dyDescent="0.25">
      <c r="A262" s="189"/>
      <c r="B262" s="190"/>
      <c r="C262" s="191"/>
      <c r="D262" s="138"/>
      <c r="E262" s="199"/>
      <c r="F262" s="199"/>
      <c r="G262" s="199"/>
      <c r="H262" s="200"/>
      <c r="J262" t="s">
        <v>3438</v>
      </c>
    </row>
    <row r="263" spans="1:10" x14ac:dyDescent="0.25">
      <c r="A263" s="189"/>
      <c r="B263" s="190"/>
      <c r="C263" s="191"/>
      <c r="D263" s="138"/>
      <c r="E263" s="199"/>
      <c r="F263" s="199"/>
      <c r="G263" s="199"/>
      <c r="H263" s="200"/>
      <c r="J263" t="s">
        <v>3439</v>
      </c>
    </row>
    <row r="264" spans="1:10" x14ac:dyDescent="0.25">
      <c r="A264" s="189"/>
      <c r="B264" s="190"/>
      <c r="C264" s="191"/>
      <c r="D264" s="138"/>
      <c r="E264" s="199"/>
      <c r="F264" s="199"/>
      <c r="G264" s="199"/>
      <c r="H264" s="200"/>
      <c r="J264" s="170" t="s">
        <v>3441</v>
      </c>
    </row>
    <row r="265" spans="1:10" x14ac:dyDescent="0.25">
      <c r="A265" s="189"/>
      <c r="B265" s="190"/>
      <c r="C265" s="191"/>
      <c r="D265" s="165" t="s">
        <v>3371</v>
      </c>
      <c r="E265" s="199"/>
      <c r="F265" s="199"/>
      <c r="G265" s="199"/>
      <c r="H265" s="200"/>
      <c r="J265" t="s">
        <v>3442</v>
      </c>
    </row>
    <row r="266" spans="1:10" x14ac:dyDescent="0.25">
      <c r="A266" s="189"/>
      <c r="B266" s="190"/>
      <c r="C266" s="191"/>
      <c r="D266" s="164" t="s">
        <v>3372</v>
      </c>
      <c r="E266" s="199"/>
      <c r="F266" s="199"/>
      <c r="G266" s="199"/>
      <c r="H266" s="200"/>
      <c r="J266" t="s">
        <v>3443</v>
      </c>
    </row>
    <row r="267" spans="1:10" x14ac:dyDescent="0.25">
      <c r="A267" s="189"/>
      <c r="B267" s="190"/>
      <c r="C267" s="191"/>
      <c r="D267" s="164" t="s">
        <v>3372</v>
      </c>
      <c r="E267" s="199"/>
      <c r="F267" s="199"/>
      <c r="G267" s="199"/>
      <c r="H267" s="200"/>
      <c r="J267" t="s">
        <v>3444</v>
      </c>
    </row>
    <row r="268" spans="1:10" ht="15.75" thickBot="1" x14ac:dyDescent="0.3">
      <c r="A268" s="192"/>
      <c r="B268" s="193"/>
      <c r="C268" s="194"/>
      <c r="D268" s="166" t="s">
        <v>3372</v>
      </c>
      <c r="E268" s="201"/>
      <c r="F268" s="201"/>
      <c r="G268" s="201"/>
      <c r="H268" s="202"/>
      <c r="J268" s="170" t="s">
        <v>3445</v>
      </c>
    </row>
    <row r="269" spans="1:10" x14ac:dyDescent="0.25">
      <c r="J269" t="s">
        <v>3446</v>
      </c>
    </row>
    <row r="270" spans="1:10" x14ac:dyDescent="0.25">
      <c r="J270" t="s">
        <v>3447</v>
      </c>
    </row>
    <row r="271" spans="1:10" x14ac:dyDescent="0.25">
      <c r="G271" s="1" t="s">
        <v>3425</v>
      </c>
      <c r="H271" s="24">
        <f>G251</f>
        <v>2025</v>
      </c>
      <c r="J271" t="s">
        <v>3456</v>
      </c>
    </row>
    <row r="272" spans="1:10" x14ac:dyDescent="0.25">
      <c r="C272" s="2" t="s">
        <v>12</v>
      </c>
      <c r="G272" s="2" t="s">
        <v>10</v>
      </c>
      <c r="J272" s="170" t="s">
        <v>3448</v>
      </c>
    </row>
    <row r="273" spans="1:18" x14ac:dyDescent="0.25">
      <c r="J273" t="s">
        <v>3449</v>
      </c>
    </row>
    <row r="274" spans="1:18" x14ac:dyDescent="0.25">
      <c r="J274" t="s">
        <v>3450</v>
      </c>
    </row>
    <row r="275" spans="1:18" x14ac:dyDescent="0.25">
      <c r="J275" s="170" t="s">
        <v>3451</v>
      </c>
    </row>
    <row r="276" spans="1:18" x14ac:dyDescent="0.25">
      <c r="J276" t="s">
        <v>3452</v>
      </c>
    </row>
    <row r="277" spans="1:18" x14ac:dyDescent="0.25">
      <c r="G277" s="25" t="str">
        <f>G250</f>
        <v>Usman Nurhasan, S.Kom., M.T.</v>
      </c>
      <c r="J277" t="s">
        <v>3453</v>
      </c>
    </row>
    <row r="278" spans="1:18" x14ac:dyDescent="0.25">
      <c r="G278" s="24" t="str">
        <f>IF(G277="Dr. Drs. Sumiadji, Ak., M.SA.","NIP. 196405121993031001",IF(G277="Usman Nurhasan, S.Kom., M.T.","NIP. 198909162014042001",IF(G277="Ir. Wahiddin, S.T., MT.IPM.ASEAN Eng.","NIP. 197312072003121001",IF(G277="Dr. Ir. Azam Muzakhim Imammuddin, M.T.","NIP. 196705041994031004",IF(G277="Dr. Atik Andhayani, S.E., MSA.","NIP. 197505032009032001",IF(G277="Lina Budiarti, S.E., M.M.","NIP. 198609232015041001",IF(G277="Drs. Mufid M.T.","NIP. 196408221994031001",IF(G277="Lis Diana Mustafa, S.T., M.T.","NIP. 197805052001122003"))))))))</f>
        <v>NIP. 198909162014042001</v>
      </c>
      <c r="J278" t="s">
        <v>3454</v>
      </c>
    </row>
    <row r="279" spans="1:18" x14ac:dyDescent="0.25">
      <c r="J279" t="s">
        <v>3455</v>
      </c>
    </row>
    <row r="281" spans="1:18" ht="15.75" x14ac:dyDescent="0.25">
      <c r="A281" s="178" t="s">
        <v>3421</v>
      </c>
      <c r="B281" s="178"/>
      <c r="C281" s="178"/>
      <c r="D281" s="178"/>
      <c r="E281" s="178"/>
      <c r="F281" s="178"/>
      <c r="G281" s="178"/>
      <c r="H281" s="178"/>
    </row>
    <row r="282" spans="1:18" ht="15.75" x14ac:dyDescent="0.25">
      <c r="A282" s="178" t="s">
        <v>0</v>
      </c>
      <c r="B282" s="178"/>
      <c r="C282" s="178"/>
      <c r="D282" s="178"/>
      <c r="E282" s="178"/>
      <c r="F282" s="178"/>
      <c r="G282" s="178"/>
      <c r="H282" s="178"/>
    </row>
    <row r="283" spans="1:18" ht="15.75" x14ac:dyDescent="0.25">
      <c r="A283" s="178" t="s">
        <v>3422</v>
      </c>
      <c r="B283" s="178"/>
      <c r="C283" s="178"/>
      <c r="D283" s="178"/>
      <c r="E283" s="178"/>
      <c r="F283" s="178"/>
      <c r="G283" s="178"/>
      <c r="H283" s="178"/>
    </row>
    <row r="284" spans="1:18" ht="9" customHeight="1" thickBot="1" x14ac:dyDescent="0.3">
      <c r="A284" s="4"/>
      <c r="B284" s="4"/>
      <c r="C284" s="4"/>
      <c r="D284" s="4"/>
      <c r="E284" s="4"/>
      <c r="F284" s="4"/>
      <c r="G284" s="4"/>
      <c r="H284" s="4"/>
    </row>
    <row r="285" spans="1:18" ht="18" customHeight="1" x14ac:dyDescent="0.25">
      <c r="A285" s="139" t="s">
        <v>8</v>
      </c>
      <c r="B285" s="140" t="s">
        <v>6</v>
      </c>
      <c r="C285" s="183" t="e">
        <f>VLOOKUP(R287,Kegiatan!$A$3:$K$717,2,TRUE)</f>
        <v>#N/A</v>
      </c>
      <c r="D285" s="185"/>
      <c r="E285" s="141" t="s">
        <v>9</v>
      </c>
      <c r="F285" s="140" t="s">
        <v>6</v>
      </c>
      <c r="G285" s="183" t="s">
        <v>3123</v>
      </c>
      <c r="H285" s="184"/>
      <c r="J285" s="209" t="s">
        <v>3298</v>
      </c>
      <c r="K285" s="209"/>
      <c r="L285" s="209"/>
      <c r="M285" s="209"/>
      <c r="N285" s="209"/>
      <c r="O285" s="209"/>
      <c r="P285" s="209"/>
      <c r="Q285" s="209"/>
      <c r="R285" s="209"/>
    </row>
    <row r="286" spans="1:18" s="3" customFormat="1" ht="23.25" x14ac:dyDescent="0.25">
      <c r="A286" s="142" t="s">
        <v>14</v>
      </c>
      <c r="B286" s="6" t="s">
        <v>6</v>
      </c>
      <c r="C286" s="179"/>
      <c r="D286" s="179"/>
      <c r="E286" s="10" t="s">
        <v>3424</v>
      </c>
      <c r="F286" s="6" t="s">
        <v>7</v>
      </c>
      <c r="G286" s="179">
        <v>2025</v>
      </c>
      <c r="H286" s="180"/>
      <c r="J286" s="149">
        <v>1</v>
      </c>
      <c r="K286" s="149">
        <v>2</v>
      </c>
      <c r="L286" s="149">
        <v>3</v>
      </c>
      <c r="M286" s="149">
        <v>4</v>
      </c>
      <c r="N286" s="149">
        <v>5</v>
      </c>
      <c r="O286" s="149">
        <v>6</v>
      </c>
      <c r="P286" s="149">
        <v>7</v>
      </c>
      <c r="Q286" s="149">
        <v>8</v>
      </c>
      <c r="R286" s="151">
        <v>9</v>
      </c>
    </row>
    <row r="287" spans="1:18" s="23" customFormat="1" ht="46.35" customHeight="1" x14ac:dyDescent="0.25">
      <c r="A287" s="143" t="s">
        <v>1</v>
      </c>
      <c r="B287" s="9" t="s">
        <v>6</v>
      </c>
      <c r="C287" s="176" t="e">
        <f>VLOOKUP(R287,Kegiatan!$A$3:$K$717,3,TRUE)</f>
        <v>#N/A</v>
      </c>
      <c r="D287" s="176"/>
      <c r="E287" s="176"/>
      <c r="F287" s="9"/>
      <c r="G287" s="9"/>
      <c r="H287" s="144"/>
      <c r="J287" s="126">
        <f>J7</f>
        <v>36</v>
      </c>
      <c r="K287" s="126">
        <f t="shared" ref="K287:R287" si="7">K7</f>
        <v>0</v>
      </c>
      <c r="L287" s="126">
        <f t="shared" si="7"/>
        <v>0</v>
      </c>
      <c r="M287" s="126">
        <f t="shared" si="7"/>
        <v>0</v>
      </c>
      <c r="N287" s="126">
        <f t="shared" si="7"/>
        <v>0</v>
      </c>
      <c r="O287" s="126">
        <f t="shared" si="7"/>
        <v>0</v>
      </c>
      <c r="P287" s="126">
        <f t="shared" si="7"/>
        <v>0</v>
      </c>
      <c r="Q287" s="126">
        <f t="shared" si="7"/>
        <v>0</v>
      </c>
      <c r="R287" s="150">
        <f t="shared" si="7"/>
        <v>0</v>
      </c>
    </row>
    <row r="288" spans="1:18" s="3" customFormat="1" ht="44.45" customHeight="1" x14ac:dyDescent="0.25">
      <c r="A288" s="145" t="s">
        <v>5</v>
      </c>
      <c r="B288" s="5" t="s">
        <v>6</v>
      </c>
      <c r="C288" s="176" t="e">
        <f>VLOOKUP(R287,Kegiatan!$A$3:$K$717,10,TRUE)</f>
        <v>#N/A</v>
      </c>
      <c r="D288" s="176"/>
      <c r="E288" s="176"/>
      <c r="F288" s="176"/>
      <c r="G288" s="176"/>
      <c r="H288" s="177"/>
      <c r="K288" s="12"/>
      <c r="L288" s="12"/>
      <c r="M288" s="12"/>
      <c r="N288" s="12"/>
      <c r="O288" s="12"/>
      <c r="P288" s="12"/>
      <c r="Q288" s="12"/>
      <c r="R288" s="12"/>
    </row>
    <row r="289" spans="1:18" s="3" customFormat="1" ht="27.95" customHeight="1" x14ac:dyDescent="0.25">
      <c r="A289" s="146" t="s">
        <v>2</v>
      </c>
      <c r="B289" s="7" t="s">
        <v>6</v>
      </c>
      <c r="C289" s="181" t="e">
        <f>VLOOKUP(R287,Kegiatan!$A$3:$K$717,7,TRUE)</f>
        <v>#N/A</v>
      </c>
      <c r="D289" s="181"/>
      <c r="E289" s="8" t="s">
        <v>3300</v>
      </c>
      <c r="F289" s="7" t="s">
        <v>7</v>
      </c>
      <c r="G289" s="181" t="s">
        <v>3299</v>
      </c>
      <c r="H289" s="182"/>
      <c r="K289" s="12"/>
      <c r="L289" s="12"/>
      <c r="M289" s="12"/>
      <c r="N289" s="12"/>
      <c r="O289" s="12"/>
      <c r="P289" s="12"/>
      <c r="Q289" s="12"/>
      <c r="R289" s="12"/>
    </row>
    <row r="290" spans="1:18" x14ac:dyDescent="0.25">
      <c r="A290" s="147"/>
      <c r="H290" s="137"/>
      <c r="J290" t="s">
        <v>3433</v>
      </c>
    </row>
    <row r="291" spans="1:18" s="3" customFormat="1" ht="18" customHeight="1" x14ac:dyDescent="0.25">
      <c r="A291" s="171" t="s">
        <v>3</v>
      </c>
      <c r="B291" s="172"/>
      <c r="C291" s="173"/>
      <c r="D291" s="148" t="s">
        <v>4</v>
      </c>
      <c r="E291" s="174" t="s">
        <v>13</v>
      </c>
      <c r="F291" s="172"/>
      <c r="G291" s="172"/>
      <c r="H291" s="175"/>
      <c r="J291" t="s">
        <v>3457</v>
      </c>
      <c r="K291" s="12"/>
      <c r="L291" s="12"/>
      <c r="M291" s="12"/>
      <c r="N291" s="12"/>
      <c r="O291" s="12"/>
      <c r="P291" s="12"/>
      <c r="Q291" s="12"/>
      <c r="R291" s="12"/>
    </row>
    <row r="292" spans="1:18" ht="14.45" customHeight="1" x14ac:dyDescent="0.25">
      <c r="A292" s="186" t="e">
        <f>VLOOKUP(R287,Kegiatan!$A$3:$K$717,11,TRUE)</f>
        <v>#N/A</v>
      </c>
      <c r="B292" s="187"/>
      <c r="C292" s="188"/>
      <c r="D292" s="195" t="s">
        <v>3423</v>
      </c>
      <c r="E292" s="203"/>
      <c r="F292" s="203"/>
      <c r="G292" s="203"/>
      <c r="H292" s="204"/>
      <c r="J292" s="170" t="s">
        <v>3440</v>
      </c>
    </row>
    <row r="293" spans="1:18" x14ac:dyDescent="0.25">
      <c r="A293" s="189"/>
      <c r="B293" s="190"/>
      <c r="C293" s="191"/>
      <c r="D293" s="196"/>
      <c r="E293" s="205"/>
      <c r="F293" s="205"/>
      <c r="G293" s="205"/>
      <c r="H293" s="206"/>
      <c r="J293" t="s">
        <v>3434</v>
      </c>
    </row>
    <row r="294" spans="1:18" x14ac:dyDescent="0.25">
      <c r="A294" s="189"/>
      <c r="B294" s="190"/>
      <c r="C294" s="191"/>
      <c r="D294" s="196"/>
      <c r="E294" s="205"/>
      <c r="F294" s="205"/>
      <c r="G294" s="205"/>
      <c r="H294" s="206"/>
      <c r="J294" t="s">
        <v>3435</v>
      </c>
    </row>
    <row r="295" spans="1:18" x14ac:dyDescent="0.25">
      <c r="A295" s="189"/>
      <c r="B295" s="190"/>
      <c r="C295" s="191"/>
      <c r="D295" s="196"/>
      <c r="E295" s="205"/>
      <c r="F295" s="205"/>
      <c r="G295" s="205"/>
      <c r="H295" s="206"/>
      <c r="J295" t="s">
        <v>3436</v>
      </c>
    </row>
    <row r="296" spans="1:18" x14ac:dyDescent="0.25">
      <c r="A296" s="189"/>
      <c r="B296" s="190"/>
      <c r="C296" s="191"/>
      <c r="D296" s="165" t="str">
        <f>IF(D292="Menerima Risiko","","Unit Penerima Risiko")</f>
        <v/>
      </c>
      <c r="E296" s="205"/>
      <c r="F296" s="205"/>
      <c r="G296" s="205"/>
      <c r="H296" s="206"/>
      <c r="J296" t="s">
        <v>3437</v>
      </c>
    </row>
    <row r="297" spans="1:18" x14ac:dyDescent="0.25">
      <c r="A297" s="189"/>
      <c r="B297" s="190"/>
      <c r="C297" s="191"/>
      <c r="D297" s="138"/>
      <c r="E297" s="205"/>
      <c r="F297" s="205"/>
      <c r="G297" s="205"/>
      <c r="H297" s="206"/>
      <c r="J297" t="s">
        <v>3438</v>
      </c>
    </row>
    <row r="298" spans="1:18" x14ac:dyDescent="0.25">
      <c r="A298" s="189"/>
      <c r="B298" s="190"/>
      <c r="C298" s="191"/>
      <c r="D298" s="138"/>
      <c r="E298" s="205"/>
      <c r="F298" s="205"/>
      <c r="G298" s="205"/>
      <c r="H298" s="206"/>
      <c r="J298" t="s">
        <v>3439</v>
      </c>
    </row>
    <row r="299" spans="1:18" x14ac:dyDescent="0.25">
      <c r="A299" s="189"/>
      <c r="B299" s="190"/>
      <c r="C299" s="191"/>
      <c r="D299" s="138"/>
      <c r="E299" s="205"/>
      <c r="F299" s="205"/>
      <c r="G299" s="205"/>
      <c r="H299" s="206"/>
      <c r="J299" s="170" t="s">
        <v>3441</v>
      </c>
    </row>
    <row r="300" spans="1:18" x14ac:dyDescent="0.25">
      <c r="A300" s="189"/>
      <c r="B300" s="190"/>
      <c r="C300" s="191"/>
      <c r="D300" s="165" t="s">
        <v>3371</v>
      </c>
      <c r="E300" s="205"/>
      <c r="F300" s="205"/>
      <c r="G300" s="205"/>
      <c r="H300" s="206"/>
      <c r="J300" t="s">
        <v>3442</v>
      </c>
    </row>
    <row r="301" spans="1:18" x14ac:dyDescent="0.25">
      <c r="A301" s="189"/>
      <c r="B301" s="190"/>
      <c r="C301" s="191"/>
      <c r="D301" s="164" t="s">
        <v>3372</v>
      </c>
      <c r="E301" s="205"/>
      <c r="F301" s="205"/>
      <c r="G301" s="205"/>
      <c r="H301" s="206"/>
      <c r="J301" t="s">
        <v>3443</v>
      </c>
    </row>
    <row r="302" spans="1:18" x14ac:dyDescent="0.25">
      <c r="A302" s="189"/>
      <c r="B302" s="190"/>
      <c r="C302" s="191"/>
      <c r="D302" s="164" t="s">
        <v>3372</v>
      </c>
      <c r="E302" s="205"/>
      <c r="F302" s="205"/>
      <c r="G302" s="205"/>
      <c r="H302" s="206"/>
      <c r="J302" t="s">
        <v>3444</v>
      </c>
    </row>
    <row r="303" spans="1:18" ht="15.75" thickBot="1" x14ac:dyDescent="0.3">
      <c r="A303" s="192"/>
      <c r="B303" s="193"/>
      <c r="C303" s="194"/>
      <c r="D303" s="166" t="s">
        <v>3372</v>
      </c>
      <c r="E303" s="207"/>
      <c r="F303" s="207"/>
      <c r="G303" s="207"/>
      <c r="H303" s="208"/>
      <c r="J303" s="170" t="s">
        <v>3445</v>
      </c>
    </row>
    <row r="304" spans="1:18" x14ac:dyDescent="0.25">
      <c r="J304" t="s">
        <v>3446</v>
      </c>
    </row>
    <row r="305" spans="3:10" x14ac:dyDescent="0.25">
      <c r="J305" t="s">
        <v>3447</v>
      </c>
    </row>
    <row r="306" spans="3:10" x14ac:dyDescent="0.25">
      <c r="G306" s="1" t="s">
        <v>3425</v>
      </c>
      <c r="H306" s="24">
        <f>G286</f>
        <v>2025</v>
      </c>
      <c r="J306" t="s">
        <v>3456</v>
      </c>
    </row>
    <row r="307" spans="3:10" x14ac:dyDescent="0.25">
      <c r="C307" s="2" t="s">
        <v>12</v>
      </c>
      <c r="G307" s="2" t="s">
        <v>10</v>
      </c>
      <c r="J307" s="170" t="s">
        <v>3448</v>
      </c>
    </row>
    <row r="308" spans="3:10" x14ac:dyDescent="0.25">
      <c r="J308" t="s">
        <v>3449</v>
      </c>
    </row>
    <row r="309" spans="3:10" x14ac:dyDescent="0.25">
      <c r="J309" t="s">
        <v>3450</v>
      </c>
    </row>
    <row r="310" spans="3:10" x14ac:dyDescent="0.25">
      <c r="J310" s="170" t="s">
        <v>3451</v>
      </c>
    </row>
    <row r="311" spans="3:10" x14ac:dyDescent="0.25">
      <c r="J311" t="s">
        <v>3452</v>
      </c>
    </row>
    <row r="312" spans="3:10" x14ac:dyDescent="0.25">
      <c r="C312" s="1" t="s">
        <v>11</v>
      </c>
      <c r="G312" s="25" t="str">
        <f>G285</f>
        <v>Ir. Wahiddin, S.T., MT.IPM.ASEAN Eng.</v>
      </c>
      <c r="J312" t="s">
        <v>3453</v>
      </c>
    </row>
    <row r="313" spans="3:10" x14ac:dyDescent="0.25">
      <c r="C313" s="1" t="s">
        <v>3120</v>
      </c>
      <c r="G313" s="24" t="str">
        <f>IF(G312="Dr. Drs. Sumiadji, Ak., M.SA.","NIP. 196405121993031001",IF(G312="Usman Nurhasan, S.Kom., M.T.","NIP. 198909162014042001",IF(G312="Ir. Wahiddin, S.T., MT.IPM.ASEAN Eng.","NIP. 197312072003121001",IF(G312="Dr. Ir. Azam Muzakhim Imammuddin, M.T.","NIP. 196705041994031004",IF(G312="Dr. Atik Andhayani, S.E., MSA.","NIP. 197505032009032001",IF(G312="Lina Budiarti, S.E., M.M.","NIP. 198609232015041001",IF(G312="Drs. Mufid M.T.","NIP. 196408221994031001",IF(G312="Lis Diana Mustafa, S.T., M.T.","NIP. 197805052001122003"))))))))</f>
        <v>NIP. 197312072003121001</v>
      </c>
      <c r="J313" t="s">
        <v>3454</v>
      </c>
    </row>
    <row r="314" spans="3:10" x14ac:dyDescent="0.25">
      <c r="J314" t="s">
        <v>3455</v>
      </c>
    </row>
  </sheetData>
  <mergeCells count="153">
    <mergeCell ref="J285:R285"/>
    <mergeCell ref="J110:R110"/>
    <mergeCell ref="J145:R145"/>
    <mergeCell ref="J180:R180"/>
    <mergeCell ref="J215:R215"/>
    <mergeCell ref="J250:R250"/>
    <mergeCell ref="J5:R5"/>
    <mergeCell ref="J40:R40"/>
    <mergeCell ref="J75:R75"/>
    <mergeCell ref="A291:C291"/>
    <mergeCell ref="E291:H291"/>
    <mergeCell ref="A292:C303"/>
    <mergeCell ref="D292:D295"/>
    <mergeCell ref="E292:H303"/>
    <mergeCell ref="C286:D286"/>
    <mergeCell ref="G286:H286"/>
    <mergeCell ref="C287:E287"/>
    <mergeCell ref="C288:H288"/>
    <mergeCell ref="C289:D289"/>
    <mergeCell ref="G289:H289"/>
    <mergeCell ref="A281:H281"/>
    <mergeCell ref="A282:H282"/>
    <mergeCell ref="A283:H283"/>
    <mergeCell ref="C285:D285"/>
    <mergeCell ref="G285:H285"/>
    <mergeCell ref="A256:C256"/>
    <mergeCell ref="E256:H256"/>
    <mergeCell ref="A257:C268"/>
    <mergeCell ref="D257:D260"/>
    <mergeCell ref="E257:H268"/>
    <mergeCell ref="C251:D251"/>
    <mergeCell ref="G251:H251"/>
    <mergeCell ref="C252:E252"/>
    <mergeCell ref="C253:H253"/>
    <mergeCell ref="C254:D254"/>
    <mergeCell ref="G254:H254"/>
    <mergeCell ref="A246:H246"/>
    <mergeCell ref="A247:H247"/>
    <mergeCell ref="A248:H248"/>
    <mergeCell ref="C250:D250"/>
    <mergeCell ref="G250:H250"/>
    <mergeCell ref="A221:C221"/>
    <mergeCell ref="E221:H221"/>
    <mergeCell ref="A222:C233"/>
    <mergeCell ref="D222:D225"/>
    <mergeCell ref="E222:H233"/>
    <mergeCell ref="C216:D216"/>
    <mergeCell ref="G216:H216"/>
    <mergeCell ref="C217:E217"/>
    <mergeCell ref="C218:H218"/>
    <mergeCell ref="C219:D219"/>
    <mergeCell ref="G219:H219"/>
    <mergeCell ref="A211:H211"/>
    <mergeCell ref="A212:H212"/>
    <mergeCell ref="A213:H213"/>
    <mergeCell ref="C215:D215"/>
    <mergeCell ref="G215:H215"/>
    <mergeCell ref="A186:C186"/>
    <mergeCell ref="E186:H186"/>
    <mergeCell ref="A187:C198"/>
    <mergeCell ref="D187:D190"/>
    <mergeCell ref="E187:H198"/>
    <mergeCell ref="C181:D181"/>
    <mergeCell ref="G181:H181"/>
    <mergeCell ref="C182:E182"/>
    <mergeCell ref="C183:H183"/>
    <mergeCell ref="C184:D184"/>
    <mergeCell ref="G184:H184"/>
    <mergeCell ref="A176:H176"/>
    <mergeCell ref="A177:H177"/>
    <mergeCell ref="A178:H178"/>
    <mergeCell ref="C180:D180"/>
    <mergeCell ref="G180:H180"/>
    <mergeCell ref="A151:C151"/>
    <mergeCell ref="E151:H151"/>
    <mergeCell ref="A152:C163"/>
    <mergeCell ref="D152:D155"/>
    <mergeCell ref="E152:H163"/>
    <mergeCell ref="C146:D146"/>
    <mergeCell ref="G146:H146"/>
    <mergeCell ref="C147:E147"/>
    <mergeCell ref="C148:H148"/>
    <mergeCell ref="C149:D149"/>
    <mergeCell ref="G149:H149"/>
    <mergeCell ref="A141:H141"/>
    <mergeCell ref="A142:H142"/>
    <mergeCell ref="A143:H143"/>
    <mergeCell ref="C145:D145"/>
    <mergeCell ref="G145:H145"/>
    <mergeCell ref="A116:C116"/>
    <mergeCell ref="E116:H116"/>
    <mergeCell ref="A117:C128"/>
    <mergeCell ref="D117:D120"/>
    <mergeCell ref="E117:H128"/>
    <mergeCell ref="C111:D111"/>
    <mergeCell ref="G111:H111"/>
    <mergeCell ref="C112:E112"/>
    <mergeCell ref="C113:H113"/>
    <mergeCell ref="C114:D114"/>
    <mergeCell ref="G114:H114"/>
    <mergeCell ref="A106:H106"/>
    <mergeCell ref="A107:H107"/>
    <mergeCell ref="A108:H108"/>
    <mergeCell ref="C110:D110"/>
    <mergeCell ref="G110:H110"/>
    <mergeCell ref="A81:C81"/>
    <mergeCell ref="E81:H81"/>
    <mergeCell ref="A82:C93"/>
    <mergeCell ref="D82:D85"/>
    <mergeCell ref="E82:H93"/>
    <mergeCell ref="C76:D76"/>
    <mergeCell ref="G76:H76"/>
    <mergeCell ref="C77:E77"/>
    <mergeCell ref="C78:H78"/>
    <mergeCell ref="C79:D79"/>
    <mergeCell ref="G79:H79"/>
    <mergeCell ref="A71:H71"/>
    <mergeCell ref="A72:H72"/>
    <mergeCell ref="A73:H73"/>
    <mergeCell ref="C75:D75"/>
    <mergeCell ref="G75:H75"/>
    <mergeCell ref="A36:H36"/>
    <mergeCell ref="C40:D40"/>
    <mergeCell ref="G40:H40"/>
    <mergeCell ref="C42:E42"/>
    <mergeCell ref="C43:H43"/>
    <mergeCell ref="C44:D44"/>
    <mergeCell ref="G44:H44"/>
    <mergeCell ref="A46:C46"/>
    <mergeCell ref="E46:H46"/>
    <mergeCell ref="A47:C58"/>
    <mergeCell ref="D47:D50"/>
    <mergeCell ref="E47:H58"/>
    <mergeCell ref="A38:H38"/>
    <mergeCell ref="C41:D41"/>
    <mergeCell ref="G41:H41"/>
    <mergeCell ref="A37:H37"/>
    <mergeCell ref="A11:C11"/>
    <mergeCell ref="E11:H11"/>
    <mergeCell ref="C8:H8"/>
    <mergeCell ref="A12:C23"/>
    <mergeCell ref="E12:H23"/>
    <mergeCell ref="A1:H1"/>
    <mergeCell ref="A2:H2"/>
    <mergeCell ref="A3:H3"/>
    <mergeCell ref="G6:H6"/>
    <mergeCell ref="G9:H9"/>
    <mergeCell ref="G5:H5"/>
    <mergeCell ref="C5:D5"/>
    <mergeCell ref="C6:D6"/>
    <mergeCell ref="C7:E7"/>
    <mergeCell ref="C9:D9"/>
    <mergeCell ref="D12:D15"/>
  </mergeCells>
  <conditionalFormatting sqref="C9:D9">
    <cfRule type="containsText" dxfId="89" priority="109" stopIfTrue="1" operator="containsText" text="HIGH">
      <formula>NOT(ISERROR(SEARCH("HIGH",C9)))</formula>
    </cfRule>
    <cfRule type="containsText" dxfId="88" priority="108" stopIfTrue="1" operator="containsText" text="MIDDLE">
      <formula>NOT(ISERROR(SEARCH("MIDDLE",C9)))</formula>
    </cfRule>
    <cfRule type="containsText" dxfId="87" priority="107" stopIfTrue="1" operator="containsText" text="LOW">
      <formula>NOT(ISERROR(SEARCH("LOW",C9)))</formula>
    </cfRule>
    <cfRule type="containsText" dxfId="86" priority="106" stopIfTrue="1" operator="containsText" text="VERY LOW">
      <formula>NOT(ISERROR(SEARCH("VERY LOW",C9)))</formula>
    </cfRule>
    <cfRule type="containsText" dxfId="85" priority="110" stopIfTrue="1" operator="containsText" text="EXTREME">
      <formula>NOT(ISERROR(SEARCH("EXTREME",C9)))</formula>
    </cfRule>
  </conditionalFormatting>
  <conditionalFormatting sqref="C44:D44">
    <cfRule type="containsText" dxfId="84" priority="79" stopIfTrue="1" operator="containsText" text="HIGH">
      <formula>NOT(ISERROR(SEARCH("HIGH",C44)))</formula>
    </cfRule>
    <cfRule type="containsText" dxfId="83" priority="80" stopIfTrue="1" operator="containsText" text="EXTREME">
      <formula>NOT(ISERROR(SEARCH("EXTREME",C44)))</formula>
    </cfRule>
    <cfRule type="containsText" dxfId="82" priority="78" stopIfTrue="1" operator="containsText" text="MIDDLE">
      <formula>NOT(ISERROR(SEARCH("MIDDLE",C44)))</formula>
    </cfRule>
    <cfRule type="containsText" dxfId="81" priority="77" stopIfTrue="1" operator="containsText" text="LOW">
      <formula>NOT(ISERROR(SEARCH("LOW",C44)))</formula>
    </cfRule>
    <cfRule type="containsText" dxfId="80" priority="76" stopIfTrue="1" operator="containsText" text="VERY LOW">
      <formula>NOT(ISERROR(SEARCH("VERY LOW",C44)))</formula>
    </cfRule>
  </conditionalFormatting>
  <conditionalFormatting sqref="C79:D79">
    <cfRule type="containsText" dxfId="79" priority="67" stopIfTrue="1" operator="containsText" text="LOW">
      <formula>NOT(ISERROR(SEARCH("LOW",C79)))</formula>
    </cfRule>
    <cfRule type="containsText" dxfId="78" priority="66" stopIfTrue="1" operator="containsText" text="VERY LOW">
      <formula>NOT(ISERROR(SEARCH("VERY LOW",C79)))</formula>
    </cfRule>
    <cfRule type="containsText" dxfId="77" priority="68" stopIfTrue="1" operator="containsText" text="MIDDLE">
      <formula>NOT(ISERROR(SEARCH("MIDDLE",C79)))</formula>
    </cfRule>
    <cfRule type="containsText" dxfId="76" priority="70" stopIfTrue="1" operator="containsText" text="EXTREME">
      <formula>NOT(ISERROR(SEARCH("EXTREME",C79)))</formula>
    </cfRule>
    <cfRule type="containsText" dxfId="75" priority="69" stopIfTrue="1" operator="containsText" text="HIGH">
      <formula>NOT(ISERROR(SEARCH("HIGH",C79)))</formula>
    </cfRule>
  </conditionalFormatting>
  <conditionalFormatting sqref="C114:D114">
    <cfRule type="containsText" dxfId="74" priority="60" stopIfTrue="1" operator="containsText" text="EXTREME">
      <formula>NOT(ISERROR(SEARCH("EXTREME",C114)))</formula>
    </cfRule>
    <cfRule type="containsText" dxfId="73" priority="59" stopIfTrue="1" operator="containsText" text="HIGH">
      <formula>NOT(ISERROR(SEARCH("HIGH",C114)))</formula>
    </cfRule>
    <cfRule type="containsText" dxfId="72" priority="58" stopIfTrue="1" operator="containsText" text="MIDDLE">
      <formula>NOT(ISERROR(SEARCH("MIDDLE",C114)))</formula>
    </cfRule>
    <cfRule type="containsText" dxfId="71" priority="56" stopIfTrue="1" operator="containsText" text="VERY LOW">
      <formula>NOT(ISERROR(SEARCH("VERY LOW",C114)))</formula>
    </cfRule>
    <cfRule type="containsText" dxfId="70" priority="57" stopIfTrue="1" operator="containsText" text="LOW">
      <formula>NOT(ISERROR(SEARCH("LOW",C114)))</formula>
    </cfRule>
  </conditionalFormatting>
  <conditionalFormatting sqref="C149:D149">
    <cfRule type="containsText" dxfId="69" priority="46" stopIfTrue="1" operator="containsText" text="VERY LOW">
      <formula>NOT(ISERROR(SEARCH("VERY LOW",C149)))</formula>
    </cfRule>
    <cfRule type="containsText" dxfId="68" priority="47" stopIfTrue="1" operator="containsText" text="LOW">
      <formula>NOT(ISERROR(SEARCH("LOW",C149)))</formula>
    </cfRule>
    <cfRule type="containsText" dxfId="67" priority="48" stopIfTrue="1" operator="containsText" text="MIDDLE">
      <formula>NOT(ISERROR(SEARCH("MIDDLE",C149)))</formula>
    </cfRule>
    <cfRule type="containsText" dxfId="66" priority="49" stopIfTrue="1" operator="containsText" text="HIGH">
      <formula>NOT(ISERROR(SEARCH("HIGH",C149)))</formula>
    </cfRule>
    <cfRule type="containsText" dxfId="65" priority="50" stopIfTrue="1" operator="containsText" text="EXTREME">
      <formula>NOT(ISERROR(SEARCH("EXTREME",C149)))</formula>
    </cfRule>
  </conditionalFormatting>
  <conditionalFormatting sqref="C184:D184">
    <cfRule type="containsText" dxfId="64" priority="39" stopIfTrue="1" operator="containsText" text="HIGH">
      <formula>NOT(ISERROR(SEARCH("HIGH",C184)))</formula>
    </cfRule>
    <cfRule type="containsText" dxfId="63" priority="40" stopIfTrue="1" operator="containsText" text="EXTREME">
      <formula>NOT(ISERROR(SEARCH("EXTREME",C184)))</formula>
    </cfRule>
    <cfRule type="containsText" dxfId="62" priority="36" stopIfTrue="1" operator="containsText" text="VERY LOW">
      <formula>NOT(ISERROR(SEARCH("VERY LOW",C184)))</formula>
    </cfRule>
    <cfRule type="containsText" dxfId="61" priority="37" stopIfTrue="1" operator="containsText" text="LOW">
      <formula>NOT(ISERROR(SEARCH("LOW",C184)))</formula>
    </cfRule>
    <cfRule type="containsText" dxfId="60" priority="38" stopIfTrue="1" operator="containsText" text="MIDDLE">
      <formula>NOT(ISERROR(SEARCH("MIDDLE",C184)))</formula>
    </cfRule>
  </conditionalFormatting>
  <conditionalFormatting sqref="C219:D219">
    <cfRule type="containsText" dxfId="59" priority="28" stopIfTrue="1" operator="containsText" text="MIDDLE">
      <formula>NOT(ISERROR(SEARCH("MIDDLE",C219)))</formula>
    </cfRule>
    <cfRule type="containsText" dxfId="58" priority="29" stopIfTrue="1" operator="containsText" text="HIGH">
      <formula>NOT(ISERROR(SEARCH("HIGH",C219)))</formula>
    </cfRule>
    <cfRule type="containsText" dxfId="57" priority="26" stopIfTrue="1" operator="containsText" text="VERY LOW">
      <formula>NOT(ISERROR(SEARCH("VERY LOW",C219)))</formula>
    </cfRule>
    <cfRule type="containsText" dxfId="56" priority="30" stopIfTrue="1" operator="containsText" text="EXTREME">
      <formula>NOT(ISERROR(SEARCH("EXTREME",C219)))</formula>
    </cfRule>
    <cfRule type="containsText" dxfId="55" priority="27" stopIfTrue="1" operator="containsText" text="LOW">
      <formula>NOT(ISERROR(SEARCH("LOW",C219)))</formula>
    </cfRule>
  </conditionalFormatting>
  <conditionalFormatting sqref="C254:D254">
    <cfRule type="containsText" dxfId="54" priority="18" stopIfTrue="1" operator="containsText" text="MIDDLE">
      <formula>NOT(ISERROR(SEARCH("MIDDLE",C254)))</formula>
    </cfRule>
    <cfRule type="containsText" dxfId="53" priority="16" stopIfTrue="1" operator="containsText" text="VERY LOW">
      <formula>NOT(ISERROR(SEARCH("VERY LOW",C254)))</formula>
    </cfRule>
    <cfRule type="containsText" dxfId="52" priority="17" stopIfTrue="1" operator="containsText" text="LOW">
      <formula>NOT(ISERROR(SEARCH("LOW",C254)))</formula>
    </cfRule>
    <cfRule type="containsText" dxfId="51" priority="19" stopIfTrue="1" operator="containsText" text="HIGH">
      <formula>NOT(ISERROR(SEARCH("HIGH",C254)))</formula>
    </cfRule>
    <cfRule type="containsText" dxfId="50" priority="20" stopIfTrue="1" operator="containsText" text="EXTREME">
      <formula>NOT(ISERROR(SEARCH("EXTREME",C254)))</formula>
    </cfRule>
  </conditionalFormatting>
  <conditionalFormatting sqref="C289:D289">
    <cfRule type="containsText" dxfId="49" priority="6" stopIfTrue="1" operator="containsText" text="VERY LOW">
      <formula>NOT(ISERROR(SEARCH("VERY LOW",C289)))</formula>
    </cfRule>
    <cfRule type="containsText" dxfId="48" priority="7" stopIfTrue="1" operator="containsText" text="LOW">
      <formula>NOT(ISERROR(SEARCH("LOW",C289)))</formula>
    </cfRule>
    <cfRule type="containsText" dxfId="47" priority="8" stopIfTrue="1" operator="containsText" text="MIDDLE">
      <formula>NOT(ISERROR(SEARCH("MIDDLE",C289)))</formula>
    </cfRule>
    <cfRule type="containsText" dxfId="46" priority="9" stopIfTrue="1" operator="containsText" text="HIGH">
      <formula>NOT(ISERROR(SEARCH("HIGH",C289)))</formula>
    </cfRule>
    <cfRule type="containsText" dxfId="45" priority="10" stopIfTrue="1" operator="containsText" text="EXTREME">
      <formula>NOT(ISERROR(SEARCH("EXTREME",C289)))</formula>
    </cfRule>
  </conditionalFormatting>
  <conditionalFormatting sqref="G9:H9">
    <cfRule type="containsText" dxfId="44" priority="104" stopIfTrue="1" operator="containsText" text="HIGH">
      <formula>NOT(ISERROR(SEARCH("HIGH",G9)))</formula>
    </cfRule>
    <cfRule type="containsText" dxfId="43" priority="105" stopIfTrue="1" operator="containsText" text="EXTREME">
      <formula>NOT(ISERROR(SEARCH("EXTREME",G9)))</formula>
    </cfRule>
    <cfRule type="containsText" dxfId="42" priority="102" stopIfTrue="1" operator="containsText" text="LOW">
      <formula>NOT(ISERROR(SEARCH("LOW",G9)))</formula>
    </cfRule>
    <cfRule type="containsText" dxfId="41" priority="101" stopIfTrue="1" operator="containsText" text="VERY LOW">
      <formula>NOT(ISERROR(SEARCH("VERY LOW",G9)))</formula>
    </cfRule>
    <cfRule type="containsText" dxfId="40" priority="103" stopIfTrue="1" operator="containsText" text="MIDDLE">
      <formula>NOT(ISERROR(SEARCH("MIDDLE",G9)))</formula>
    </cfRule>
  </conditionalFormatting>
  <conditionalFormatting sqref="G44:H44">
    <cfRule type="containsText" dxfId="39" priority="71" stopIfTrue="1" operator="containsText" text="VERY LOW">
      <formula>NOT(ISERROR(SEARCH("VERY LOW",G44)))</formula>
    </cfRule>
    <cfRule type="containsText" dxfId="38" priority="72" stopIfTrue="1" operator="containsText" text="LOW">
      <formula>NOT(ISERROR(SEARCH("LOW",G44)))</formula>
    </cfRule>
    <cfRule type="containsText" dxfId="37" priority="73" stopIfTrue="1" operator="containsText" text="MIDDLE">
      <formula>NOT(ISERROR(SEARCH("MIDDLE",G44)))</formula>
    </cfRule>
    <cfRule type="containsText" dxfId="36" priority="75" stopIfTrue="1" operator="containsText" text="EXTREME">
      <formula>NOT(ISERROR(SEARCH("EXTREME",G44)))</formula>
    </cfRule>
    <cfRule type="containsText" dxfId="35" priority="74" stopIfTrue="1" operator="containsText" text="HIGH">
      <formula>NOT(ISERROR(SEARCH("HIGH",G44)))</formula>
    </cfRule>
  </conditionalFormatting>
  <conditionalFormatting sqref="G79:H79">
    <cfRule type="containsText" dxfId="34" priority="63" stopIfTrue="1" operator="containsText" text="MIDDLE">
      <formula>NOT(ISERROR(SEARCH("MIDDLE",G79)))</formula>
    </cfRule>
    <cfRule type="containsText" dxfId="33" priority="64" stopIfTrue="1" operator="containsText" text="HIGH">
      <formula>NOT(ISERROR(SEARCH("HIGH",G79)))</formula>
    </cfRule>
    <cfRule type="containsText" dxfId="32" priority="65" stopIfTrue="1" operator="containsText" text="EXTREME">
      <formula>NOT(ISERROR(SEARCH("EXTREME",G79)))</formula>
    </cfRule>
    <cfRule type="containsText" dxfId="31" priority="61" stopIfTrue="1" operator="containsText" text="VERY LOW">
      <formula>NOT(ISERROR(SEARCH("VERY LOW",G79)))</formula>
    </cfRule>
    <cfRule type="containsText" dxfId="30" priority="62" stopIfTrue="1" operator="containsText" text="LOW">
      <formula>NOT(ISERROR(SEARCH("LOW",G79)))</formula>
    </cfRule>
  </conditionalFormatting>
  <conditionalFormatting sqref="G114:H114">
    <cfRule type="containsText" dxfId="29" priority="55" stopIfTrue="1" operator="containsText" text="EXTREME">
      <formula>NOT(ISERROR(SEARCH("EXTREME",G114)))</formula>
    </cfRule>
    <cfRule type="containsText" dxfId="28" priority="54" stopIfTrue="1" operator="containsText" text="HIGH">
      <formula>NOT(ISERROR(SEARCH("HIGH",G114)))</formula>
    </cfRule>
    <cfRule type="containsText" dxfId="27" priority="53" stopIfTrue="1" operator="containsText" text="MIDDLE">
      <formula>NOT(ISERROR(SEARCH("MIDDLE",G114)))</formula>
    </cfRule>
    <cfRule type="containsText" dxfId="26" priority="52" stopIfTrue="1" operator="containsText" text="LOW">
      <formula>NOT(ISERROR(SEARCH("LOW",G114)))</formula>
    </cfRule>
    <cfRule type="containsText" dxfId="25" priority="51" stopIfTrue="1" operator="containsText" text="VERY LOW">
      <formula>NOT(ISERROR(SEARCH("VERY LOW",G114)))</formula>
    </cfRule>
  </conditionalFormatting>
  <conditionalFormatting sqref="G149:H149">
    <cfRule type="containsText" dxfId="24" priority="41" stopIfTrue="1" operator="containsText" text="VERY LOW">
      <formula>NOT(ISERROR(SEARCH("VERY LOW",G149)))</formula>
    </cfRule>
    <cfRule type="containsText" dxfId="23" priority="45" stopIfTrue="1" operator="containsText" text="EXTREME">
      <formula>NOT(ISERROR(SEARCH("EXTREME",G149)))</formula>
    </cfRule>
    <cfRule type="containsText" dxfId="22" priority="43" stopIfTrue="1" operator="containsText" text="MIDDLE">
      <formula>NOT(ISERROR(SEARCH("MIDDLE",G149)))</formula>
    </cfRule>
    <cfRule type="containsText" dxfId="21" priority="44" stopIfTrue="1" operator="containsText" text="HIGH">
      <formula>NOT(ISERROR(SEARCH("HIGH",G149)))</formula>
    </cfRule>
    <cfRule type="containsText" dxfId="20" priority="42" stopIfTrue="1" operator="containsText" text="LOW">
      <formula>NOT(ISERROR(SEARCH("LOW",G149)))</formula>
    </cfRule>
  </conditionalFormatting>
  <conditionalFormatting sqref="G184:H184">
    <cfRule type="containsText" dxfId="19" priority="35" stopIfTrue="1" operator="containsText" text="EXTREME">
      <formula>NOT(ISERROR(SEARCH("EXTREME",G184)))</formula>
    </cfRule>
    <cfRule type="containsText" dxfId="18" priority="34" stopIfTrue="1" operator="containsText" text="HIGH">
      <formula>NOT(ISERROR(SEARCH("HIGH",G184)))</formula>
    </cfRule>
    <cfRule type="containsText" dxfId="17" priority="33" stopIfTrue="1" operator="containsText" text="MIDDLE">
      <formula>NOT(ISERROR(SEARCH("MIDDLE",G184)))</formula>
    </cfRule>
    <cfRule type="containsText" dxfId="16" priority="32" stopIfTrue="1" operator="containsText" text="LOW">
      <formula>NOT(ISERROR(SEARCH("LOW",G184)))</formula>
    </cfRule>
    <cfRule type="containsText" dxfId="15" priority="31" stopIfTrue="1" operator="containsText" text="VERY LOW">
      <formula>NOT(ISERROR(SEARCH("VERY LOW",G184)))</formula>
    </cfRule>
  </conditionalFormatting>
  <conditionalFormatting sqref="G219:H219">
    <cfRule type="containsText" dxfId="14" priority="23" stopIfTrue="1" operator="containsText" text="MIDDLE">
      <formula>NOT(ISERROR(SEARCH("MIDDLE",G219)))</formula>
    </cfRule>
    <cfRule type="containsText" dxfId="13" priority="21" stopIfTrue="1" operator="containsText" text="VERY LOW">
      <formula>NOT(ISERROR(SEARCH("VERY LOW",G219)))</formula>
    </cfRule>
    <cfRule type="containsText" dxfId="12" priority="22" stopIfTrue="1" operator="containsText" text="LOW">
      <formula>NOT(ISERROR(SEARCH("LOW",G219)))</formula>
    </cfRule>
    <cfRule type="containsText" dxfId="11" priority="25" stopIfTrue="1" operator="containsText" text="EXTREME">
      <formula>NOT(ISERROR(SEARCH("EXTREME",G219)))</formula>
    </cfRule>
    <cfRule type="containsText" dxfId="10" priority="24" stopIfTrue="1" operator="containsText" text="HIGH">
      <formula>NOT(ISERROR(SEARCH("HIGH",G219)))</formula>
    </cfRule>
  </conditionalFormatting>
  <conditionalFormatting sqref="G254:H254">
    <cfRule type="containsText" dxfId="9" priority="11" stopIfTrue="1" operator="containsText" text="VERY LOW">
      <formula>NOT(ISERROR(SEARCH("VERY LOW",G254)))</formula>
    </cfRule>
    <cfRule type="containsText" dxfId="8" priority="13" stopIfTrue="1" operator="containsText" text="MIDDLE">
      <formula>NOT(ISERROR(SEARCH("MIDDLE",G254)))</formula>
    </cfRule>
    <cfRule type="containsText" dxfId="7" priority="14" stopIfTrue="1" operator="containsText" text="HIGH">
      <formula>NOT(ISERROR(SEARCH("HIGH",G254)))</formula>
    </cfRule>
    <cfRule type="containsText" dxfId="6" priority="15" stopIfTrue="1" operator="containsText" text="EXTREME">
      <formula>NOT(ISERROR(SEARCH("EXTREME",G254)))</formula>
    </cfRule>
    <cfRule type="containsText" dxfId="5" priority="12" stopIfTrue="1" operator="containsText" text="LOW">
      <formula>NOT(ISERROR(SEARCH("LOW",G254)))</formula>
    </cfRule>
  </conditionalFormatting>
  <conditionalFormatting sqref="G289:H289">
    <cfRule type="containsText" dxfId="4" priority="4" stopIfTrue="1" operator="containsText" text="HIGH">
      <formula>NOT(ISERROR(SEARCH("HIGH",G289)))</formula>
    </cfRule>
    <cfRule type="containsText" dxfId="3" priority="5" stopIfTrue="1" operator="containsText" text="EXTREME">
      <formula>NOT(ISERROR(SEARCH("EXTREME",G289)))</formula>
    </cfRule>
    <cfRule type="containsText" dxfId="2" priority="1" stopIfTrue="1" operator="containsText" text="VERY LOW">
      <formula>NOT(ISERROR(SEARCH("VERY LOW",G289)))</formula>
    </cfRule>
    <cfRule type="containsText" dxfId="1" priority="3" stopIfTrue="1" operator="containsText" text="MIDDLE">
      <formula>NOT(ISERROR(SEARCH("MIDDLE",G289)))</formula>
    </cfRule>
    <cfRule type="containsText" dxfId="0" priority="2" stopIfTrue="1" operator="containsText" text="LOW">
      <formula>NOT(ISERROR(SEARCH("LOW",G289)))</formula>
    </cfRule>
  </conditionalFormatting>
  <dataValidations count="4">
    <dataValidation type="list" allowBlank="1" showInputMessage="1" showErrorMessage="1" sqref="G9:H9 G44:H44 G79:H79 G114:H114 G149:H149 G184:H184 G219:H219 G254:H254 G289:H289" xr:uid="{328F68F5-E052-4A8C-AA08-0F502E7DEC82}">
      <formula1>"Extreme, High, Middle, Low, Very Low"</formula1>
    </dataValidation>
    <dataValidation type="list" allowBlank="1" showInputMessage="1" showErrorMessage="1" sqref="G6:H6 G41:H41 G76:H76 G111:H111 G146:H146 G181:H181 G216:H216 G251:H251 G286:H286" xr:uid="{0F768288-F259-47D3-B5C0-208C729EABB3}">
      <formula1>"2025, 2026, 2027, 2028"</formula1>
    </dataValidation>
    <dataValidation type="list" allowBlank="1" showInputMessage="1" showErrorMessage="1" sqref="D12 D292 D47 D222 D82 D257 D117 D187 D152" xr:uid="{03055EDE-54C0-49D9-AA6D-4430D5CD3D1A}">
      <formula1>"Menerima Risiko, Membagi Risiko, Melimpahkan Risiko"</formula1>
    </dataValidation>
    <dataValidation type="list" allowBlank="1" showInputMessage="1" showErrorMessage="1" sqref="D266:D268 D21:D23 D231:D233 D56:D58 D91:D93 D126:D128 D161:D163 D196:D198 D301:D303" xr:uid="{7F8DE17E-3FAE-4B2F-A8AB-3ED9B0A6C116}">
      <formula1>"'-, '- Sudah, '- Belum"</formula1>
    </dataValidation>
  </dataValidations>
  <pageMargins left="0.51181102362204722" right="0.51181102362204722" top="0.55118110236220474" bottom="0.55118110236220474" header="0.31496062992125984" footer="0.31496062992125984"/>
  <pageSetup paperSize="9" scale="85" fitToHeight="0"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6181C57-E36A-44C5-899C-C89D5E202D6F}">
          <x14:formula1>
            <xm:f>'Unit &amp; Pemonev'!$C$6:$C$13</xm:f>
          </x14:formula1>
          <xm:sqref>G5:H5 G40:H40 G75:H75 G110:H110 G145:H145 G180:H180 G215:H215 G250:H250 G285:H285</xm:sqref>
        </x14:dataValidation>
        <x14:dataValidation type="list" allowBlank="1" showInputMessage="1" showErrorMessage="1" xr:uid="{90011FEE-4ACF-4D01-9587-FD1CD448446A}">
          <x14:formula1>
            <xm:f>'Unit &amp; Pemonev'!$F$5:$F$72</xm:f>
          </x14:formula1>
          <xm:sqref>D17:D19 D52:D54 D87:D89 D122:D124 D157:D159 D192:D194 D227:D229 D262:D264 D297:D299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47BF3-E64B-465B-9C09-1A56567614D3}">
  <dimension ref="B3:F78"/>
  <sheetViews>
    <sheetView topLeftCell="A5" workbookViewId="0">
      <selection activeCell="C8" sqref="C8"/>
    </sheetView>
  </sheetViews>
  <sheetFormatPr defaultColWidth="8.85546875" defaultRowHeight="15" x14ac:dyDescent="0.25"/>
  <cols>
    <col min="1" max="2" width="8.85546875" style="3"/>
    <col min="3" max="3" width="56.42578125" style="3" customWidth="1"/>
    <col min="4" max="4" width="8.85546875" style="3"/>
    <col min="5" max="5" width="6.140625" style="12" customWidth="1"/>
    <col min="6" max="6" width="52.85546875" style="3" bestFit="1" customWidth="1"/>
    <col min="7" max="16384" width="8.85546875" style="3"/>
  </cols>
  <sheetData>
    <row r="3" spans="2:6" x14ac:dyDescent="0.25">
      <c r="B3" s="213" t="s">
        <v>3129</v>
      </c>
      <c r="C3" s="213"/>
      <c r="E3" s="214" t="s">
        <v>3130</v>
      </c>
      <c r="F3" s="214"/>
    </row>
    <row r="4" spans="2:6" s="11" customFormat="1" x14ac:dyDescent="0.25">
      <c r="B4" s="11" t="s">
        <v>15</v>
      </c>
      <c r="C4" s="11" t="s">
        <v>16</v>
      </c>
      <c r="E4" s="11" t="s">
        <v>15</v>
      </c>
      <c r="F4" s="11" t="s">
        <v>3131</v>
      </c>
    </row>
    <row r="5" spans="2:6" x14ac:dyDescent="0.25">
      <c r="B5" s="3" t="s">
        <v>17</v>
      </c>
      <c r="E5" s="12">
        <v>1</v>
      </c>
      <c r="F5" s="11"/>
    </row>
    <row r="6" spans="2:6" x14ac:dyDescent="0.25">
      <c r="B6" s="12">
        <v>1</v>
      </c>
      <c r="C6" s="3" t="s">
        <v>3121</v>
      </c>
      <c r="E6" s="12">
        <v>2</v>
      </c>
      <c r="F6" s="163" t="s">
        <v>3342</v>
      </c>
    </row>
    <row r="7" spans="2:6" x14ac:dyDescent="0.25">
      <c r="B7" s="12">
        <v>2</v>
      </c>
      <c r="C7" s="3" t="s">
        <v>3122</v>
      </c>
      <c r="E7" s="12">
        <v>3</v>
      </c>
      <c r="F7" s="163" t="s">
        <v>3343</v>
      </c>
    </row>
    <row r="8" spans="2:6" x14ac:dyDescent="0.25">
      <c r="B8" s="12">
        <v>3</v>
      </c>
      <c r="C8" s="13" t="s">
        <v>3123</v>
      </c>
      <c r="E8" s="12">
        <v>4</v>
      </c>
      <c r="F8" s="163" t="s">
        <v>3344</v>
      </c>
    </row>
    <row r="9" spans="2:6" x14ac:dyDescent="0.25">
      <c r="B9" s="12">
        <v>4</v>
      </c>
      <c r="C9" s="3" t="s">
        <v>3124</v>
      </c>
      <c r="E9" s="12">
        <v>5</v>
      </c>
      <c r="F9" s="163" t="s">
        <v>3345</v>
      </c>
    </row>
    <row r="10" spans="2:6" x14ac:dyDescent="0.25">
      <c r="B10" s="12">
        <v>5</v>
      </c>
      <c r="C10" s="13" t="s">
        <v>3128</v>
      </c>
      <c r="E10" s="12">
        <v>6</v>
      </c>
      <c r="F10" s="163" t="s">
        <v>3346</v>
      </c>
    </row>
    <row r="11" spans="2:6" x14ac:dyDescent="0.25">
      <c r="B11" s="12">
        <v>6</v>
      </c>
      <c r="C11" s="3" t="s">
        <v>3125</v>
      </c>
      <c r="E11" s="12">
        <v>7</v>
      </c>
      <c r="F11" s="163" t="s">
        <v>3347</v>
      </c>
    </row>
    <row r="12" spans="2:6" x14ac:dyDescent="0.25">
      <c r="B12" s="12">
        <v>7</v>
      </c>
      <c r="C12" s="3" t="s">
        <v>3126</v>
      </c>
      <c r="E12" s="12">
        <v>8</v>
      </c>
      <c r="F12" s="163" t="s">
        <v>3348</v>
      </c>
    </row>
    <row r="13" spans="2:6" x14ac:dyDescent="0.25">
      <c r="B13" s="12">
        <v>8</v>
      </c>
      <c r="C13" s="3" t="s">
        <v>3127</v>
      </c>
      <c r="E13" s="12">
        <v>9</v>
      </c>
      <c r="F13" s="163" t="s">
        <v>3349</v>
      </c>
    </row>
    <row r="14" spans="2:6" x14ac:dyDescent="0.25">
      <c r="E14" s="12">
        <v>10</v>
      </c>
      <c r="F14" s="163" t="s">
        <v>3350</v>
      </c>
    </row>
    <row r="15" spans="2:6" x14ac:dyDescent="0.25">
      <c r="E15" s="12">
        <v>11</v>
      </c>
      <c r="F15" s="163" t="s">
        <v>3351</v>
      </c>
    </row>
    <row r="16" spans="2:6" x14ac:dyDescent="0.25">
      <c r="E16" s="12">
        <v>12</v>
      </c>
      <c r="F16" s="163" t="s">
        <v>3352</v>
      </c>
    </row>
    <row r="17" spans="5:6" x14ac:dyDescent="0.25">
      <c r="E17" s="12">
        <v>13</v>
      </c>
      <c r="F17" s="163" t="s">
        <v>3353</v>
      </c>
    </row>
    <row r="18" spans="5:6" x14ac:dyDescent="0.25">
      <c r="E18" s="12">
        <v>14</v>
      </c>
      <c r="F18" s="163" t="s">
        <v>3354</v>
      </c>
    </row>
    <row r="19" spans="5:6" x14ac:dyDescent="0.25">
      <c r="E19" s="12">
        <v>15</v>
      </c>
      <c r="F19" s="163" t="s">
        <v>3355</v>
      </c>
    </row>
    <row r="20" spans="5:6" x14ac:dyDescent="0.25">
      <c r="E20" s="12">
        <v>16</v>
      </c>
      <c r="F20" s="163" t="s">
        <v>3356</v>
      </c>
    </row>
    <row r="21" spans="5:6" x14ac:dyDescent="0.25">
      <c r="E21" s="12">
        <v>17</v>
      </c>
      <c r="F21" s="163" t="s">
        <v>3357</v>
      </c>
    </row>
    <row r="22" spans="5:6" x14ac:dyDescent="0.25">
      <c r="E22" s="12">
        <v>18</v>
      </c>
      <c r="F22" s="163" t="s">
        <v>3358</v>
      </c>
    </row>
    <row r="23" spans="5:6" x14ac:dyDescent="0.25">
      <c r="E23" s="12">
        <v>19</v>
      </c>
      <c r="F23" s="163" t="s">
        <v>3359</v>
      </c>
    </row>
    <row r="24" spans="5:6" x14ac:dyDescent="0.25">
      <c r="E24" s="12">
        <v>20</v>
      </c>
      <c r="F24" s="163" t="s">
        <v>3360</v>
      </c>
    </row>
    <row r="25" spans="5:6" x14ac:dyDescent="0.25">
      <c r="E25" s="12">
        <v>21</v>
      </c>
      <c r="F25" s="163" t="s">
        <v>3362</v>
      </c>
    </row>
    <row r="26" spans="5:6" x14ac:dyDescent="0.25">
      <c r="E26" s="12">
        <v>22</v>
      </c>
      <c r="F26" s="163" t="s">
        <v>3363</v>
      </c>
    </row>
    <row r="27" spans="5:6" x14ac:dyDescent="0.25">
      <c r="E27" s="12">
        <v>23</v>
      </c>
      <c r="F27" s="163" t="s">
        <v>3403</v>
      </c>
    </row>
    <row r="28" spans="5:6" x14ac:dyDescent="0.25">
      <c r="E28" s="12">
        <v>24</v>
      </c>
      <c r="F28" s="163" t="s">
        <v>3364</v>
      </c>
    </row>
    <row r="29" spans="5:6" x14ac:dyDescent="0.25">
      <c r="E29" s="12">
        <v>25</v>
      </c>
      <c r="F29" s="163" t="s">
        <v>3365</v>
      </c>
    </row>
    <row r="30" spans="5:6" x14ac:dyDescent="0.25">
      <c r="E30" s="12">
        <v>26</v>
      </c>
      <c r="F30" s="163" t="s">
        <v>3366</v>
      </c>
    </row>
    <row r="31" spans="5:6" x14ac:dyDescent="0.25">
      <c r="E31" s="12">
        <v>27</v>
      </c>
      <c r="F31" s="163" t="s">
        <v>3367</v>
      </c>
    </row>
    <row r="32" spans="5:6" x14ac:dyDescent="0.25">
      <c r="E32" s="12">
        <v>28</v>
      </c>
      <c r="F32" s="163" t="s">
        <v>3368</v>
      </c>
    </row>
    <row r="33" spans="5:6" x14ac:dyDescent="0.25">
      <c r="E33" s="12">
        <v>29</v>
      </c>
      <c r="F33" s="163" t="s">
        <v>3369</v>
      </c>
    </row>
    <row r="34" spans="5:6" x14ac:dyDescent="0.25">
      <c r="E34" s="12">
        <v>30</v>
      </c>
      <c r="F34" s="163" t="s">
        <v>3374</v>
      </c>
    </row>
    <row r="35" spans="5:6" x14ac:dyDescent="0.25">
      <c r="E35" s="12">
        <v>31</v>
      </c>
      <c r="F35" s="163" t="s">
        <v>3376</v>
      </c>
    </row>
    <row r="36" spans="5:6" x14ac:dyDescent="0.25">
      <c r="E36" s="12">
        <v>32</v>
      </c>
      <c r="F36" s="163" t="s">
        <v>3377</v>
      </c>
    </row>
    <row r="37" spans="5:6" x14ac:dyDescent="0.25">
      <c r="E37" s="12">
        <v>33</v>
      </c>
      <c r="F37" s="163" t="s">
        <v>3378</v>
      </c>
    </row>
    <row r="38" spans="5:6" x14ac:dyDescent="0.25">
      <c r="E38" s="12">
        <v>34</v>
      </c>
      <c r="F38" s="163" t="s">
        <v>3379</v>
      </c>
    </row>
    <row r="39" spans="5:6" x14ac:dyDescent="0.25">
      <c r="E39" s="12">
        <v>35</v>
      </c>
      <c r="F39" s="163" t="s">
        <v>3380</v>
      </c>
    </row>
    <row r="40" spans="5:6" x14ac:dyDescent="0.25">
      <c r="E40" s="12">
        <v>36</v>
      </c>
      <c r="F40" s="163" t="s">
        <v>3381</v>
      </c>
    </row>
    <row r="41" spans="5:6" x14ac:dyDescent="0.25">
      <c r="E41" s="12">
        <v>37</v>
      </c>
      <c r="F41" s="163" t="s">
        <v>3382</v>
      </c>
    </row>
    <row r="42" spans="5:6" x14ac:dyDescent="0.25">
      <c r="E42" s="12">
        <v>38</v>
      </c>
      <c r="F42" s="163" t="s">
        <v>3383</v>
      </c>
    </row>
    <row r="43" spans="5:6" x14ac:dyDescent="0.25">
      <c r="E43" s="12">
        <v>39</v>
      </c>
      <c r="F43" s="163" t="s">
        <v>3384</v>
      </c>
    </row>
    <row r="44" spans="5:6" x14ac:dyDescent="0.25">
      <c r="E44" s="12">
        <v>40</v>
      </c>
      <c r="F44" s="163" t="s">
        <v>3385</v>
      </c>
    </row>
    <row r="45" spans="5:6" x14ac:dyDescent="0.25">
      <c r="E45" s="12">
        <v>41</v>
      </c>
      <c r="F45" s="163" t="s">
        <v>3405</v>
      </c>
    </row>
    <row r="46" spans="5:6" x14ac:dyDescent="0.25">
      <c r="E46" s="12">
        <v>42</v>
      </c>
      <c r="F46" s="163" t="s">
        <v>3404</v>
      </c>
    </row>
    <row r="47" spans="5:6" x14ac:dyDescent="0.25">
      <c r="E47" s="12">
        <v>43</v>
      </c>
      <c r="F47" s="163" t="s">
        <v>3387</v>
      </c>
    </row>
    <row r="48" spans="5:6" x14ac:dyDescent="0.25">
      <c r="E48" s="12">
        <v>44</v>
      </c>
      <c r="F48" s="163" t="s">
        <v>3406</v>
      </c>
    </row>
    <row r="49" spans="5:6" x14ac:dyDescent="0.25">
      <c r="E49" s="12">
        <v>45</v>
      </c>
      <c r="F49" s="163" t="s">
        <v>3388</v>
      </c>
    </row>
    <row r="50" spans="5:6" x14ac:dyDescent="0.25">
      <c r="E50" s="12">
        <v>46</v>
      </c>
      <c r="F50" s="163" t="s">
        <v>3389</v>
      </c>
    </row>
    <row r="51" spans="5:6" x14ac:dyDescent="0.25">
      <c r="E51" s="12">
        <v>47</v>
      </c>
      <c r="F51" s="163" t="s">
        <v>3390</v>
      </c>
    </row>
    <row r="52" spans="5:6" x14ac:dyDescent="0.25">
      <c r="E52" s="12">
        <v>48</v>
      </c>
      <c r="F52" s="163" t="s">
        <v>3391</v>
      </c>
    </row>
    <row r="53" spans="5:6" x14ac:dyDescent="0.25">
      <c r="E53" s="12">
        <v>49</v>
      </c>
      <c r="F53" s="163" t="s">
        <v>3392</v>
      </c>
    </row>
    <row r="54" spans="5:6" x14ac:dyDescent="0.25">
      <c r="E54" s="12">
        <v>50</v>
      </c>
      <c r="F54" s="163" t="s">
        <v>3361</v>
      </c>
    </row>
    <row r="55" spans="5:6" x14ac:dyDescent="0.25">
      <c r="E55" s="12">
        <v>51</v>
      </c>
      <c r="F55" s="163" t="s">
        <v>3407</v>
      </c>
    </row>
    <row r="56" spans="5:6" x14ac:dyDescent="0.25">
      <c r="E56" s="12">
        <v>52</v>
      </c>
      <c r="F56" s="163" t="s">
        <v>3394</v>
      </c>
    </row>
    <row r="57" spans="5:6" x14ac:dyDescent="0.25">
      <c r="E57" s="12">
        <v>53</v>
      </c>
      <c r="F57" s="163" t="s">
        <v>3395</v>
      </c>
    </row>
    <row r="58" spans="5:6" x14ac:dyDescent="0.25">
      <c r="E58" s="12">
        <v>54</v>
      </c>
      <c r="F58" s="163" t="s">
        <v>3396</v>
      </c>
    </row>
    <row r="59" spans="5:6" x14ac:dyDescent="0.25">
      <c r="E59" s="12">
        <v>55</v>
      </c>
      <c r="F59" s="163" t="s">
        <v>3397</v>
      </c>
    </row>
    <row r="60" spans="5:6" x14ac:dyDescent="0.25">
      <c r="E60" s="12">
        <v>56</v>
      </c>
      <c r="F60" s="163" t="s">
        <v>3399</v>
      </c>
    </row>
    <row r="61" spans="5:6" x14ac:dyDescent="0.25">
      <c r="E61" s="12">
        <v>57</v>
      </c>
      <c r="F61" s="163" t="s">
        <v>3400</v>
      </c>
    </row>
    <row r="62" spans="5:6" x14ac:dyDescent="0.25">
      <c r="E62" s="12">
        <v>58</v>
      </c>
      <c r="F62" s="163" t="s">
        <v>3402</v>
      </c>
    </row>
    <row r="63" spans="5:6" x14ac:dyDescent="0.25">
      <c r="E63" s="12">
        <v>59</v>
      </c>
      <c r="F63" s="163" t="s">
        <v>3401</v>
      </c>
    </row>
    <row r="64" spans="5:6" x14ac:dyDescent="0.25">
      <c r="E64" s="12">
        <v>60</v>
      </c>
      <c r="F64" s="163" t="s">
        <v>3408</v>
      </c>
    </row>
    <row r="65" spans="5:6" x14ac:dyDescent="0.25">
      <c r="E65" s="12">
        <v>61</v>
      </c>
      <c r="F65" s="163" t="s">
        <v>3398</v>
      </c>
    </row>
    <row r="66" spans="5:6" x14ac:dyDescent="0.25">
      <c r="E66" s="12">
        <v>62</v>
      </c>
      <c r="F66" s="163" t="s">
        <v>3386</v>
      </c>
    </row>
    <row r="67" spans="5:6" x14ac:dyDescent="0.25">
      <c r="E67" s="12">
        <v>63</v>
      </c>
      <c r="F67" s="163" t="s">
        <v>3370</v>
      </c>
    </row>
    <row r="68" spans="5:6" x14ac:dyDescent="0.25">
      <c r="E68" s="12">
        <v>64</v>
      </c>
      <c r="F68" s="163" t="s">
        <v>3375</v>
      </c>
    </row>
    <row r="69" spans="5:6" x14ac:dyDescent="0.25">
      <c r="E69" s="12">
        <v>65</v>
      </c>
      <c r="F69" s="163" t="s">
        <v>3393</v>
      </c>
    </row>
    <row r="70" spans="5:6" x14ac:dyDescent="0.25">
      <c r="E70" s="12">
        <v>66</v>
      </c>
      <c r="F70" s="163" t="s">
        <v>3409</v>
      </c>
    </row>
    <row r="71" spans="5:6" x14ac:dyDescent="0.25">
      <c r="E71" s="12">
        <v>67</v>
      </c>
      <c r="F71" s="163" t="s">
        <v>3411</v>
      </c>
    </row>
    <row r="72" spans="5:6" x14ac:dyDescent="0.25">
      <c r="E72" s="12">
        <v>68</v>
      </c>
      <c r="F72" s="163" t="s">
        <v>3410</v>
      </c>
    </row>
    <row r="78" spans="5:6" x14ac:dyDescent="0.25">
      <c r="F78" s="163"/>
    </row>
  </sheetData>
  <mergeCells count="2">
    <mergeCell ref="B3:C3"/>
    <mergeCell ref="E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A493-E580-4F2E-B476-5D3D9AE81949}">
  <sheetPr filterMode="1"/>
  <dimension ref="A1:K717"/>
  <sheetViews>
    <sheetView zoomScale="70" zoomScaleNormal="70" workbookViewId="0">
      <selection activeCell="B2" sqref="B2"/>
    </sheetView>
  </sheetViews>
  <sheetFormatPr defaultColWidth="8.85546875" defaultRowHeight="15" x14ac:dyDescent="0.25"/>
  <cols>
    <col min="1" max="1" width="8.85546875" style="22"/>
    <col min="2" max="11" width="20" style="14" customWidth="1"/>
    <col min="12" max="16384" width="8.85546875" style="14"/>
  </cols>
  <sheetData>
    <row r="1" spans="1:11" ht="18.75" x14ac:dyDescent="0.3">
      <c r="B1" s="215" t="s">
        <v>18</v>
      </c>
      <c r="C1" s="216"/>
      <c r="D1" s="216"/>
      <c r="E1" s="216"/>
      <c r="F1" s="216"/>
      <c r="G1" s="216"/>
      <c r="H1" s="216"/>
      <c r="I1" s="216"/>
      <c r="J1" s="216"/>
      <c r="K1" s="216"/>
    </row>
    <row r="3" spans="1:11" x14ac:dyDescent="0.25">
      <c r="B3" s="15" t="s">
        <v>19</v>
      </c>
      <c r="C3" s="15" t="s">
        <v>20</v>
      </c>
      <c r="D3" s="15" t="s">
        <v>21</v>
      </c>
      <c r="E3" s="15" t="s">
        <v>22</v>
      </c>
      <c r="F3" s="15" t="s">
        <v>23</v>
      </c>
      <c r="G3" s="15" t="s">
        <v>24</v>
      </c>
      <c r="H3" s="15" t="s">
        <v>25</v>
      </c>
      <c r="I3" s="15" t="s">
        <v>26</v>
      </c>
      <c r="J3" s="15" t="s">
        <v>27</v>
      </c>
      <c r="K3" s="15" t="s">
        <v>28</v>
      </c>
    </row>
    <row r="4" spans="1:11" ht="225" x14ac:dyDescent="0.25">
      <c r="A4" s="22">
        <v>1</v>
      </c>
      <c r="B4" s="16" t="s">
        <v>29</v>
      </c>
      <c r="C4" s="16" t="s">
        <v>30</v>
      </c>
      <c r="D4" s="16">
        <v>15790000</v>
      </c>
      <c r="E4" s="16">
        <v>5</v>
      </c>
      <c r="F4" s="16">
        <v>5</v>
      </c>
      <c r="G4" s="17" t="s">
        <v>31</v>
      </c>
      <c r="H4" s="16"/>
      <c r="I4" s="16" t="s">
        <v>32</v>
      </c>
      <c r="J4" s="16" t="s">
        <v>33</v>
      </c>
      <c r="K4" s="16" t="s">
        <v>34</v>
      </c>
    </row>
    <row r="5" spans="1:11" ht="225" hidden="1" x14ac:dyDescent="0.25">
      <c r="A5" s="22">
        <v>2</v>
      </c>
      <c r="B5" s="16" t="s">
        <v>35</v>
      </c>
      <c r="C5" s="16" t="s">
        <v>36</v>
      </c>
      <c r="D5" s="16">
        <v>8320000</v>
      </c>
      <c r="E5" s="16">
        <v>5</v>
      </c>
      <c r="F5" s="16">
        <v>5</v>
      </c>
      <c r="G5" s="17" t="s">
        <v>31</v>
      </c>
      <c r="H5" s="16"/>
      <c r="I5" s="16" t="s">
        <v>32</v>
      </c>
      <c r="J5" s="16" t="s">
        <v>33</v>
      </c>
      <c r="K5" s="16" t="s">
        <v>34</v>
      </c>
    </row>
    <row r="6" spans="1:11" ht="225" hidden="1" x14ac:dyDescent="0.25">
      <c r="A6" s="22">
        <v>3</v>
      </c>
      <c r="B6" s="16" t="s">
        <v>37</v>
      </c>
      <c r="C6" s="16" t="s">
        <v>38</v>
      </c>
      <c r="D6" s="16">
        <v>28817500</v>
      </c>
      <c r="E6" s="16">
        <v>5</v>
      </c>
      <c r="F6" s="16">
        <v>5</v>
      </c>
      <c r="G6" s="17" t="s">
        <v>31</v>
      </c>
      <c r="H6" s="16"/>
      <c r="I6" s="16" t="s">
        <v>32</v>
      </c>
      <c r="J6" s="16" t="s">
        <v>33</v>
      </c>
      <c r="K6" s="16" t="s">
        <v>34</v>
      </c>
    </row>
    <row r="7" spans="1:11" ht="240" hidden="1" x14ac:dyDescent="0.25">
      <c r="A7" s="22">
        <v>4</v>
      </c>
      <c r="B7" s="16" t="s">
        <v>39</v>
      </c>
      <c r="C7" s="16" t="s">
        <v>40</v>
      </c>
      <c r="D7" s="16">
        <v>21845000</v>
      </c>
      <c r="E7" s="16">
        <v>5</v>
      </c>
      <c r="F7" s="16">
        <v>5</v>
      </c>
      <c r="G7" s="17" t="s">
        <v>31</v>
      </c>
      <c r="H7" s="16"/>
      <c r="I7" s="16" t="s">
        <v>41</v>
      </c>
      <c r="J7" s="16" t="s">
        <v>42</v>
      </c>
      <c r="K7" s="16" t="s">
        <v>43</v>
      </c>
    </row>
    <row r="8" spans="1:11" ht="315" hidden="1" x14ac:dyDescent="0.25">
      <c r="A8" s="22">
        <v>5</v>
      </c>
      <c r="B8" s="16" t="s">
        <v>44</v>
      </c>
      <c r="C8" s="16" t="s">
        <v>45</v>
      </c>
      <c r="D8" s="16">
        <v>13821000</v>
      </c>
      <c r="E8" s="16">
        <v>5</v>
      </c>
      <c r="F8" s="16">
        <v>5</v>
      </c>
      <c r="G8" s="17" t="s">
        <v>31</v>
      </c>
      <c r="H8" s="16"/>
      <c r="I8" s="16" t="s">
        <v>46</v>
      </c>
      <c r="J8" s="16" t="s">
        <v>47</v>
      </c>
      <c r="K8" s="16" t="s">
        <v>48</v>
      </c>
    </row>
    <row r="9" spans="1:11" ht="300" hidden="1" x14ac:dyDescent="0.25">
      <c r="A9" s="22">
        <v>6</v>
      </c>
      <c r="B9" s="16" t="s">
        <v>49</v>
      </c>
      <c r="C9" s="16" t="s">
        <v>50</v>
      </c>
      <c r="D9" s="16">
        <v>40887000</v>
      </c>
      <c r="E9" s="16">
        <v>5</v>
      </c>
      <c r="F9" s="16">
        <v>5</v>
      </c>
      <c r="G9" s="17" t="s">
        <v>31</v>
      </c>
      <c r="H9" s="16"/>
      <c r="I9" s="16" t="s">
        <v>51</v>
      </c>
      <c r="J9" s="16" t="s">
        <v>52</v>
      </c>
      <c r="K9" s="16" t="s">
        <v>53</v>
      </c>
    </row>
    <row r="10" spans="1:11" ht="330" hidden="1" x14ac:dyDescent="0.25">
      <c r="A10" s="22">
        <v>7</v>
      </c>
      <c r="B10" s="16" t="s">
        <v>54</v>
      </c>
      <c r="C10" s="16" t="s">
        <v>55</v>
      </c>
      <c r="D10" s="16">
        <v>44084580</v>
      </c>
      <c r="E10" s="16">
        <v>5</v>
      </c>
      <c r="F10" s="16">
        <v>5</v>
      </c>
      <c r="G10" s="17" t="s">
        <v>31</v>
      </c>
      <c r="H10" s="16"/>
      <c r="I10" s="16" t="s">
        <v>56</v>
      </c>
      <c r="J10" s="16" t="s">
        <v>57</v>
      </c>
      <c r="K10" s="16" t="s">
        <v>58</v>
      </c>
    </row>
    <row r="11" spans="1:11" ht="300" hidden="1" x14ac:dyDescent="0.25">
      <c r="A11" s="22">
        <v>8</v>
      </c>
      <c r="B11" s="16" t="s">
        <v>59</v>
      </c>
      <c r="C11" s="16" t="s">
        <v>60</v>
      </c>
      <c r="D11" s="16">
        <v>12760000</v>
      </c>
      <c r="E11" s="16">
        <v>5</v>
      </c>
      <c r="F11" s="16">
        <v>5</v>
      </c>
      <c r="G11" s="17" t="s">
        <v>31</v>
      </c>
      <c r="H11" s="16"/>
      <c r="I11" s="16" t="s">
        <v>61</v>
      </c>
      <c r="J11" s="16" t="s">
        <v>62</v>
      </c>
      <c r="K11" s="16" t="s">
        <v>63</v>
      </c>
    </row>
    <row r="12" spans="1:11" ht="255" hidden="1" x14ac:dyDescent="0.25">
      <c r="A12" s="22">
        <v>9</v>
      </c>
      <c r="B12" s="16" t="s">
        <v>64</v>
      </c>
      <c r="C12" s="16" t="s">
        <v>65</v>
      </c>
      <c r="D12" s="16">
        <v>4095000</v>
      </c>
      <c r="E12" s="16">
        <v>5</v>
      </c>
      <c r="F12" s="16">
        <v>5</v>
      </c>
      <c r="G12" s="17" t="s">
        <v>31</v>
      </c>
      <c r="H12" s="16"/>
      <c r="I12" s="16" t="s">
        <v>66</v>
      </c>
      <c r="J12" s="16" t="s">
        <v>67</v>
      </c>
      <c r="K12" s="16" t="s">
        <v>68</v>
      </c>
    </row>
    <row r="13" spans="1:11" ht="390" hidden="1" x14ac:dyDescent="0.25">
      <c r="A13" s="22">
        <v>10</v>
      </c>
      <c r="B13" s="16" t="s">
        <v>69</v>
      </c>
      <c r="C13" s="16" t="s">
        <v>70</v>
      </c>
      <c r="D13" s="16">
        <v>4595000</v>
      </c>
      <c r="E13" s="16">
        <v>5</v>
      </c>
      <c r="F13" s="16">
        <v>5</v>
      </c>
      <c r="G13" s="17" t="s">
        <v>31</v>
      </c>
      <c r="H13" s="16"/>
      <c r="I13" s="16"/>
      <c r="J13" s="16" t="s">
        <v>71</v>
      </c>
      <c r="K13" s="16" t="s">
        <v>72</v>
      </c>
    </row>
    <row r="14" spans="1:11" ht="360" hidden="1" x14ac:dyDescent="0.25">
      <c r="A14" s="22">
        <v>11</v>
      </c>
      <c r="B14" s="16" t="s">
        <v>73</v>
      </c>
      <c r="C14" s="16" t="s">
        <v>74</v>
      </c>
      <c r="D14" s="16">
        <v>6455000</v>
      </c>
      <c r="E14" s="16">
        <v>5</v>
      </c>
      <c r="F14" s="16">
        <v>5</v>
      </c>
      <c r="G14" s="17" t="s">
        <v>31</v>
      </c>
      <c r="H14" s="16"/>
      <c r="I14" s="16" t="s">
        <v>75</v>
      </c>
      <c r="J14" s="16" t="s">
        <v>76</v>
      </c>
      <c r="K14" s="16" t="s">
        <v>77</v>
      </c>
    </row>
    <row r="15" spans="1:11" ht="225" hidden="1" x14ac:dyDescent="0.25">
      <c r="A15" s="22">
        <v>12</v>
      </c>
      <c r="B15" s="16" t="s">
        <v>78</v>
      </c>
      <c r="C15" s="16" t="s">
        <v>79</v>
      </c>
      <c r="D15" s="16">
        <v>17500000</v>
      </c>
      <c r="E15" s="16">
        <v>5</v>
      </c>
      <c r="F15" s="16">
        <v>5</v>
      </c>
      <c r="G15" s="17" t="s">
        <v>31</v>
      </c>
      <c r="H15" s="16"/>
      <c r="I15" s="16" t="s">
        <v>80</v>
      </c>
      <c r="J15" s="16" t="s">
        <v>81</v>
      </c>
      <c r="K15" s="16" t="s">
        <v>82</v>
      </c>
    </row>
    <row r="16" spans="1:11" ht="330" hidden="1" x14ac:dyDescent="0.25">
      <c r="A16" s="22">
        <v>13</v>
      </c>
      <c r="B16" s="16" t="s">
        <v>83</v>
      </c>
      <c r="C16" s="16" t="s">
        <v>84</v>
      </c>
      <c r="D16" s="16">
        <v>5440155000</v>
      </c>
      <c r="E16" s="16">
        <v>5</v>
      </c>
      <c r="F16" s="16">
        <v>5</v>
      </c>
      <c r="G16" s="17" t="s">
        <v>31</v>
      </c>
      <c r="H16" s="16"/>
      <c r="I16" s="16" t="s">
        <v>85</v>
      </c>
      <c r="J16" s="16" t="s">
        <v>86</v>
      </c>
      <c r="K16" s="16" t="s">
        <v>87</v>
      </c>
    </row>
    <row r="17" spans="1:11" ht="210" hidden="1" x14ac:dyDescent="0.25">
      <c r="A17" s="22">
        <v>14</v>
      </c>
      <c r="B17" s="16" t="s">
        <v>88</v>
      </c>
      <c r="C17" s="16" t="s">
        <v>89</v>
      </c>
      <c r="D17" s="16">
        <v>77080000</v>
      </c>
      <c r="E17" s="16">
        <v>5</v>
      </c>
      <c r="F17" s="16">
        <v>5</v>
      </c>
      <c r="G17" s="17" t="s">
        <v>31</v>
      </c>
      <c r="H17" s="16"/>
      <c r="I17" s="16" t="s">
        <v>90</v>
      </c>
      <c r="J17" s="16" t="s">
        <v>91</v>
      </c>
      <c r="K17" s="16" t="s">
        <v>92</v>
      </c>
    </row>
    <row r="18" spans="1:11" ht="409.5" hidden="1" x14ac:dyDescent="0.25">
      <c r="A18" s="22">
        <v>15</v>
      </c>
      <c r="B18" s="16" t="s">
        <v>93</v>
      </c>
      <c r="C18" s="16" t="s">
        <v>94</v>
      </c>
      <c r="D18" s="16">
        <v>302568000</v>
      </c>
      <c r="E18" s="16">
        <v>5</v>
      </c>
      <c r="F18" s="16">
        <v>5</v>
      </c>
      <c r="G18" s="17" t="s">
        <v>31</v>
      </c>
      <c r="H18" s="16"/>
      <c r="I18" s="16" t="s">
        <v>95</v>
      </c>
      <c r="J18" s="16" t="s">
        <v>96</v>
      </c>
      <c r="K18" s="16" t="s">
        <v>97</v>
      </c>
    </row>
    <row r="19" spans="1:11" ht="210" hidden="1" x14ac:dyDescent="0.25">
      <c r="A19" s="22">
        <v>16</v>
      </c>
      <c r="B19" s="16" t="s">
        <v>98</v>
      </c>
      <c r="C19" s="16" t="s">
        <v>99</v>
      </c>
      <c r="D19" s="16">
        <v>40556300000</v>
      </c>
      <c r="E19" s="16">
        <v>5</v>
      </c>
      <c r="F19" s="16">
        <v>5</v>
      </c>
      <c r="G19" s="17" t="s">
        <v>31</v>
      </c>
      <c r="H19" s="16"/>
      <c r="I19" s="16" t="s">
        <v>100</v>
      </c>
      <c r="J19" s="16" t="s">
        <v>101</v>
      </c>
      <c r="K19" s="16" t="s">
        <v>102</v>
      </c>
    </row>
    <row r="20" spans="1:11" ht="210" hidden="1" x14ac:dyDescent="0.25">
      <c r="A20" s="22">
        <v>17</v>
      </c>
      <c r="B20" s="16" t="s">
        <v>103</v>
      </c>
      <c r="C20" s="16" t="s">
        <v>104</v>
      </c>
      <c r="D20" s="16">
        <v>87468000000</v>
      </c>
      <c r="E20" s="16">
        <v>5</v>
      </c>
      <c r="F20" s="16">
        <v>5</v>
      </c>
      <c r="G20" s="17" t="s">
        <v>31</v>
      </c>
      <c r="H20" s="16"/>
      <c r="I20" s="16" t="s">
        <v>100</v>
      </c>
      <c r="J20" s="16" t="s">
        <v>101</v>
      </c>
      <c r="K20" s="16" t="s">
        <v>105</v>
      </c>
    </row>
    <row r="21" spans="1:11" ht="285" hidden="1" x14ac:dyDescent="0.25">
      <c r="A21" s="22">
        <v>18</v>
      </c>
      <c r="B21" s="16" t="s">
        <v>106</v>
      </c>
      <c r="C21" s="16" t="s">
        <v>107</v>
      </c>
      <c r="D21" s="16">
        <v>204269000</v>
      </c>
      <c r="E21" s="16">
        <v>4</v>
      </c>
      <c r="F21" s="16">
        <v>4</v>
      </c>
      <c r="G21" s="18" t="s">
        <v>108</v>
      </c>
      <c r="H21" s="16"/>
      <c r="I21" s="16" t="s">
        <v>109</v>
      </c>
      <c r="J21" s="16" t="s">
        <v>110</v>
      </c>
      <c r="K21" s="16" t="s">
        <v>111</v>
      </c>
    </row>
    <row r="22" spans="1:11" ht="240" hidden="1" x14ac:dyDescent="0.25">
      <c r="A22" s="22">
        <v>19</v>
      </c>
      <c r="B22" s="16" t="s">
        <v>112</v>
      </c>
      <c r="C22" s="16" t="s">
        <v>113</v>
      </c>
      <c r="D22" s="16">
        <v>122758000</v>
      </c>
      <c r="E22" s="16">
        <v>4</v>
      </c>
      <c r="F22" s="16">
        <v>4</v>
      </c>
      <c r="G22" s="18" t="s">
        <v>108</v>
      </c>
      <c r="H22" s="16"/>
      <c r="I22" s="16" t="s">
        <v>114</v>
      </c>
      <c r="J22" s="16" t="s">
        <v>115</v>
      </c>
      <c r="K22" s="16" t="s">
        <v>116</v>
      </c>
    </row>
    <row r="23" spans="1:11" ht="240" hidden="1" x14ac:dyDescent="0.25">
      <c r="A23" s="22">
        <v>20</v>
      </c>
      <c r="B23" s="16" t="s">
        <v>117</v>
      </c>
      <c r="C23" s="16" t="s">
        <v>118</v>
      </c>
      <c r="D23" s="16">
        <v>47600000</v>
      </c>
      <c r="E23" s="16">
        <v>4</v>
      </c>
      <c r="F23" s="16">
        <v>5</v>
      </c>
      <c r="G23" s="18" t="s">
        <v>108</v>
      </c>
      <c r="H23" s="16"/>
      <c r="I23" s="16" t="s">
        <v>119</v>
      </c>
      <c r="J23" s="16" t="s">
        <v>120</v>
      </c>
      <c r="K23" s="16" t="s">
        <v>121</v>
      </c>
    </row>
    <row r="24" spans="1:11" ht="210" hidden="1" x14ac:dyDescent="0.25">
      <c r="A24" s="22">
        <v>21</v>
      </c>
      <c r="B24" s="16" t="s">
        <v>122</v>
      </c>
      <c r="C24" s="16" t="s">
        <v>123</v>
      </c>
      <c r="D24" s="16">
        <v>17240000</v>
      </c>
      <c r="E24" s="16">
        <v>4</v>
      </c>
      <c r="F24" s="16">
        <v>5</v>
      </c>
      <c r="G24" s="18" t="s">
        <v>108</v>
      </c>
      <c r="H24" s="16"/>
      <c r="I24" s="16" t="s">
        <v>124</v>
      </c>
      <c r="J24" s="16" t="s">
        <v>125</v>
      </c>
      <c r="K24" s="16" t="s">
        <v>126</v>
      </c>
    </row>
    <row r="25" spans="1:11" ht="240" x14ac:dyDescent="0.25">
      <c r="A25" s="22">
        <v>22</v>
      </c>
      <c r="B25" s="16" t="s">
        <v>127</v>
      </c>
      <c r="C25" s="16" t="s">
        <v>128</v>
      </c>
      <c r="D25" s="16">
        <v>11312000</v>
      </c>
      <c r="E25" s="16">
        <v>4</v>
      </c>
      <c r="F25" s="16">
        <v>5</v>
      </c>
      <c r="G25" s="18" t="s">
        <v>108</v>
      </c>
      <c r="H25" s="16"/>
      <c r="I25" s="16" t="s">
        <v>129</v>
      </c>
      <c r="J25" s="16" t="s">
        <v>130</v>
      </c>
      <c r="K25" s="16" t="s">
        <v>131</v>
      </c>
    </row>
    <row r="26" spans="1:11" ht="240" hidden="1" x14ac:dyDescent="0.25">
      <c r="A26" s="22">
        <v>23</v>
      </c>
      <c r="B26" s="16" t="s">
        <v>132</v>
      </c>
      <c r="C26" s="16" t="s">
        <v>133</v>
      </c>
      <c r="D26" s="16">
        <v>11312000</v>
      </c>
      <c r="E26" s="16">
        <v>4</v>
      </c>
      <c r="F26" s="16">
        <v>5</v>
      </c>
      <c r="G26" s="18" t="s">
        <v>108</v>
      </c>
      <c r="H26" s="16"/>
      <c r="I26" s="16" t="s">
        <v>129</v>
      </c>
      <c r="J26" s="16" t="s">
        <v>130</v>
      </c>
      <c r="K26" s="16" t="s">
        <v>131</v>
      </c>
    </row>
    <row r="27" spans="1:11" ht="240" hidden="1" x14ac:dyDescent="0.25">
      <c r="A27" s="22">
        <v>24</v>
      </c>
      <c r="B27" s="16" t="s">
        <v>134</v>
      </c>
      <c r="C27" s="16" t="s">
        <v>135</v>
      </c>
      <c r="D27" s="16">
        <v>29470000</v>
      </c>
      <c r="E27" s="16">
        <v>4</v>
      </c>
      <c r="F27" s="16">
        <v>5</v>
      </c>
      <c r="G27" s="18" t="s">
        <v>108</v>
      </c>
      <c r="H27" s="16"/>
      <c r="I27" s="16" t="s">
        <v>136</v>
      </c>
      <c r="J27" s="16" t="s">
        <v>120</v>
      </c>
      <c r="K27" s="16" t="s">
        <v>137</v>
      </c>
    </row>
    <row r="28" spans="1:11" ht="270" hidden="1" x14ac:dyDescent="0.25">
      <c r="A28" s="22">
        <v>25</v>
      </c>
      <c r="B28" s="16" t="s">
        <v>138</v>
      </c>
      <c r="C28" s="16" t="s">
        <v>139</v>
      </c>
      <c r="D28" s="16">
        <v>139690303</v>
      </c>
      <c r="E28" s="16">
        <v>4</v>
      </c>
      <c r="F28" s="16">
        <v>5</v>
      </c>
      <c r="G28" s="18" t="s">
        <v>108</v>
      </c>
      <c r="H28" s="16"/>
      <c r="I28" s="16" t="s">
        <v>140</v>
      </c>
      <c r="J28" s="16" t="s">
        <v>141</v>
      </c>
      <c r="K28" s="16" t="s">
        <v>142</v>
      </c>
    </row>
    <row r="29" spans="1:11" ht="270" hidden="1" x14ac:dyDescent="0.25">
      <c r="A29" s="22">
        <v>26</v>
      </c>
      <c r="B29" s="16" t="s">
        <v>143</v>
      </c>
      <c r="C29" s="16" t="s">
        <v>144</v>
      </c>
      <c r="D29" s="16">
        <v>45000000</v>
      </c>
      <c r="E29" s="16">
        <v>4</v>
      </c>
      <c r="F29" s="16">
        <v>5</v>
      </c>
      <c r="G29" s="18" t="s">
        <v>108</v>
      </c>
      <c r="H29" s="16"/>
      <c r="I29" s="16" t="s">
        <v>145</v>
      </c>
      <c r="J29" s="16" t="s">
        <v>146</v>
      </c>
      <c r="K29" s="16" t="s">
        <v>147</v>
      </c>
    </row>
    <row r="30" spans="1:11" ht="240" hidden="1" x14ac:dyDescent="0.25">
      <c r="A30" s="22">
        <v>27</v>
      </c>
      <c r="B30" s="16" t="s">
        <v>148</v>
      </c>
      <c r="C30" s="16" t="s">
        <v>149</v>
      </c>
      <c r="D30" s="16">
        <v>22190700</v>
      </c>
      <c r="E30" s="16">
        <v>4</v>
      </c>
      <c r="F30" s="16">
        <v>5</v>
      </c>
      <c r="G30" s="18" t="s">
        <v>108</v>
      </c>
      <c r="H30" s="16"/>
      <c r="I30" s="16" t="s">
        <v>119</v>
      </c>
      <c r="J30" s="16" t="s">
        <v>120</v>
      </c>
      <c r="K30" s="16" t="s">
        <v>121</v>
      </c>
    </row>
    <row r="31" spans="1:11" ht="225" hidden="1" x14ac:dyDescent="0.25">
      <c r="A31" s="22">
        <v>28</v>
      </c>
      <c r="B31" s="16" t="s">
        <v>150</v>
      </c>
      <c r="C31" s="16" t="s">
        <v>151</v>
      </c>
      <c r="D31" s="16">
        <v>17315000</v>
      </c>
      <c r="E31" s="16">
        <v>4</v>
      </c>
      <c r="F31" s="16">
        <v>4</v>
      </c>
      <c r="G31" s="18" t="s">
        <v>108</v>
      </c>
      <c r="H31" s="16"/>
      <c r="I31" s="16" t="s">
        <v>152</v>
      </c>
      <c r="J31" s="16" t="s">
        <v>153</v>
      </c>
      <c r="K31" s="16" t="s">
        <v>154</v>
      </c>
    </row>
    <row r="32" spans="1:11" ht="255" hidden="1" x14ac:dyDescent="0.25">
      <c r="A32" s="22">
        <v>29</v>
      </c>
      <c r="B32" s="16" t="s">
        <v>155</v>
      </c>
      <c r="C32" s="16" t="s">
        <v>156</v>
      </c>
      <c r="D32" s="16">
        <v>13295000</v>
      </c>
      <c r="E32" s="16">
        <v>4</v>
      </c>
      <c r="F32" s="16">
        <v>4</v>
      </c>
      <c r="G32" s="18" t="s">
        <v>108</v>
      </c>
      <c r="H32" s="16"/>
      <c r="I32" s="16" t="s">
        <v>157</v>
      </c>
      <c r="J32" s="16" t="s">
        <v>158</v>
      </c>
      <c r="K32" s="16" t="s">
        <v>159</v>
      </c>
    </row>
    <row r="33" spans="1:11" ht="300" hidden="1" x14ac:dyDescent="0.25">
      <c r="A33" s="22">
        <v>30</v>
      </c>
      <c r="B33" s="16" t="s">
        <v>160</v>
      </c>
      <c r="C33" s="16" t="s">
        <v>161</v>
      </c>
      <c r="D33" s="16">
        <v>37675000</v>
      </c>
      <c r="E33" s="16">
        <v>4</v>
      </c>
      <c r="F33" s="16">
        <v>4</v>
      </c>
      <c r="G33" s="18" t="s">
        <v>108</v>
      </c>
      <c r="H33" s="16"/>
      <c r="I33" s="16" t="s">
        <v>162</v>
      </c>
      <c r="J33" s="16" t="s">
        <v>163</v>
      </c>
      <c r="K33" s="16" t="s">
        <v>164</v>
      </c>
    </row>
    <row r="34" spans="1:11" ht="409.5" hidden="1" x14ac:dyDescent="0.25">
      <c r="A34" s="22">
        <v>31</v>
      </c>
      <c r="B34" s="16" t="s">
        <v>165</v>
      </c>
      <c r="C34" s="16" t="s">
        <v>166</v>
      </c>
      <c r="D34" s="16">
        <v>26095000</v>
      </c>
      <c r="E34" s="16">
        <v>4</v>
      </c>
      <c r="F34" s="16">
        <v>4</v>
      </c>
      <c r="G34" s="18" t="s">
        <v>108</v>
      </c>
      <c r="H34" s="16"/>
      <c r="I34" s="16" t="s">
        <v>167</v>
      </c>
      <c r="J34" s="16" t="s">
        <v>168</v>
      </c>
      <c r="K34" s="16" t="s">
        <v>169</v>
      </c>
    </row>
    <row r="35" spans="1:11" ht="345" hidden="1" x14ac:dyDescent="0.25">
      <c r="A35" s="22">
        <v>32</v>
      </c>
      <c r="B35" s="16" t="s">
        <v>170</v>
      </c>
      <c r="C35" s="16" t="s">
        <v>171</v>
      </c>
      <c r="D35" s="16">
        <v>43415000</v>
      </c>
      <c r="E35" s="16">
        <v>4</v>
      </c>
      <c r="F35" s="16">
        <v>4</v>
      </c>
      <c r="G35" s="18" t="s">
        <v>108</v>
      </c>
      <c r="H35" s="16"/>
      <c r="I35" s="16" t="s">
        <v>172</v>
      </c>
      <c r="J35" s="16" t="s">
        <v>173</v>
      </c>
      <c r="K35" s="16" t="s">
        <v>174</v>
      </c>
    </row>
    <row r="36" spans="1:11" ht="390" hidden="1" x14ac:dyDescent="0.25">
      <c r="A36" s="22">
        <v>33</v>
      </c>
      <c r="B36" s="16" t="s">
        <v>175</v>
      </c>
      <c r="C36" s="16" t="s">
        <v>176</v>
      </c>
      <c r="D36" s="16">
        <v>26147000</v>
      </c>
      <c r="E36" s="16">
        <v>4</v>
      </c>
      <c r="F36" s="16">
        <v>4</v>
      </c>
      <c r="G36" s="18" t="s">
        <v>108</v>
      </c>
      <c r="H36" s="16"/>
      <c r="I36" s="16" t="s">
        <v>177</v>
      </c>
      <c r="J36" s="16" t="s">
        <v>178</v>
      </c>
      <c r="K36" s="16" t="s">
        <v>179</v>
      </c>
    </row>
    <row r="37" spans="1:11" ht="300" hidden="1" x14ac:dyDescent="0.25">
      <c r="A37" s="22">
        <v>34</v>
      </c>
      <c r="B37" s="16" t="s">
        <v>180</v>
      </c>
      <c r="C37" s="16" t="s">
        <v>181</v>
      </c>
      <c r="D37" s="16">
        <v>25835000</v>
      </c>
      <c r="E37" s="16">
        <v>4</v>
      </c>
      <c r="F37" s="16">
        <v>4</v>
      </c>
      <c r="G37" s="18" t="s">
        <v>108</v>
      </c>
      <c r="H37" s="16"/>
      <c r="I37" s="16" t="s">
        <v>182</v>
      </c>
      <c r="J37" s="16" t="s">
        <v>183</v>
      </c>
      <c r="K37" s="16" t="s">
        <v>184</v>
      </c>
    </row>
    <row r="38" spans="1:11" ht="285" hidden="1" x14ac:dyDescent="0.25">
      <c r="A38" s="22">
        <v>35</v>
      </c>
      <c r="B38" s="16" t="s">
        <v>185</v>
      </c>
      <c r="C38" s="16" t="s">
        <v>186</v>
      </c>
      <c r="D38" s="16">
        <v>17315000</v>
      </c>
      <c r="E38" s="16">
        <v>4</v>
      </c>
      <c r="F38" s="16">
        <v>4</v>
      </c>
      <c r="G38" s="18" t="s">
        <v>108</v>
      </c>
      <c r="H38" s="16"/>
      <c r="I38" s="16" t="s">
        <v>187</v>
      </c>
      <c r="J38" s="16" t="s">
        <v>188</v>
      </c>
      <c r="K38" s="16" t="s">
        <v>189</v>
      </c>
    </row>
    <row r="39" spans="1:11" ht="225" hidden="1" x14ac:dyDescent="0.25">
      <c r="A39" s="22">
        <v>36</v>
      </c>
      <c r="B39" s="16" t="s">
        <v>190</v>
      </c>
      <c r="C39" s="16" t="s">
        <v>191</v>
      </c>
      <c r="D39" s="16">
        <v>21123000</v>
      </c>
      <c r="E39" s="16">
        <v>4</v>
      </c>
      <c r="F39" s="16">
        <v>4</v>
      </c>
      <c r="G39" s="18" t="s">
        <v>108</v>
      </c>
      <c r="H39" s="16"/>
      <c r="I39" s="16" t="s">
        <v>192</v>
      </c>
      <c r="J39" s="16" t="s">
        <v>193</v>
      </c>
      <c r="K39" s="16" t="s">
        <v>194</v>
      </c>
    </row>
    <row r="40" spans="1:11" ht="195" hidden="1" x14ac:dyDescent="0.25">
      <c r="A40" s="22">
        <v>37</v>
      </c>
      <c r="B40" s="16" t="s">
        <v>195</v>
      </c>
      <c r="C40" s="16" t="s">
        <v>196</v>
      </c>
      <c r="D40" s="16">
        <v>52275000</v>
      </c>
      <c r="E40" s="16">
        <v>4</v>
      </c>
      <c r="F40" s="16">
        <v>4</v>
      </c>
      <c r="G40" s="18" t="s">
        <v>108</v>
      </c>
      <c r="H40" s="16"/>
      <c r="I40" s="16" t="s">
        <v>197</v>
      </c>
      <c r="J40" s="16" t="s">
        <v>198</v>
      </c>
      <c r="K40" s="16" t="s">
        <v>199</v>
      </c>
    </row>
    <row r="41" spans="1:11" ht="240" hidden="1" x14ac:dyDescent="0.25">
      <c r="A41" s="22">
        <v>38</v>
      </c>
      <c r="B41" s="16" t="s">
        <v>200</v>
      </c>
      <c r="C41" s="16" t="s">
        <v>201</v>
      </c>
      <c r="D41" s="16">
        <v>66910600</v>
      </c>
      <c r="E41" s="16">
        <v>4</v>
      </c>
      <c r="F41" s="16">
        <v>4</v>
      </c>
      <c r="G41" s="18" t="s">
        <v>108</v>
      </c>
      <c r="H41" s="16"/>
      <c r="I41" s="16" t="s">
        <v>202</v>
      </c>
      <c r="J41" s="16" t="s">
        <v>203</v>
      </c>
      <c r="K41" s="16" t="s">
        <v>204</v>
      </c>
    </row>
    <row r="42" spans="1:11" ht="195" hidden="1" x14ac:dyDescent="0.25">
      <c r="A42" s="22">
        <v>39</v>
      </c>
      <c r="B42" s="16" t="s">
        <v>205</v>
      </c>
      <c r="C42" s="16" t="s">
        <v>206</v>
      </c>
      <c r="D42" s="16">
        <v>43664618</v>
      </c>
      <c r="E42" s="16">
        <v>4</v>
      </c>
      <c r="F42" s="16">
        <v>4</v>
      </c>
      <c r="G42" s="18" t="s">
        <v>108</v>
      </c>
      <c r="H42" s="16"/>
      <c r="I42" s="16" t="s">
        <v>207</v>
      </c>
      <c r="J42" s="16" t="s">
        <v>208</v>
      </c>
      <c r="K42" s="16" t="s">
        <v>209</v>
      </c>
    </row>
    <row r="43" spans="1:11" ht="409.5" hidden="1" x14ac:dyDescent="0.25">
      <c r="A43" s="22">
        <v>40</v>
      </c>
      <c r="B43" s="16" t="s">
        <v>210</v>
      </c>
      <c r="C43" s="16" t="s">
        <v>211</v>
      </c>
      <c r="D43" s="16">
        <v>190009000</v>
      </c>
      <c r="E43" s="16">
        <v>4</v>
      </c>
      <c r="F43" s="16">
        <v>5</v>
      </c>
      <c r="G43" s="18" t="s">
        <v>108</v>
      </c>
      <c r="H43" s="16"/>
      <c r="I43" s="16" t="s">
        <v>212</v>
      </c>
      <c r="J43" s="16" t="s">
        <v>212</v>
      </c>
      <c r="K43" s="16" t="s">
        <v>213</v>
      </c>
    </row>
    <row r="44" spans="1:11" ht="409.5" hidden="1" x14ac:dyDescent="0.25">
      <c r="A44" s="22">
        <v>41</v>
      </c>
      <c r="B44" s="16" t="s">
        <v>214</v>
      </c>
      <c r="C44" s="16" t="s">
        <v>215</v>
      </c>
      <c r="D44" s="16">
        <v>191788500</v>
      </c>
      <c r="E44" s="16">
        <v>4</v>
      </c>
      <c r="F44" s="16">
        <v>5</v>
      </c>
      <c r="G44" s="18" t="s">
        <v>108</v>
      </c>
      <c r="H44" s="16"/>
      <c r="I44" s="16" t="s">
        <v>212</v>
      </c>
      <c r="J44" s="16" t="s">
        <v>212</v>
      </c>
      <c r="K44" s="16" t="s">
        <v>213</v>
      </c>
    </row>
    <row r="45" spans="1:11" ht="409.5" hidden="1" x14ac:dyDescent="0.25">
      <c r="A45" s="22">
        <v>42</v>
      </c>
      <c r="B45" s="16" t="s">
        <v>216</v>
      </c>
      <c r="C45" s="16" t="s">
        <v>217</v>
      </c>
      <c r="D45" s="16">
        <v>7000000</v>
      </c>
      <c r="E45" s="16">
        <v>4</v>
      </c>
      <c r="F45" s="16">
        <v>4</v>
      </c>
      <c r="G45" s="18" t="s">
        <v>108</v>
      </c>
      <c r="H45" s="16"/>
      <c r="I45" s="16" t="s">
        <v>218</v>
      </c>
      <c r="J45" s="16" t="s">
        <v>219</v>
      </c>
      <c r="K45" s="16" t="s">
        <v>220</v>
      </c>
    </row>
    <row r="46" spans="1:11" ht="285" hidden="1" x14ac:dyDescent="0.25">
      <c r="A46" s="22">
        <v>43</v>
      </c>
      <c r="B46" s="16" t="s">
        <v>221</v>
      </c>
      <c r="C46" s="16" t="s">
        <v>222</v>
      </c>
      <c r="D46" s="16">
        <v>7000000</v>
      </c>
      <c r="E46" s="16">
        <v>4</v>
      </c>
      <c r="F46" s="16">
        <v>5</v>
      </c>
      <c r="G46" s="18" t="s">
        <v>108</v>
      </c>
      <c r="H46" s="16"/>
      <c r="I46" s="16" t="s">
        <v>223</v>
      </c>
      <c r="J46" s="16" t="s">
        <v>224</v>
      </c>
      <c r="K46" s="16" t="s">
        <v>225</v>
      </c>
    </row>
    <row r="47" spans="1:11" ht="405" hidden="1" x14ac:dyDescent="0.25">
      <c r="A47" s="22">
        <v>44</v>
      </c>
      <c r="B47" s="16" t="s">
        <v>226</v>
      </c>
      <c r="C47" s="16" t="s">
        <v>227</v>
      </c>
      <c r="D47" s="16">
        <v>191851600</v>
      </c>
      <c r="E47" s="16">
        <v>4</v>
      </c>
      <c r="F47" s="16">
        <v>5</v>
      </c>
      <c r="G47" s="18" t="s">
        <v>108</v>
      </c>
      <c r="H47" s="16"/>
      <c r="I47" s="16" t="s">
        <v>228</v>
      </c>
      <c r="J47" s="16" t="s">
        <v>229</v>
      </c>
      <c r="K47" s="16" t="s">
        <v>230</v>
      </c>
    </row>
    <row r="48" spans="1:11" ht="270" hidden="1" x14ac:dyDescent="0.25">
      <c r="A48" s="22">
        <v>45</v>
      </c>
      <c r="B48" s="16" t="s">
        <v>231</v>
      </c>
      <c r="C48" s="16" t="s">
        <v>232</v>
      </c>
      <c r="D48" s="16">
        <v>111679000</v>
      </c>
      <c r="E48" s="16">
        <v>4</v>
      </c>
      <c r="F48" s="16">
        <v>5</v>
      </c>
      <c r="G48" s="18" t="s">
        <v>108</v>
      </c>
      <c r="H48" s="16"/>
      <c r="I48" s="16" t="s">
        <v>233</v>
      </c>
      <c r="J48" s="16" t="s">
        <v>234</v>
      </c>
      <c r="K48" s="16" t="s">
        <v>235</v>
      </c>
    </row>
    <row r="49" spans="1:11" ht="315" hidden="1" x14ac:dyDescent="0.25">
      <c r="A49" s="22">
        <v>46</v>
      </c>
      <c r="B49" s="16" t="s">
        <v>236</v>
      </c>
      <c r="C49" s="16" t="s">
        <v>237</v>
      </c>
      <c r="D49" s="16">
        <v>6870000</v>
      </c>
      <c r="E49" s="16">
        <v>4</v>
      </c>
      <c r="F49" s="16">
        <v>5</v>
      </c>
      <c r="G49" s="18" t="s">
        <v>108</v>
      </c>
      <c r="H49" s="16"/>
      <c r="I49" s="16" t="s">
        <v>238</v>
      </c>
      <c r="J49" s="16" t="s">
        <v>239</v>
      </c>
      <c r="K49" s="16" t="s">
        <v>240</v>
      </c>
    </row>
    <row r="50" spans="1:11" ht="135" hidden="1" x14ac:dyDescent="0.25">
      <c r="A50" s="22">
        <v>47</v>
      </c>
      <c r="B50" s="16" t="s">
        <v>241</v>
      </c>
      <c r="C50" s="16" t="s">
        <v>242</v>
      </c>
      <c r="D50" s="16">
        <v>8310000</v>
      </c>
      <c r="E50" s="16">
        <v>4</v>
      </c>
      <c r="F50" s="16">
        <v>5</v>
      </c>
      <c r="G50" s="18" t="s">
        <v>108</v>
      </c>
      <c r="H50" s="16"/>
      <c r="I50" s="16" t="s">
        <v>243</v>
      </c>
      <c r="J50" s="16" t="s">
        <v>244</v>
      </c>
      <c r="K50" s="16" t="s">
        <v>245</v>
      </c>
    </row>
    <row r="51" spans="1:11" ht="270" hidden="1" x14ac:dyDescent="0.25">
      <c r="A51" s="22">
        <v>48</v>
      </c>
      <c r="B51" s="16" t="s">
        <v>246</v>
      </c>
      <c r="C51" s="16" t="s">
        <v>247</v>
      </c>
      <c r="D51" s="16">
        <v>6980000</v>
      </c>
      <c r="E51" s="16">
        <v>4</v>
      </c>
      <c r="F51" s="16">
        <v>5</v>
      </c>
      <c r="G51" s="18" t="s">
        <v>108</v>
      </c>
      <c r="H51" s="16"/>
      <c r="I51" s="16" t="s">
        <v>248</v>
      </c>
      <c r="J51" s="16" t="s">
        <v>249</v>
      </c>
      <c r="K51" s="16" t="s">
        <v>250</v>
      </c>
    </row>
    <row r="52" spans="1:11" ht="285" hidden="1" x14ac:dyDescent="0.25">
      <c r="A52" s="22">
        <v>49</v>
      </c>
      <c r="B52" s="16" t="s">
        <v>251</v>
      </c>
      <c r="C52" s="16" t="s">
        <v>252</v>
      </c>
      <c r="D52" s="16">
        <v>18350000</v>
      </c>
      <c r="E52" s="16">
        <v>4</v>
      </c>
      <c r="F52" s="16">
        <v>5</v>
      </c>
      <c r="G52" s="18" t="s">
        <v>108</v>
      </c>
      <c r="H52" s="16"/>
      <c r="I52" s="16" t="s">
        <v>253</v>
      </c>
      <c r="J52" s="16" t="s">
        <v>254</v>
      </c>
      <c r="K52" s="16" t="s">
        <v>255</v>
      </c>
    </row>
    <row r="53" spans="1:11" ht="360" hidden="1" x14ac:dyDescent="0.25">
      <c r="A53" s="22">
        <v>50</v>
      </c>
      <c r="B53" s="16" t="s">
        <v>256</v>
      </c>
      <c r="C53" s="16" t="s">
        <v>257</v>
      </c>
      <c r="D53" s="16">
        <v>6640000</v>
      </c>
      <c r="E53" s="16">
        <v>4</v>
      </c>
      <c r="F53" s="16">
        <v>4</v>
      </c>
      <c r="G53" s="18" t="s">
        <v>108</v>
      </c>
      <c r="H53" s="16"/>
      <c r="I53" s="16" t="s">
        <v>258</v>
      </c>
      <c r="J53" s="16" t="s">
        <v>259</v>
      </c>
      <c r="K53" s="16" t="s">
        <v>260</v>
      </c>
    </row>
    <row r="54" spans="1:11" ht="375" hidden="1" x14ac:dyDescent="0.25">
      <c r="A54" s="22">
        <v>51</v>
      </c>
      <c r="B54" s="16" t="s">
        <v>261</v>
      </c>
      <c r="C54" s="16" t="s">
        <v>262</v>
      </c>
      <c r="D54" s="16">
        <v>11060000</v>
      </c>
      <c r="E54" s="16">
        <v>4</v>
      </c>
      <c r="F54" s="16">
        <v>4</v>
      </c>
      <c r="G54" s="18" t="s">
        <v>108</v>
      </c>
      <c r="H54" s="16"/>
      <c r="I54" s="16" t="s">
        <v>263</v>
      </c>
      <c r="J54" s="16" t="s">
        <v>264</v>
      </c>
      <c r="K54" s="16" t="s">
        <v>265</v>
      </c>
    </row>
    <row r="55" spans="1:11" ht="270" hidden="1" x14ac:dyDescent="0.25">
      <c r="A55" s="22">
        <v>52</v>
      </c>
      <c r="B55" s="16" t="s">
        <v>266</v>
      </c>
      <c r="C55" s="16" t="s">
        <v>267</v>
      </c>
      <c r="D55" s="16">
        <v>49900000</v>
      </c>
      <c r="E55" s="16">
        <v>4</v>
      </c>
      <c r="F55" s="16">
        <v>5</v>
      </c>
      <c r="G55" s="18" t="s">
        <v>108</v>
      </c>
      <c r="H55" s="16"/>
      <c r="I55" s="16" t="s">
        <v>145</v>
      </c>
      <c r="J55" s="16" t="s">
        <v>146</v>
      </c>
      <c r="K55" s="16" t="s">
        <v>268</v>
      </c>
    </row>
    <row r="56" spans="1:11" ht="240" hidden="1" x14ac:dyDescent="0.25">
      <c r="A56" s="22">
        <v>53</v>
      </c>
      <c r="B56" s="16" t="s">
        <v>269</v>
      </c>
      <c r="C56" s="16" t="s">
        <v>270</v>
      </c>
      <c r="D56" s="16">
        <v>33614000</v>
      </c>
      <c r="E56" s="16">
        <v>4</v>
      </c>
      <c r="F56" s="16">
        <v>5</v>
      </c>
      <c r="G56" s="18" t="s">
        <v>108</v>
      </c>
      <c r="H56" s="16"/>
      <c r="I56" s="16" t="s">
        <v>119</v>
      </c>
      <c r="J56" s="16" t="s">
        <v>120</v>
      </c>
      <c r="K56" s="16" t="s">
        <v>121</v>
      </c>
    </row>
    <row r="57" spans="1:11" ht="240" hidden="1" x14ac:dyDescent="0.25">
      <c r="A57" s="22">
        <v>54</v>
      </c>
      <c r="B57" s="16" t="s">
        <v>271</v>
      </c>
      <c r="C57" s="16" t="s">
        <v>272</v>
      </c>
      <c r="D57" s="16">
        <v>9640000</v>
      </c>
      <c r="E57" s="16">
        <v>4</v>
      </c>
      <c r="F57" s="16">
        <v>5</v>
      </c>
      <c r="G57" s="18" t="s">
        <v>108</v>
      </c>
      <c r="H57" s="16"/>
      <c r="I57" s="16" t="s">
        <v>119</v>
      </c>
      <c r="J57" s="16" t="s">
        <v>120</v>
      </c>
      <c r="K57" s="16" t="s">
        <v>121</v>
      </c>
    </row>
    <row r="58" spans="1:11" ht="240" hidden="1" x14ac:dyDescent="0.25">
      <c r="A58" s="22">
        <v>55</v>
      </c>
      <c r="B58" s="16" t="s">
        <v>273</v>
      </c>
      <c r="C58" s="16" t="s">
        <v>274</v>
      </c>
      <c r="D58" s="16">
        <v>12420400</v>
      </c>
      <c r="E58" s="16">
        <v>4</v>
      </c>
      <c r="F58" s="16">
        <v>4</v>
      </c>
      <c r="G58" s="18" t="s">
        <v>108</v>
      </c>
      <c r="H58" s="16"/>
      <c r="I58" s="16" t="s">
        <v>275</v>
      </c>
      <c r="J58" s="16" t="s">
        <v>276</v>
      </c>
      <c r="K58" s="16" t="s">
        <v>277</v>
      </c>
    </row>
    <row r="59" spans="1:11" ht="285" hidden="1" x14ac:dyDescent="0.25">
      <c r="A59" s="22">
        <v>56</v>
      </c>
      <c r="B59" s="16" t="s">
        <v>278</v>
      </c>
      <c r="C59" s="16" t="s">
        <v>279</v>
      </c>
      <c r="D59" s="16">
        <v>154135000</v>
      </c>
      <c r="E59" s="16">
        <v>4</v>
      </c>
      <c r="F59" s="16">
        <v>4</v>
      </c>
      <c r="G59" s="18" t="s">
        <v>108</v>
      </c>
      <c r="H59" s="16"/>
      <c r="I59" s="16" t="s">
        <v>280</v>
      </c>
      <c r="J59" s="16" t="s">
        <v>281</v>
      </c>
      <c r="K59" s="16" t="s">
        <v>282</v>
      </c>
    </row>
    <row r="60" spans="1:11" ht="300" hidden="1" x14ac:dyDescent="0.25">
      <c r="A60" s="22">
        <v>57</v>
      </c>
      <c r="B60" s="16" t="s">
        <v>283</v>
      </c>
      <c r="C60" s="16" t="s">
        <v>284</v>
      </c>
      <c r="D60" s="16">
        <v>62700000</v>
      </c>
      <c r="E60" s="16">
        <v>4</v>
      </c>
      <c r="F60" s="16">
        <v>4</v>
      </c>
      <c r="G60" s="18" t="s">
        <v>108</v>
      </c>
      <c r="H60" s="16"/>
      <c r="I60" s="16" t="s">
        <v>285</v>
      </c>
      <c r="J60" s="16" t="s">
        <v>286</v>
      </c>
      <c r="K60" s="16" t="s">
        <v>287</v>
      </c>
    </row>
    <row r="61" spans="1:11" ht="180" hidden="1" x14ac:dyDescent="0.25">
      <c r="A61" s="22">
        <v>58</v>
      </c>
      <c r="B61" s="16" t="s">
        <v>288</v>
      </c>
      <c r="C61" s="16" t="s">
        <v>289</v>
      </c>
      <c r="D61" s="16">
        <v>4298000</v>
      </c>
      <c r="E61" s="16">
        <v>4</v>
      </c>
      <c r="F61" s="16">
        <v>4</v>
      </c>
      <c r="G61" s="18" t="s">
        <v>108</v>
      </c>
      <c r="H61" s="16"/>
      <c r="I61" s="16" t="s">
        <v>290</v>
      </c>
      <c r="J61" s="16" t="s">
        <v>291</v>
      </c>
      <c r="K61" s="16" t="s">
        <v>292</v>
      </c>
    </row>
    <row r="62" spans="1:11" ht="390" hidden="1" x14ac:dyDescent="0.25">
      <c r="A62" s="22">
        <v>59</v>
      </c>
      <c r="B62" s="16" t="s">
        <v>293</v>
      </c>
      <c r="C62" s="16" t="s">
        <v>294</v>
      </c>
      <c r="D62" s="16">
        <v>19320000</v>
      </c>
      <c r="E62" s="16">
        <v>4</v>
      </c>
      <c r="F62" s="16">
        <v>4</v>
      </c>
      <c r="G62" s="18" t="s">
        <v>108</v>
      </c>
      <c r="H62" s="16"/>
      <c r="I62" s="16" t="s">
        <v>295</v>
      </c>
      <c r="J62" s="16" t="s">
        <v>296</v>
      </c>
      <c r="K62" s="16" t="s">
        <v>292</v>
      </c>
    </row>
    <row r="63" spans="1:11" ht="405" hidden="1" x14ac:dyDescent="0.25">
      <c r="A63" s="22">
        <v>60</v>
      </c>
      <c r="B63" s="16" t="s">
        <v>297</v>
      </c>
      <c r="C63" s="16" t="s">
        <v>298</v>
      </c>
      <c r="D63" s="16">
        <v>12306000</v>
      </c>
      <c r="E63" s="16">
        <v>4</v>
      </c>
      <c r="F63" s="16">
        <v>4</v>
      </c>
      <c r="G63" s="18" t="s">
        <v>108</v>
      </c>
      <c r="H63" s="16"/>
      <c r="I63" s="16" t="s">
        <v>299</v>
      </c>
      <c r="J63" s="16" t="s">
        <v>300</v>
      </c>
      <c r="K63" s="16" t="s">
        <v>292</v>
      </c>
    </row>
    <row r="64" spans="1:11" ht="409.5" hidden="1" x14ac:dyDescent="0.25">
      <c r="A64" s="22">
        <v>61</v>
      </c>
      <c r="B64" s="16" t="s">
        <v>301</v>
      </c>
      <c r="C64" s="16" t="s">
        <v>302</v>
      </c>
      <c r="D64" s="16">
        <v>34175000</v>
      </c>
      <c r="E64" s="16">
        <v>4</v>
      </c>
      <c r="F64" s="16">
        <v>4</v>
      </c>
      <c r="G64" s="18" t="s">
        <v>108</v>
      </c>
      <c r="H64" s="16"/>
      <c r="I64" s="16" t="s">
        <v>303</v>
      </c>
      <c r="J64" s="16" t="s">
        <v>304</v>
      </c>
      <c r="K64" s="16" t="s">
        <v>292</v>
      </c>
    </row>
    <row r="65" spans="1:11" ht="315" hidden="1" x14ac:dyDescent="0.25">
      <c r="A65" s="22">
        <v>62</v>
      </c>
      <c r="B65" s="16" t="s">
        <v>305</v>
      </c>
      <c r="C65" s="16" t="s">
        <v>306</v>
      </c>
      <c r="D65" s="16">
        <v>11675000</v>
      </c>
      <c r="E65" s="16">
        <v>4</v>
      </c>
      <c r="F65" s="16">
        <v>4</v>
      </c>
      <c r="G65" s="18" t="s">
        <v>108</v>
      </c>
      <c r="H65" s="16"/>
      <c r="I65" s="16" t="s">
        <v>307</v>
      </c>
      <c r="J65" s="16" t="s">
        <v>308</v>
      </c>
      <c r="K65" s="16" t="s">
        <v>292</v>
      </c>
    </row>
    <row r="66" spans="1:11" ht="180" hidden="1" x14ac:dyDescent="0.25">
      <c r="A66" s="22">
        <v>63</v>
      </c>
      <c r="B66" s="16" t="s">
        <v>309</v>
      </c>
      <c r="C66" s="16" t="s">
        <v>310</v>
      </c>
      <c r="D66" s="16">
        <v>15004000</v>
      </c>
      <c r="E66" s="16">
        <v>4</v>
      </c>
      <c r="F66" s="16">
        <v>4</v>
      </c>
      <c r="G66" s="18" t="s">
        <v>108</v>
      </c>
      <c r="H66" s="16"/>
      <c r="I66" s="16" t="s">
        <v>311</v>
      </c>
      <c r="J66" s="16" t="s">
        <v>312</v>
      </c>
      <c r="K66" s="16" t="s">
        <v>313</v>
      </c>
    </row>
    <row r="67" spans="1:11" ht="375" hidden="1" x14ac:dyDescent="0.25">
      <c r="A67" s="22">
        <v>64</v>
      </c>
      <c r="B67" s="16" t="s">
        <v>314</v>
      </c>
      <c r="C67" s="16" t="s">
        <v>315</v>
      </c>
      <c r="D67" s="16">
        <v>144124000</v>
      </c>
      <c r="E67" s="16">
        <v>4</v>
      </c>
      <c r="F67" s="16">
        <v>4</v>
      </c>
      <c r="G67" s="18" t="s">
        <v>108</v>
      </c>
      <c r="H67" s="16"/>
      <c r="I67" s="16" t="s">
        <v>316</v>
      </c>
      <c r="J67" s="16" t="s">
        <v>317</v>
      </c>
      <c r="K67" s="16" t="s">
        <v>318</v>
      </c>
    </row>
    <row r="68" spans="1:11" ht="210" hidden="1" x14ac:dyDescent="0.25">
      <c r="A68" s="22">
        <v>65</v>
      </c>
      <c r="B68" s="16" t="s">
        <v>319</v>
      </c>
      <c r="C68" s="16" t="s">
        <v>320</v>
      </c>
      <c r="D68" s="16">
        <v>23384000</v>
      </c>
      <c r="E68" s="16">
        <v>4</v>
      </c>
      <c r="F68" s="16">
        <v>4</v>
      </c>
      <c r="G68" s="18" t="s">
        <v>108</v>
      </c>
      <c r="H68" s="16"/>
      <c r="I68" s="16" t="s">
        <v>321</v>
      </c>
      <c r="J68" s="16" t="s">
        <v>322</v>
      </c>
      <c r="K68" s="16" t="s">
        <v>323</v>
      </c>
    </row>
    <row r="69" spans="1:11" ht="240" hidden="1" x14ac:dyDescent="0.25">
      <c r="A69" s="22">
        <v>66</v>
      </c>
      <c r="B69" s="16" t="s">
        <v>324</v>
      </c>
      <c r="C69" s="16" t="s">
        <v>325</v>
      </c>
      <c r="D69" s="16">
        <v>43700000</v>
      </c>
      <c r="E69" s="16">
        <v>4</v>
      </c>
      <c r="F69" s="16">
        <v>5</v>
      </c>
      <c r="G69" s="18" t="s">
        <v>108</v>
      </c>
      <c r="H69" s="16"/>
      <c r="I69" s="16" t="s">
        <v>119</v>
      </c>
      <c r="J69" s="16" t="s">
        <v>120</v>
      </c>
      <c r="K69" s="16" t="s">
        <v>121</v>
      </c>
    </row>
    <row r="70" spans="1:11" ht="210" hidden="1" x14ac:dyDescent="0.25">
      <c r="A70" s="22">
        <v>67</v>
      </c>
      <c r="B70" s="16" t="s">
        <v>326</v>
      </c>
      <c r="C70" s="16" t="s">
        <v>327</v>
      </c>
      <c r="D70" s="16">
        <v>23549000</v>
      </c>
      <c r="E70" s="16">
        <v>4</v>
      </c>
      <c r="F70" s="16">
        <v>4</v>
      </c>
      <c r="G70" s="18" t="s">
        <v>108</v>
      </c>
      <c r="H70" s="16"/>
      <c r="I70" s="16" t="s">
        <v>321</v>
      </c>
      <c r="J70" s="16" t="s">
        <v>322</v>
      </c>
      <c r="K70" s="16" t="s">
        <v>323</v>
      </c>
    </row>
    <row r="71" spans="1:11" ht="300" hidden="1" x14ac:dyDescent="0.25">
      <c r="A71" s="22">
        <v>68</v>
      </c>
      <c r="B71" s="16" t="s">
        <v>328</v>
      </c>
      <c r="C71" s="16" t="s">
        <v>329</v>
      </c>
      <c r="D71" s="16">
        <v>7000000</v>
      </c>
      <c r="E71" s="16">
        <v>4</v>
      </c>
      <c r="F71" s="16">
        <v>5</v>
      </c>
      <c r="G71" s="18" t="s">
        <v>108</v>
      </c>
      <c r="H71" s="16"/>
      <c r="I71" s="16" t="s">
        <v>330</v>
      </c>
      <c r="J71" s="16" t="s">
        <v>331</v>
      </c>
      <c r="K71" s="16" t="s">
        <v>225</v>
      </c>
    </row>
    <row r="72" spans="1:11" ht="409.5" hidden="1" x14ac:dyDescent="0.25">
      <c r="A72" s="22">
        <v>69</v>
      </c>
      <c r="B72" s="16" t="s">
        <v>332</v>
      </c>
      <c r="C72" s="16" t="s">
        <v>333</v>
      </c>
      <c r="D72" s="16">
        <v>7000000</v>
      </c>
      <c r="E72" s="16">
        <v>4</v>
      </c>
      <c r="F72" s="16">
        <v>4</v>
      </c>
      <c r="G72" s="18" t="s">
        <v>108</v>
      </c>
      <c r="H72" s="16"/>
      <c r="I72" s="16" t="s">
        <v>334</v>
      </c>
      <c r="J72" s="16" t="s">
        <v>335</v>
      </c>
      <c r="K72" s="16" t="s">
        <v>336</v>
      </c>
    </row>
    <row r="73" spans="1:11" ht="240" hidden="1" x14ac:dyDescent="0.25">
      <c r="A73" s="22">
        <v>70</v>
      </c>
      <c r="B73" s="16" t="s">
        <v>337</v>
      </c>
      <c r="C73" s="16" t="s">
        <v>338</v>
      </c>
      <c r="D73" s="16">
        <v>8135000</v>
      </c>
      <c r="E73" s="16">
        <v>4</v>
      </c>
      <c r="F73" s="16">
        <v>5</v>
      </c>
      <c r="G73" s="18" t="s">
        <v>108</v>
      </c>
      <c r="H73" s="16"/>
      <c r="I73" s="16" t="s">
        <v>339</v>
      </c>
      <c r="J73" s="16" t="s">
        <v>340</v>
      </c>
      <c r="K73" s="16" t="s">
        <v>341</v>
      </c>
    </row>
    <row r="74" spans="1:11" ht="225" hidden="1" x14ac:dyDescent="0.25">
      <c r="A74" s="22">
        <v>71</v>
      </c>
      <c r="B74" s="16" t="s">
        <v>342</v>
      </c>
      <c r="C74" s="16" t="s">
        <v>343</v>
      </c>
      <c r="D74" s="16">
        <v>49305000</v>
      </c>
      <c r="E74" s="16">
        <v>4</v>
      </c>
      <c r="F74" s="16">
        <v>4</v>
      </c>
      <c r="G74" s="18" t="s">
        <v>108</v>
      </c>
      <c r="H74" s="16"/>
      <c r="I74" s="16" t="s">
        <v>344</v>
      </c>
      <c r="J74" s="16" t="s">
        <v>345</v>
      </c>
      <c r="K74" s="16" t="s">
        <v>346</v>
      </c>
    </row>
    <row r="75" spans="1:11" ht="255" hidden="1" x14ac:dyDescent="0.25">
      <c r="A75" s="22">
        <v>72</v>
      </c>
      <c r="B75" s="16" t="s">
        <v>347</v>
      </c>
      <c r="C75" s="16" t="s">
        <v>348</v>
      </c>
      <c r="D75" s="16">
        <v>48137891</v>
      </c>
      <c r="E75" s="16">
        <v>4</v>
      </c>
      <c r="F75" s="16">
        <v>4</v>
      </c>
      <c r="G75" s="18" t="s">
        <v>108</v>
      </c>
      <c r="H75" s="16"/>
      <c r="I75" s="16" t="s">
        <v>349</v>
      </c>
      <c r="J75" s="16" t="s">
        <v>350</v>
      </c>
      <c r="K75" s="16" t="s">
        <v>351</v>
      </c>
    </row>
    <row r="76" spans="1:11" ht="240" hidden="1" x14ac:dyDescent="0.25">
      <c r="A76" s="22">
        <v>73</v>
      </c>
      <c r="B76" s="16" t="s">
        <v>352</v>
      </c>
      <c r="C76" s="16" t="s">
        <v>353</v>
      </c>
      <c r="D76" s="16">
        <v>39500000</v>
      </c>
      <c r="E76" s="16">
        <v>4</v>
      </c>
      <c r="F76" s="16">
        <v>5</v>
      </c>
      <c r="G76" s="18" t="s">
        <v>108</v>
      </c>
      <c r="H76" s="16"/>
      <c r="I76" s="16" t="s">
        <v>354</v>
      </c>
      <c r="J76" s="16" t="s">
        <v>355</v>
      </c>
      <c r="K76" s="16" t="s">
        <v>356</v>
      </c>
    </row>
    <row r="77" spans="1:11" ht="240" hidden="1" x14ac:dyDescent="0.25">
      <c r="A77" s="22">
        <v>74</v>
      </c>
      <c r="B77" s="16" t="s">
        <v>357</v>
      </c>
      <c r="C77" s="16" t="s">
        <v>358</v>
      </c>
      <c r="D77" s="16">
        <v>48500000</v>
      </c>
      <c r="E77" s="16">
        <v>4</v>
      </c>
      <c r="F77" s="16">
        <v>5</v>
      </c>
      <c r="G77" s="18" t="s">
        <v>108</v>
      </c>
      <c r="H77" s="16"/>
      <c r="I77" s="16" t="s">
        <v>359</v>
      </c>
      <c r="J77" s="16" t="s">
        <v>360</v>
      </c>
      <c r="K77" s="16" t="s">
        <v>361</v>
      </c>
    </row>
    <row r="78" spans="1:11" ht="225" hidden="1" x14ac:dyDescent="0.25">
      <c r="A78" s="22">
        <v>75</v>
      </c>
      <c r="B78" s="16" t="s">
        <v>362</v>
      </c>
      <c r="C78" s="16" t="s">
        <v>363</v>
      </c>
      <c r="D78" s="16">
        <v>93523000</v>
      </c>
      <c r="E78" s="16">
        <v>4</v>
      </c>
      <c r="F78" s="16">
        <v>5</v>
      </c>
      <c r="G78" s="18" t="s">
        <v>108</v>
      </c>
      <c r="H78" s="16"/>
      <c r="I78" s="16" t="s">
        <v>364</v>
      </c>
      <c r="J78" s="16" t="s">
        <v>365</v>
      </c>
      <c r="K78" s="16" t="s">
        <v>366</v>
      </c>
    </row>
    <row r="79" spans="1:11" ht="270" hidden="1" x14ac:dyDescent="0.25">
      <c r="A79" s="22">
        <v>76</v>
      </c>
      <c r="B79" s="16" t="s">
        <v>367</v>
      </c>
      <c r="C79" s="16" t="s">
        <v>368</v>
      </c>
      <c r="D79" s="16">
        <v>36000000</v>
      </c>
      <c r="E79" s="16">
        <v>4</v>
      </c>
      <c r="F79" s="16">
        <v>5</v>
      </c>
      <c r="G79" s="18" t="s">
        <v>108</v>
      </c>
      <c r="H79" s="16"/>
      <c r="I79" s="16" t="s">
        <v>364</v>
      </c>
      <c r="J79" s="16" t="s">
        <v>369</v>
      </c>
      <c r="K79" s="16" t="s">
        <v>370</v>
      </c>
    </row>
    <row r="80" spans="1:11" ht="165" hidden="1" x14ac:dyDescent="0.25">
      <c r="A80" s="22">
        <v>77</v>
      </c>
      <c r="B80" s="16" t="s">
        <v>371</v>
      </c>
      <c r="C80" s="16" t="s">
        <v>372</v>
      </c>
      <c r="D80" s="16">
        <v>37500000</v>
      </c>
      <c r="E80" s="16">
        <v>4</v>
      </c>
      <c r="F80" s="16">
        <v>5</v>
      </c>
      <c r="G80" s="18" t="s">
        <v>108</v>
      </c>
      <c r="H80" s="16"/>
      <c r="I80" s="16" t="s">
        <v>364</v>
      </c>
      <c r="J80" s="16" t="s">
        <v>373</v>
      </c>
      <c r="K80" s="16" t="s">
        <v>374</v>
      </c>
    </row>
    <row r="81" spans="1:11" ht="135" hidden="1" x14ac:dyDescent="0.25">
      <c r="A81" s="22">
        <v>78</v>
      </c>
      <c r="B81" s="16" t="s">
        <v>375</v>
      </c>
      <c r="C81" s="16" t="s">
        <v>376</v>
      </c>
      <c r="D81" s="16">
        <v>351764210</v>
      </c>
      <c r="E81" s="16">
        <v>4</v>
      </c>
      <c r="F81" s="16">
        <v>5</v>
      </c>
      <c r="G81" s="18" t="s">
        <v>108</v>
      </c>
      <c r="H81" s="16"/>
      <c r="I81" s="16" t="s">
        <v>364</v>
      </c>
      <c r="J81" s="16" t="s">
        <v>377</v>
      </c>
      <c r="K81" s="16" t="s">
        <v>374</v>
      </c>
    </row>
    <row r="82" spans="1:11" ht="270" hidden="1" x14ac:dyDescent="0.25">
      <c r="A82" s="22">
        <v>79</v>
      </c>
      <c r="B82" s="16" t="s">
        <v>378</v>
      </c>
      <c r="C82" s="16" t="s">
        <v>379</v>
      </c>
      <c r="D82" s="16">
        <v>50000000</v>
      </c>
      <c r="E82" s="16">
        <v>4</v>
      </c>
      <c r="F82" s="16">
        <v>5</v>
      </c>
      <c r="G82" s="18" t="s">
        <v>108</v>
      </c>
      <c r="H82" s="16"/>
      <c r="I82" s="16" t="s">
        <v>380</v>
      </c>
      <c r="J82" s="16" t="s">
        <v>381</v>
      </c>
      <c r="K82" s="16" t="s">
        <v>382</v>
      </c>
    </row>
    <row r="83" spans="1:11" ht="409.5" hidden="1" x14ac:dyDescent="0.25">
      <c r="A83" s="22">
        <v>80</v>
      </c>
      <c r="B83" s="16" t="s">
        <v>383</v>
      </c>
      <c r="C83" s="16" t="s">
        <v>384</v>
      </c>
      <c r="D83" s="16">
        <v>52500000</v>
      </c>
      <c r="E83" s="16">
        <v>4</v>
      </c>
      <c r="F83" s="16">
        <v>5</v>
      </c>
      <c r="G83" s="18" t="s">
        <v>108</v>
      </c>
      <c r="H83" s="16"/>
      <c r="I83" s="16" t="s">
        <v>385</v>
      </c>
      <c r="J83" s="16" t="s">
        <v>386</v>
      </c>
      <c r="K83" s="16" t="s">
        <v>387</v>
      </c>
    </row>
    <row r="84" spans="1:11" ht="285" hidden="1" x14ac:dyDescent="0.25">
      <c r="A84" s="22">
        <v>81</v>
      </c>
      <c r="B84" s="16" t="s">
        <v>388</v>
      </c>
      <c r="C84" s="16" t="s">
        <v>389</v>
      </c>
      <c r="D84" s="16">
        <v>22665000</v>
      </c>
      <c r="E84" s="16">
        <v>5</v>
      </c>
      <c r="F84" s="16">
        <v>4</v>
      </c>
      <c r="G84" s="18" t="s">
        <v>108</v>
      </c>
      <c r="H84" s="16"/>
      <c r="I84" s="16" t="s">
        <v>390</v>
      </c>
      <c r="J84" s="16" t="s">
        <v>391</v>
      </c>
      <c r="K84" s="16" t="s">
        <v>392</v>
      </c>
    </row>
    <row r="85" spans="1:11" ht="270" hidden="1" x14ac:dyDescent="0.25">
      <c r="A85" s="22">
        <v>82</v>
      </c>
      <c r="B85" s="16" t="s">
        <v>393</v>
      </c>
      <c r="C85" s="16" t="s">
        <v>394</v>
      </c>
      <c r="D85" s="16">
        <v>35950000</v>
      </c>
      <c r="E85" s="16">
        <v>4</v>
      </c>
      <c r="F85" s="16">
        <v>5</v>
      </c>
      <c r="G85" s="18" t="s">
        <v>108</v>
      </c>
      <c r="H85" s="16"/>
      <c r="I85" s="16" t="s">
        <v>395</v>
      </c>
      <c r="J85" s="16" t="s">
        <v>396</v>
      </c>
      <c r="K85" s="16" t="s">
        <v>397</v>
      </c>
    </row>
    <row r="86" spans="1:11" ht="225" hidden="1" x14ac:dyDescent="0.25">
      <c r="A86" s="22">
        <v>83</v>
      </c>
      <c r="B86" s="16" t="s">
        <v>398</v>
      </c>
      <c r="C86" s="16" t="s">
        <v>399</v>
      </c>
      <c r="D86" s="16">
        <v>49500000</v>
      </c>
      <c r="E86" s="16">
        <v>4</v>
      </c>
      <c r="F86" s="16">
        <v>4</v>
      </c>
      <c r="G86" s="18" t="s">
        <v>108</v>
      </c>
      <c r="H86" s="16"/>
      <c r="I86" s="16" t="s">
        <v>400</v>
      </c>
      <c r="J86" s="16" t="s">
        <v>401</v>
      </c>
      <c r="K86" s="16" t="s">
        <v>402</v>
      </c>
    </row>
    <row r="87" spans="1:11" ht="195" hidden="1" x14ac:dyDescent="0.25">
      <c r="A87" s="22">
        <v>84</v>
      </c>
      <c r="B87" s="16" t="s">
        <v>403</v>
      </c>
      <c r="C87" s="16" t="s">
        <v>404</v>
      </c>
      <c r="D87" s="16">
        <v>662704800</v>
      </c>
      <c r="E87" s="16">
        <v>4</v>
      </c>
      <c r="F87" s="16">
        <v>4</v>
      </c>
      <c r="G87" s="18" t="s">
        <v>108</v>
      </c>
      <c r="H87" s="16"/>
      <c r="I87" s="16" t="s">
        <v>405</v>
      </c>
      <c r="J87" s="16" t="s">
        <v>406</v>
      </c>
      <c r="K87" s="16" t="s">
        <v>407</v>
      </c>
    </row>
    <row r="88" spans="1:11" ht="195" hidden="1" x14ac:dyDescent="0.25">
      <c r="A88" s="22">
        <v>85</v>
      </c>
      <c r="B88" s="16" t="s">
        <v>408</v>
      </c>
      <c r="C88" s="16" t="s">
        <v>409</v>
      </c>
      <c r="D88" s="16">
        <v>60875000</v>
      </c>
      <c r="E88" s="16">
        <v>4</v>
      </c>
      <c r="F88" s="16">
        <v>4</v>
      </c>
      <c r="G88" s="18" t="s">
        <v>108</v>
      </c>
      <c r="H88" s="16"/>
      <c r="I88" s="16" t="s">
        <v>405</v>
      </c>
      <c r="J88" s="16" t="s">
        <v>406</v>
      </c>
      <c r="K88" s="16" t="s">
        <v>410</v>
      </c>
    </row>
    <row r="89" spans="1:11" ht="270" hidden="1" x14ac:dyDescent="0.25">
      <c r="A89" s="22">
        <v>86</v>
      </c>
      <c r="B89" s="16" t="s">
        <v>411</v>
      </c>
      <c r="C89" s="16" t="s">
        <v>412</v>
      </c>
      <c r="D89" s="16">
        <v>92418400</v>
      </c>
      <c r="E89" s="16">
        <v>4</v>
      </c>
      <c r="F89" s="16">
        <v>4</v>
      </c>
      <c r="G89" s="18" t="s">
        <v>108</v>
      </c>
      <c r="H89" s="16"/>
      <c r="I89" s="16" t="s">
        <v>405</v>
      </c>
      <c r="J89" s="16" t="s">
        <v>413</v>
      </c>
      <c r="K89" s="16" t="s">
        <v>407</v>
      </c>
    </row>
    <row r="90" spans="1:11" ht="240" hidden="1" x14ac:dyDescent="0.25">
      <c r="A90" s="22">
        <v>87</v>
      </c>
      <c r="B90" s="16" t="s">
        <v>414</v>
      </c>
      <c r="C90" s="16" t="s">
        <v>415</v>
      </c>
      <c r="D90" s="16">
        <v>69345000</v>
      </c>
      <c r="E90" s="16">
        <v>4</v>
      </c>
      <c r="F90" s="16">
        <v>4</v>
      </c>
      <c r="G90" s="18" t="s">
        <v>108</v>
      </c>
      <c r="H90" s="16"/>
      <c r="I90" s="16" t="s">
        <v>416</v>
      </c>
      <c r="J90" s="16" t="s">
        <v>417</v>
      </c>
      <c r="K90" s="16" t="s">
        <v>418</v>
      </c>
    </row>
    <row r="91" spans="1:11" ht="195" hidden="1" x14ac:dyDescent="0.25">
      <c r="A91" s="22">
        <v>88</v>
      </c>
      <c r="B91" s="16" t="s">
        <v>419</v>
      </c>
      <c r="C91" s="16" t="s">
        <v>420</v>
      </c>
      <c r="D91" s="16">
        <v>51335000</v>
      </c>
      <c r="E91" s="16">
        <v>4</v>
      </c>
      <c r="F91" s="16">
        <v>4</v>
      </c>
      <c r="G91" s="18" t="s">
        <v>108</v>
      </c>
      <c r="H91" s="16"/>
      <c r="I91" s="16" t="s">
        <v>421</v>
      </c>
      <c r="J91" s="16" t="s">
        <v>422</v>
      </c>
      <c r="K91" s="16" t="s">
        <v>423</v>
      </c>
    </row>
    <row r="92" spans="1:11" ht="195" hidden="1" x14ac:dyDescent="0.25">
      <c r="A92" s="22">
        <v>89</v>
      </c>
      <c r="B92" s="16" t="s">
        <v>424</v>
      </c>
      <c r="C92" s="16" t="s">
        <v>425</v>
      </c>
      <c r="D92" s="16">
        <v>53455000</v>
      </c>
      <c r="E92" s="16">
        <v>4</v>
      </c>
      <c r="F92" s="16">
        <v>4</v>
      </c>
      <c r="G92" s="18" t="s">
        <v>108</v>
      </c>
      <c r="H92" s="16"/>
      <c r="I92" s="16" t="s">
        <v>426</v>
      </c>
      <c r="J92" s="16" t="s">
        <v>427</v>
      </c>
      <c r="K92" s="16" t="s">
        <v>428</v>
      </c>
    </row>
    <row r="93" spans="1:11" ht="240" hidden="1" x14ac:dyDescent="0.25">
      <c r="A93" s="22">
        <v>90</v>
      </c>
      <c r="B93" s="16" t="s">
        <v>429</v>
      </c>
      <c r="C93" s="16" t="s">
        <v>430</v>
      </c>
      <c r="D93" s="16">
        <v>102863000</v>
      </c>
      <c r="E93" s="16">
        <v>4</v>
      </c>
      <c r="F93" s="16">
        <v>4</v>
      </c>
      <c r="G93" s="18" t="s">
        <v>108</v>
      </c>
      <c r="H93" s="16"/>
      <c r="I93" s="16" t="s">
        <v>431</v>
      </c>
      <c r="J93" s="16" t="s">
        <v>432</v>
      </c>
      <c r="K93" s="16" t="s">
        <v>433</v>
      </c>
    </row>
    <row r="94" spans="1:11" ht="195" hidden="1" x14ac:dyDescent="0.25">
      <c r="A94" s="22">
        <v>91</v>
      </c>
      <c r="B94" s="16" t="s">
        <v>434</v>
      </c>
      <c r="C94" s="16" t="s">
        <v>435</v>
      </c>
      <c r="D94" s="16">
        <v>131494000</v>
      </c>
      <c r="E94" s="16">
        <v>4</v>
      </c>
      <c r="F94" s="16">
        <v>4</v>
      </c>
      <c r="G94" s="18" t="s">
        <v>108</v>
      </c>
      <c r="H94" s="16"/>
      <c r="I94" s="16" t="s">
        <v>421</v>
      </c>
      <c r="J94" s="16" t="s">
        <v>436</v>
      </c>
      <c r="K94" s="16" t="s">
        <v>437</v>
      </c>
    </row>
    <row r="95" spans="1:11" ht="210" hidden="1" x14ac:dyDescent="0.25">
      <c r="A95" s="22">
        <v>92</v>
      </c>
      <c r="B95" s="16" t="s">
        <v>438</v>
      </c>
      <c r="C95" s="16" t="s">
        <v>439</v>
      </c>
      <c r="D95" s="16">
        <v>24615000</v>
      </c>
      <c r="E95" s="16">
        <v>4</v>
      </c>
      <c r="F95" s="16">
        <v>4</v>
      </c>
      <c r="G95" s="18" t="s">
        <v>108</v>
      </c>
      <c r="H95" s="16"/>
      <c r="I95" s="16" t="s">
        <v>440</v>
      </c>
      <c r="J95" s="16" t="s">
        <v>441</v>
      </c>
      <c r="K95" s="16" t="s">
        <v>442</v>
      </c>
    </row>
    <row r="96" spans="1:11" ht="210" hidden="1" x14ac:dyDescent="0.25">
      <c r="A96" s="22">
        <v>93</v>
      </c>
      <c r="B96" s="16" t="s">
        <v>443</v>
      </c>
      <c r="C96" s="16" t="s">
        <v>444</v>
      </c>
      <c r="D96" s="16">
        <v>65550000</v>
      </c>
      <c r="E96" s="16">
        <v>4</v>
      </c>
      <c r="F96" s="16">
        <v>4</v>
      </c>
      <c r="G96" s="18" t="s">
        <v>108</v>
      </c>
      <c r="H96" s="16"/>
      <c r="I96" s="16" t="s">
        <v>445</v>
      </c>
      <c r="J96" s="16" t="s">
        <v>446</v>
      </c>
      <c r="K96" s="16" t="s">
        <v>447</v>
      </c>
    </row>
    <row r="97" spans="1:11" ht="195" hidden="1" x14ac:dyDescent="0.25">
      <c r="A97" s="22">
        <v>94</v>
      </c>
      <c r="B97" s="16" t="s">
        <v>448</v>
      </c>
      <c r="C97" s="16" t="s">
        <v>449</v>
      </c>
      <c r="D97" s="16">
        <v>51475000</v>
      </c>
      <c r="E97" s="16">
        <v>4</v>
      </c>
      <c r="F97" s="16">
        <v>4</v>
      </c>
      <c r="G97" s="18" t="s">
        <v>108</v>
      </c>
      <c r="H97" s="16"/>
      <c r="I97" s="16" t="s">
        <v>450</v>
      </c>
      <c r="J97" s="16" t="s">
        <v>451</v>
      </c>
      <c r="K97" s="16" t="s">
        <v>452</v>
      </c>
    </row>
    <row r="98" spans="1:11" ht="210" hidden="1" x14ac:dyDescent="0.25">
      <c r="A98" s="22">
        <v>95</v>
      </c>
      <c r="B98" s="16" t="s">
        <v>453</v>
      </c>
      <c r="C98" s="16" t="s">
        <v>454</v>
      </c>
      <c r="D98" s="16">
        <v>3195000</v>
      </c>
      <c r="E98" s="16">
        <v>4</v>
      </c>
      <c r="F98" s="16">
        <v>4</v>
      </c>
      <c r="G98" s="18" t="s">
        <v>108</v>
      </c>
      <c r="H98" s="16"/>
      <c r="I98" s="16" t="s">
        <v>455</v>
      </c>
      <c r="J98" s="16" t="s">
        <v>456</v>
      </c>
      <c r="K98" s="16" t="s">
        <v>457</v>
      </c>
    </row>
    <row r="99" spans="1:11" ht="210" hidden="1" x14ac:dyDescent="0.25">
      <c r="A99" s="22">
        <v>96</v>
      </c>
      <c r="B99" s="16" t="s">
        <v>458</v>
      </c>
      <c r="C99" s="16" t="s">
        <v>459</v>
      </c>
      <c r="D99" s="16">
        <v>143016000</v>
      </c>
      <c r="E99" s="16">
        <v>4</v>
      </c>
      <c r="F99" s="16">
        <v>4</v>
      </c>
      <c r="G99" s="18" t="s">
        <v>108</v>
      </c>
      <c r="H99" s="16"/>
      <c r="I99" s="16" t="s">
        <v>460</v>
      </c>
      <c r="J99" s="16" t="s">
        <v>461</v>
      </c>
      <c r="K99" s="16" t="s">
        <v>457</v>
      </c>
    </row>
    <row r="100" spans="1:11" ht="195" hidden="1" x14ac:dyDescent="0.25">
      <c r="A100" s="22">
        <v>97</v>
      </c>
      <c r="B100" s="16" t="s">
        <v>462</v>
      </c>
      <c r="C100" s="16" t="s">
        <v>463</v>
      </c>
      <c r="D100" s="16">
        <v>22593000</v>
      </c>
      <c r="E100" s="16">
        <v>4</v>
      </c>
      <c r="F100" s="16">
        <v>4</v>
      </c>
      <c r="G100" s="18" t="s">
        <v>108</v>
      </c>
      <c r="H100" s="16"/>
      <c r="I100" s="16" t="s">
        <v>464</v>
      </c>
      <c r="J100" s="16" t="s">
        <v>465</v>
      </c>
      <c r="K100" s="16" t="s">
        <v>466</v>
      </c>
    </row>
    <row r="101" spans="1:11" ht="165" hidden="1" x14ac:dyDescent="0.25">
      <c r="A101" s="22">
        <v>98</v>
      </c>
      <c r="B101" s="16" t="s">
        <v>467</v>
      </c>
      <c r="C101" s="16" t="s">
        <v>468</v>
      </c>
      <c r="D101" s="16">
        <v>15705000</v>
      </c>
      <c r="E101" s="16">
        <v>4</v>
      </c>
      <c r="F101" s="16">
        <v>4</v>
      </c>
      <c r="G101" s="18" t="s">
        <v>108</v>
      </c>
      <c r="H101" s="16"/>
      <c r="I101" s="16" t="s">
        <v>416</v>
      </c>
      <c r="J101" s="16" t="s">
        <v>469</v>
      </c>
      <c r="K101" s="16" t="s">
        <v>470</v>
      </c>
    </row>
    <row r="102" spans="1:11" ht="225" hidden="1" x14ac:dyDescent="0.25">
      <c r="A102" s="22">
        <v>99</v>
      </c>
      <c r="B102" s="16" t="s">
        <v>471</v>
      </c>
      <c r="C102" s="16" t="s">
        <v>472</v>
      </c>
      <c r="D102" s="16">
        <v>57605000</v>
      </c>
      <c r="E102" s="16">
        <v>4</v>
      </c>
      <c r="F102" s="16">
        <v>4</v>
      </c>
      <c r="G102" s="18" t="s">
        <v>108</v>
      </c>
      <c r="H102" s="16"/>
      <c r="I102" s="16" t="s">
        <v>473</v>
      </c>
      <c r="J102" s="16" t="s">
        <v>474</v>
      </c>
      <c r="K102" s="16" t="s">
        <v>475</v>
      </c>
    </row>
    <row r="103" spans="1:11" ht="225" hidden="1" x14ac:dyDescent="0.25">
      <c r="A103" s="22">
        <v>100</v>
      </c>
      <c r="B103" s="16" t="s">
        <v>476</v>
      </c>
      <c r="C103" s="16" t="s">
        <v>477</v>
      </c>
      <c r="D103" s="16">
        <v>19875000</v>
      </c>
      <c r="E103" s="16">
        <v>4</v>
      </c>
      <c r="F103" s="16">
        <v>4</v>
      </c>
      <c r="G103" s="18" t="s">
        <v>108</v>
      </c>
      <c r="H103" s="16"/>
      <c r="I103" s="16" t="s">
        <v>478</v>
      </c>
      <c r="J103" s="16" t="s">
        <v>479</v>
      </c>
      <c r="K103" s="16" t="s">
        <v>480</v>
      </c>
    </row>
    <row r="104" spans="1:11" ht="195" hidden="1" x14ac:dyDescent="0.25">
      <c r="A104" s="22">
        <v>101</v>
      </c>
      <c r="B104" s="16" t="s">
        <v>481</v>
      </c>
      <c r="C104" s="16" t="s">
        <v>482</v>
      </c>
      <c r="D104" s="16">
        <v>19175000</v>
      </c>
      <c r="E104" s="16">
        <v>4</v>
      </c>
      <c r="F104" s="16">
        <v>4</v>
      </c>
      <c r="G104" s="18" t="s">
        <v>108</v>
      </c>
      <c r="H104" s="16"/>
      <c r="I104" s="16" t="s">
        <v>426</v>
      </c>
      <c r="J104" s="16" t="s">
        <v>483</v>
      </c>
      <c r="K104" s="16" t="s">
        <v>484</v>
      </c>
    </row>
    <row r="105" spans="1:11" ht="240" hidden="1" x14ac:dyDescent="0.25">
      <c r="A105" s="22">
        <v>102</v>
      </c>
      <c r="B105" s="16" t="s">
        <v>485</v>
      </c>
      <c r="C105" s="16" t="s">
        <v>486</v>
      </c>
      <c r="D105" s="16">
        <v>33261000</v>
      </c>
      <c r="E105" s="16">
        <v>4</v>
      </c>
      <c r="F105" s="16">
        <v>4</v>
      </c>
      <c r="G105" s="18" t="s">
        <v>108</v>
      </c>
      <c r="H105" s="16"/>
      <c r="I105" s="16" t="s">
        <v>487</v>
      </c>
      <c r="J105" s="16" t="s">
        <v>488</v>
      </c>
      <c r="K105" s="16" t="s">
        <v>489</v>
      </c>
    </row>
    <row r="106" spans="1:11" ht="270" hidden="1" x14ac:dyDescent="0.25">
      <c r="A106" s="22">
        <v>103</v>
      </c>
      <c r="B106" s="16" t="s">
        <v>490</v>
      </c>
      <c r="C106" s="16" t="s">
        <v>491</v>
      </c>
      <c r="D106" s="16">
        <v>56783000</v>
      </c>
      <c r="E106" s="16">
        <v>4</v>
      </c>
      <c r="F106" s="16">
        <v>5</v>
      </c>
      <c r="G106" s="18" t="s">
        <v>108</v>
      </c>
      <c r="H106" s="16"/>
      <c r="I106" s="16" t="s">
        <v>492</v>
      </c>
      <c r="J106" s="16" t="s">
        <v>493</v>
      </c>
      <c r="K106" s="16" t="s">
        <v>494</v>
      </c>
    </row>
    <row r="107" spans="1:11" ht="195" hidden="1" x14ac:dyDescent="0.25">
      <c r="A107" s="22">
        <v>104</v>
      </c>
      <c r="B107" s="16" t="s">
        <v>495</v>
      </c>
      <c r="C107" s="16" t="s">
        <v>496</v>
      </c>
      <c r="D107" s="16">
        <v>11775000</v>
      </c>
      <c r="E107" s="16">
        <v>4</v>
      </c>
      <c r="F107" s="16">
        <v>4</v>
      </c>
      <c r="G107" s="18" t="s">
        <v>108</v>
      </c>
      <c r="H107" s="16"/>
      <c r="I107" s="16" t="s">
        <v>497</v>
      </c>
      <c r="J107" s="16" t="s">
        <v>498</v>
      </c>
      <c r="K107" s="16" t="s">
        <v>499</v>
      </c>
    </row>
    <row r="108" spans="1:11" ht="180" hidden="1" x14ac:dyDescent="0.25">
      <c r="A108" s="22">
        <v>105</v>
      </c>
      <c r="B108" s="16" t="s">
        <v>500</v>
      </c>
      <c r="C108" s="16" t="s">
        <v>501</v>
      </c>
      <c r="D108" s="16">
        <v>52930000</v>
      </c>
      <c r="E108" s="16">
        <v>4</v>
      </c>
      <c r="F108" s="16">
        <v>4</v>
      </c>
      <c r="G108" s="18" t="s">
        <v>108</v>
      </c>
      <c r="H108" s="16"/>
      <c r="I108" s="16" t="s">
        <v>502</v>
      </c>
      <c r="J108" s="16" t="s">
        <v>503</v>
      </c>
      <c r="K108" s="16" t="s">
        <v>504</v>
      </c>
    </row>
    <row r="109" spans="1:11" ht="240" hidden="1" x14ac:dyDescent="0.25">
      <c r="A109" s="22">
        <v>106</v>
      </c>
      <c r="B109" s="16" t="s">
        <v>505</v>
      </c>
      <c r="C109" s="16" t="s">
        <v>506</v>
      </c>
      <c r="D109" s="16">
        <v>10400000</v>
      </c>
      <c r="E109" s="16">
        <v>4</v>
      </c>
      <c r="F109" s="16">
        <v>4</v>
      </c>
      <c r="G109" s="18" t="s">
        <v>108</v>
      </c>
      <c r="H109" s="16"/>
      <c r="I109" s="16" t="s">
        <v>507</v>
      </c>
      <c r="J109" s="16" t="s">
        <v>508</v>
      </c>
      <c r="K109" s="16" t="s">
        <v>509</v>
      </c>
    </row>
    <row r="110" spans="1:11" ht="210" hidden="1" x14ac:dyDescent="0.25">
      <c r="A110" s="22">
        <v>107</v>
      </c>
      <c r="B110" s="16" t="s">
        <v>510</v>
      </c>
      <c r="C110" s="16" t="s">
        <v>511</v>
      </c>
      <c r="D110" s="16">
        <v>18123000</v>
      </c>
      <c r="E110" s="16">
        <v>4</v>
      </c>
      <c r="F110" s="16">
        <v>4</v>
      </c>
      <c r="G110" s="18" t="s">
        <v>108</v>
      </c>
      <c r="H110" s="16"/>
      <c r="I110" s="16" t="s">
        <v>512</v>
      </c>
      <c r="J110" s="16" t="s">
        <v>513</v>
      </c>
      <c r="K110" s="16" t="s">
        <v>514</v>
      </c>
    </row>
    <row r="111" spans="1:11" ht="255" hidden="1" x14ac:dyDescent="0.25">
      <c r="A111" s="22">
        <v>108</v>
      </c>
      <c r="B111" s="16" t="s">
        <v>515</v>
      </c>
      <c r="C111" s="16" t="s">
        <v>516</v>
      </c>
      <c r="D111" s="16">
        <v>15080000</v>
      </c>
      <c r="E111" s="16">
        <v>4</v>
      </c>
      <c r="F111" s="16">
        <v>4</v>
      </c>
      <c r="G111" s="18" t="s">
        <v>108</v>
      </c>
      <c r="H111" s="16"/>
      <c r="I111" s="16" t="s">
        <v>517</v>
      </c>
      <c r="J111" s="16" t="s">
        <v>518</v>
      </c>
      <c r="K111" s="16" t="s">
        <v>519</v>
      </c>
    </row>
    <row r="112" spans="1:11" ht="300" hidden="1" x14ac:dyDescent="0.25">
      <c r="A112" s="22">
        <v>109</v>
      </c>
      <c r="B112" s="16" t="s">
        <v>520</v>
      </c>
      <c r="C112" s="16" t="s">
        <v>521</v>
      </c>
      <c r="D112" s="16">
        <v>112605000</v>
      </c>
      <c r="E112" s="16">
        <v>5</v>
      </c>
      <c r="F112" s="16">
        <v>4</v>
      </c>
      <c r="G112" s="18" t="s">
        <v>108</v>
      </c>
      <c r="H112" s="16"/>
      <c r="I112" s="16" t="s">
        <v>522</v>
      </c>
      <c r="J112" s="16" t="s">
        <v>523</v>
      </c>
      <c r="K112" s="16" t="s">
        <v>524</v>
      </c>
    </row>
    <row r="113" spans="1:11" ht="195" hidden="1" x14ac:dyDescent="0.25">
      <c r="A113" s="22">
        <v>110</v>
      </c>
      <c r="B113" s="16" t="s">
        <v>525</v>
      </c>
      <c r="C113" s="16" t="s">
        <v>526</v>
      </c>
      <c r="D113" s="16">
        <v>73905000</v>
      </c>
      <c r="E113" s="16">
        <v>4</v>
      </c>
      <c r="F113" s="16">
        <v>4</v>
      </c>
      <c r="G113" s="18" t="s">
        <v>108</v>
      </c>
      <c r="H113" s="16"/>
      <c r="I113" s="16" t="s">
        <v>527</v>
      </c>
      <c r="J113" s="16" t="s">
        <v>528</v>
      </c>
      <c r="K113" s="16" t="s">
        <v>529</v>
      </c>
    </row>
    <row r="114" spans="1:11" ht="330" hidden="1" x14ac:dyDescent="0.25">
      <c r="A114" s="22">
        <v>111</v>
      </c>
      <c r="B114" s="16" t="s">
        <v>530</v>
      </c>
      <c r="C114" s="16" t="s">
        <v>531</v>
      </c>
      <c r="D114" s="16">
        <v>115770000</v>
      </c>
      <c r="E114" s="16">
        <v>5</v>
      </c>
      <c r="F114" s="16">
        <v>4</v>
      </c>
      <c r="G114" s="18" t="s">
        <v>108</v>
      </c>
      <c r="H114" s="16"/>
      <c r="I114" s="16" t="s">
        <v>532</v>
      </c>
      <c r="J114" s="16" t="s">
        <v>533</v>
      </c>
      <c r="K114" s="16" t="s">
        <v>534</v>
      </c>
    </row>
    <row r="115" spans="1:11" ht="330" hidden="1" x14ac:dyDescent="0.25">
      <c r="A115" s="22">
        <v>112</v>
      </c>
      <c r="B115" s="16" t="s">
        <v>535</v>
      </c>
      <c r="C115" s="16" t="s">
        <v>536</v>
      </c>
      <c r="D115" s="16">
        <v>2530154350</v>
      </c>
      <c r="E115" s="16">
        <v>4</v>
      </c>
      <c r="F115" s="16">
        <v>5</v>
      </c>
      <c r="G115" s="18" t="s">
        <v>108</v>
      </c>
      <c r="H115" s="16"/>
      <c r="I115" s="16" t="s">
        <v>85</v>
      </c>
      <c r="J115" s="16" t="s">
        <v>537</v>
      </c>
      <c r="K115" s="16" t="s">
        <v>538</v>
      </c>
    </row>
    <row r="116" spans="1:11" ht="390" hidden="1" x14ac:dyDescent="0.25">
      <c r="A116" s="22">
        <v>113</v>
      </c>
      <c r="B116" s="16" t="s">
        <v>539</v>
      </c>
      <c r="C116" s="16" t="s">
        <v>540</v>
      </c>
      <c r="D116" s="16">
        <v>29150000</v>
      </c>
      <c r="E116" s="16">
        <v>5</v>
      </c>
      <c r="F116" s="16">
        <v>4</v>
      </c>
      <c r="G116" s="18" t="s">
        <v>108</v>
      </c>
      <c r="H116" s="16"/>
      <c r="I116" s="16" t="s">
        <v>541</v>
      </c>
      <c r="J116" s="16" t="s">
        <v>542</v>
      </c>
      <c r="K116" s="16" t="s">
        <v>543</v>
      </c>
    </row>
    <row r="117" spans="1:11" ht="300" hidden="1" x14ac:dyDescent="0.25">
      <c r="A117" s="22">
        <v>114</v>
      </c>
      <c r="B117" s="16" t="s">
        <v>544</v>
      </c>
      <c r="C117" s="16" t="s">
        <v>545</v>
      </c>
      <c r="D117" s="16">
        <v>32625000</v>
      </c>
      <c r="E117" s="16">
        <v>5</v>
      </c>
      <c r="F117" s="16">
        <v>4</v>
      </c>
      <c r="G117" s="18" t="s">
        <v>108</v>
      </c>
      <c r="H117" s="16"/>
      <c r="I117" s="16" t="s">
        <v>546</v>
      </c>
      <c r="J117" s="16" t="s">
        <v>547</v>
      </c>
      <c r="K117" s="16" t="s">
        <v>548</v>
      </c>
    </row>
    <row r="118" spans="1:11" ht="360" hidden="1" x14ac:dyDescent="0.25">
      <c r="A118" s="22">
        <v>115</v>
      </c>
      <c r="B118" s="16" t="s">
        <v>549</v>
      </c>
      <c r="C118" s="16" t="s">
        <v>550</v>
      </c>
      <c r="D118" s="16">
        <v>325015100</v>
      </c>
      <c r="E118" s="16">
        <v>5</v>
      </c>
      <c r="F118" s="16">
        <v>4</v>
      </c>
      <c r="G118" s="18" t="s">
        <v>108</v>
      </c>
      <c r="H118" s="16"/>
      <c r="I118" s="16" t="s">
        <v>551</v>
      </c>
      <c r="J118" s="16" t="s">
        <v>552</v>
      </c>
      <c r="K118" s="16" t="s">
        <v>553</v>
      </c>
    </row>
    <row r="119" spans="1:11" ht="225" hidden="1" x14ac:dyDescent="0.25">
      <c r="A119" s="22">
        <v>116</v>
      </c>
      <c r="B119" s="16" t="s">
        <v>554</v>
      </c>
      <c r="C119" s="16" t="s">
        <v>555</v>
      </c>
      <c r="D119" s="16">
        <v>25475000</v>
      </c>
      <c r="E119" s="16">
        <v>5</v>
      </c>
      <c r="F119" s="16">
        <v>4</v>
      </c>
      <c r="G119" s="18" t="s">
        <v>108</v>
      </c>
      <c r="H119" s="16"/>
      <c r="I119" s="16" t="s">
        <v>556</v>
      </c>
      <c r="J119" s="16" t="s">
        <v>557</v>
      </c>
      <c r="K119" s="16" t="s">
        <v>558</v>
      </c>
    </row>
    <row r="120" spans="1:11" ht="225" hidden="1" x14ac:dyDescent="0.25">
      <c r="A120" s="22">
        <v>117</v>
      </c>
      <c r="B120" s="16" t="s">
        <v>559</v>
      </c>
      <c r="C120" s="16" t="s">
        <v>560</v>
      </c>
      <c r="D120" s="16">
        <v>281092900</v>
      </c>
      <c r="E120" s="16">
        <v>5</v>
      </c>
      <c r="F120" s="16">
        <v>4</v>
      </c>
      <c r="G120" s="18" t="s">
        <v>108</v>
      </c>
      <c r="H120" s="16"/>
      <c r="I120" s="16" t="s">
        <v>561</v>
      </c>
      <c r="J120" s="16" t="s">
        <v>562</v>
      </c>
      <c r="K120" s="16" t="s">
        <v>563</v>
      </c>
    </row>
    <row r="121" spans="1:11" ht="330" hidden="1" x14ac:dyDescent="0.25">
      <c r="A121" s="22">
        <v>118</v>
      </c>
      <c r="B121" s="16" t="s">
        <v>564</v>
      </c>
      <c r="C121" s="16" t="s">
        <v>565</v>
      </c>
      <c r="D121" s="16">
        <v>112580000</v>
      </c>
      <c r="E121" s="16">
        <v>5</v>
      </c>
      <c r="F121" s="16">
        <v>4</v>
      </c>
      <c r="G121" s="18" t="s">
        <v>108</v>
      </c>
      <c r="H121" s="16"/>
      <c r="I121" s="16" t="s">
        <v>566</v>
      </c>
      <c r="J121" s="16" t="s">
        <v>567</v>
      </c>
      <c r="K121" s="16" t="s">
        <v>568</v>
      </c>
    </row>
    <row r="122" spans="1:11" ht="285" hidden="1" x14ac:dyDescent="0.25">
      <c r="A122" s="22">
        <v>119</v>
      </c>
      <c r="B122" s="16" t="s">
        <v>569</v>
      </c>
      <c r="C122" s="16" t="s">
        <v>570</v>
      </c>
      <c r="D122" s="16">
        <v>23755000</v>
      </c>
      <c r="E122" s="16">
        <v>4</v>
      </c>
      <c r="F122" s="16">
        <v>4</v>
      </c>
      <c r="G122" s="18" t="s">
        <v>108</v>
      </c>
      <c r="H122" s="16"/>
      <c r="I122" s="16" t="s">
        <v>571</v>
      </c>
      <c r="J122" s="16" t="s">
        <v>572</v>
      </c>
      <c r="K122" s="16" t="s">
        <v>573</v>
      </c>
    </row>
    <row r="123" spans="1:11" ht="255" hidden="1" x14ac:dyDescent="0.25">
      <c r="A123" s="22">
        <v>120</v>
      </c>
      <c r="B123" s="16" t="s">
        <v>574</v>
      </c>
      <c r="C123" s="16" t="s">
        <v>575</v>
      </c>
      <c r="D123" s="16">
        <v>107958000</v>
      </c>
      <c r="E123" s="16">
        <v>5</v>
      </c>
      <c r="F123" s="16">
        <v>4</v>
      </c>
      <c r="G123" s="18" t="s">
        <v>108</v>
      </c>
      <c r="H123" s="16"/>
      <c r="I123" s="16" t="s">
        <v>576</v>
      </c>
      <c r="J123" s="16" t="s">
        <v>577</v>
      </c>
      <c r="K123" s="16" t="s">
        <v>578</v>
      </c>
    </row>
    <row r="124" spans="1:11" ht="270" hidden="1" x14ac:dyDescent="0.25">
      <c r="A124" s="22">
        <v>121</v>
      </c>
      <c r="B124" s="16" t="s">
        <v>579</v>
      </c>
      <c r="C124" s="16" t="s">
        <v>580</v>
      </c>
      <c r="D124" s="16">
        <v>125319000</v>
      </c>
      <c r="E124" s="16">
        <v>4</v>
      </c>
      <c r="F124" s="16">
        <v>4</v>
      </c>
      <c r="G124" s="18" t="s">
        <v>108</v>
      </c>
      <c r="H124" s="16"/>
      <c r="I124" s="16" t="s">
        <v>581</v>
      </c>
      <c r="J124" s="16" t="s">
        <v>582</v>
      </c>
      <c r="K124" s="16" t="s">
        <v>583</v>
      </c>
    </row>
    <row r="125" spans="1:11" ht="285" hidden="1" x14ac:dyDescent="0.25">
      <c r="A125" s="22">
        <v>122</v>
      </c>
      <c r="B125" s="16" t="s">
        <v>584</v>
      </c>
      <c r="C125" s="16" t="s">
        <v>585</v>
      </c>
      <c r="D125" s="16">
        <v>77910000</v>
      </c>
      <c r="E125" s="16">
        <v>4</v>
      </c>
      <c r="F125" s="16">
        <v>4</v>
      </c>
      <c r="G125" s="18" t="s">
        <v>108</v>
      </c>
      <c r="H125" s="16"/>
      <c r="I125" s="16" t="s">
        <v>581</v>
      </c>
      <c r="J125" s="16" t="s">
        <v>586</v>
      </c>
      <c r="K125" s="16" t="s">
        <v>583</v>
      </c>
    </row>
    <row r="126" spans="1:11" ht="270" hidden="1" x14ac:dyDescent="0.25">
      <c r="A126" s="22">
        <v>123</v>
      </c>
      <c r="B126" s="16" t="s">
        <v>587</v>
      </c>
      <c r="C126" s="16" t="s">
        <v>588</v>
      </c>
      <c r="D126" s="16">
        <v>13200000</v>
      </c>
      <c r="E126" s="16">
        <v>4</v>
      </c>
      <c r="F126" s="16">
        <v>4</v>
      </c>
      <c r="G126" s="18" t="s">
        <v>108</v>
      </c>
      <c r="H126" s="16"/>
      <c r="I126" s="16" t="s">
        <v>589</v>
      </c>
      <c r="J126" s="16" t="s">
        <v>590</v>
      </c>
      <c r="K126" s="16" t="s">
        <v>591</v>
      </c>
    </row>
    <row r="127" spans="1:11" ht="165" hidden="1" x14ac:dyDescent="0.25">
      <c r="A127" s="22">
        <v>124</v>
      </c>
      <c r="B127" s="16" t="s">
        <v>592</v>
      </c>
      <c r="C127" s="16" t="s">
        <v>593</v>
      </c>
      <c r="D127" s="16">
        <v>367466000</v>
      </c>
      <c r="E127" s="16">
        <v>4</v>
      </c>
      <c r="F127" s="16">
        <v>5</v>
      </c>
      <c r="G127" s="18" t="s">
        <v>108</v>
      </c>
      <c r="H127" s="16"/>
      <c r="I127" s="16" t="s">
        <v>594</v>
      </c>
      <c r="J127" s="16" t="s">
        <v>595</v>
      </c>
      <c r="K127" s="16" t="s">
        <v>596</v>
      </c>
    </row>
    <row r="128" spans="1:11" ht="330" hidden="1" x14ac:dyDescent="0.25">
      <c r="A128" s="22">
        <v>125</v>
      </c>
      <c r="B128" s="16" t="s">
        <v>597</v>
      </c>
      <c r="C128" s="16" t="s">
        <v>598</v>
      </c>
      <c r="D128" s="16">
        <v>78036000</v>
      </c>
      <c r="E128" s="16">
        <v>4</v>
      </c>
      <c r="F128" s="16">
        <v>5</v>
      </c>
      <c r="G128" s="18" t="s">
        <v>108</v>
      </c>
      <c r="H128" s="16"/>
      <c r="I128" s="16" t="s">
        <v>599</v>
      </c>
      <c r="J128" s="16" t="s">
        <v>600</v>
      </c>
      <c r="K128" s="16" t="s">
        <v>601</v>
      </c>
    </row>
    <row r="129" spans="1:11" ht="345" hidden="1" x14ac:dyDescent="0.25">
      <c r="A129" s="22">
        <v>126</v>
      </c>
      <c r="B129" s="16" t="s">
        <v>602</v>
      </c>
      <c r="C129" s="16" t="s">
        <v>603</v>
      </c>
      <c r="D129" s="16">
        <v>297360100</v>
      </c>
      <c r="E129" s="16">
        <v>4</v>
      </c>
      <c r="F129" s="16">
        <v>5</v>
      </c>
      <c r="G129" s="18" t="s">
        <v>108</v>
      </c>
      <c r="H129" s="16"/>
      <c r="I129" s="16" t="s">
        <v>604</v>
      </c>
      <c r="J129" s="16" t="s">
        <v>605</v>
      </c>
      <c r="K129" s="16" t="s">
        <v>606</v>
      </c>
    </row>
    <row r="130" spans="1:11" ht="360" hidden="1" x14ac:dyDescent="0.25">
      <c r="A130" s="22">
        <v>127</v>
      </c>
      <c r="B130" s="16" t="s">
        <v>607</v>
      </c>
      <c r="C130" s="16" t="s">
        <v>608</v>
      </c>
      <c r="D130" s="16">
        <v>191280000</v>
      </c>
      <c r="E130" s="16">
        <v>4</v>
      </c>
      <c r="F130" s="16">
        <v>5</v>
      </c>
      <c r="G130" s="18" t="s">
        <v>108</v>
      </c>
      <c r="H130" s="16"/>
      <c r="I130" s="16" t="s">
        <v>609</v>
      </c>
      <c r="J130" s="16" t="s">
        <v>610</v>
      </c>
      <c r="K130" s="16" t="s">
        <v>611</v>
      </c>
    </row>
    <row r="131" spans="1:11" ht="345" hidden="1" x14ac:dyDescent="0.25">
      <c r="A131" s="22">
        <v>128</v>
      </c>
      <c r="B131" s="16" t="s">
        <v>612</v>
      </c>
      <c r="C131" s="16" t="s">
        <v>613</v>
      </c>
      <c r="D131" s="16">
        <v>20304400</v>
      </c>
      <c r="E131" s="16">
        <v>4</v>
      </c>
      <c r="F131" s="16">
        <v>5</v>
      </c>
      <c r="G131" s="18" t="s">
        <v>108</v>
      </c>
      <c r="H131" s="16"/>
      <c r="I131" s="16" t="s">
        <v>614</v>
      </c>
      <c r="J131" s="16" t="s">
        <v>615</v>
      </c>
      <c r="K131" s="16" t="s">
        <v>616</v>
      </c>
    </row>
    <row r="132" spans="1:11" ht="409.5" hidden="1" x14ac:dyDescent="0.25">
      <c r="A132" s="22">
        <v>129</v>
      </c>
      <c r="B132" s="16" t="s">
        <v>617</v>
      </c>
      <c r="C132" s="16" t="s">
        <v>618</v>
      </c>
      <c r="D132" s="16">
        <v>10508000</v>
      </c>
      <c r="E132" s="16">
        <v>4</v>
      </c>
      <c r="F132" s="16">
        <v>5</v>
      </c>
      <c r="G132" s="18" t="s">
        <v>108</v>
      </c>
      <c r="H132" s="16"/>
      <c r="I132" s="16" t="s">
        <v>619</v>
      </c>
      <c r="J132" s="16" t="s">
        <v>620</v>
      </c>
      <c r="K132" s="16" t="s">
        <v>621</v>
      </c>
    </row>
    <row r="133" spans="1:11" ht="390" hidden="1" x14ac:dyDescent="0.25">
      <c r="A133" s="22">
        <v>130</v>
      </c>
      <c r="B133" s="16" t="s">
        <v>622</v>
      </c>
      <c r="C133" s="16" t="s">
        <v>623</v>
      </c>
      <c r="D133" s="16">
        <v>9381000</v>
      </c>
      <c r="E133" s="16">
        <v>4</v>
      </c>
      <c r="F133" s="16">
        <v>4</v>
      </c>
      <c r="G133" s="18" t="s">
        <v>108</v>
      </c>
      <c r="H133" s="16"/>
      <c r="I133" s="16" t="s">
        <v>624</v>
      </c>
      <c r="J133" s="16" t="s">
        <v>625</v>
      </c>
      <c r="K133" s="16" t="s">
        <v>626</v>
      </c>
    </row>
    <row r="134" spans="1:11" ht="409.5" hidden="1" x14ac:dyDescent="0.25">
      <c r="A134" s="22">
        <v>131</v>
      </c>
      <c r="B134" s="16" t="s">
        <v>627</v>
      </c>
      <c r="C134" s="16" t="s">
        <v>628</v>
      </c>
      <c r="D134" s="16">
        <v>7311000</v>
      </c>
      <c r="E134" s="16">
        <v>4</v>
      </c>
      <c r="F134" s="16">
        <v>4</v>
      </c>
      <c r="G134" s="18" t="s">
        <v>108</v>
      </c>
      <c r="H134" s="16"/>
      <c r="I134" s="16" t="s">
        <v>629</v>
      </c>
      <c r="J134" s="16" t="s">
        <v>630</v>
      </c>
      <c r="K134" s="16" t="s">
        <v>631</v>
      </c>
    </row>
    <row r="135" spans="1:11" ht="409.5" hidden="1" x14ac:dyDescent="0.25">
      <c r="A135" s="22">
        <v>132</v>
      </c>
      <c r="B135" s="16" t="s">
        <v>632</v>
      </c>
      <c r="C135" s="16" t="s">
        <v>633</v>
      </c>
      <c r="D135" s="16">
        <v>7379000</v>
      </c>
      <c r="E135" s="16">
        <v>4</v>
      </c>
      <c r="F135" s="16">
        <v>4</v>
      </c>
      <c r="G135" s="18" t="s">
        <v>108</v>
      </c>
      <c r="H135" s="16"/>
      <c r="I135" s="16" t="s">
        <v>629</v>
      </c>
      <c r="J135" s="16" t="s">
        <v>634</v>
      </c>
      <c r="K135" s="16" t="s">
        <v>631</v>
      </c>
    </row>
    <row r="136" spans="1:11" ht="409.5" hidden="1" x14ac:dyDescent="0.25">
      <c r="A136" s="22">
        <v>133</v>
      </c>
      <c r="B136" s="16" t="s">
        <v>635</v>
      </c>
      <c r="C136" s="16" t="s">
        <v>636</v>
      </c>
      <c r="D136" s="16">
        <v>7259000</v>
      </c>
      <c r="E136" s="16">
        <v>4</v>
      </c>
      <c r="F136" s="16">
        <v>4</v>
      </c>
      <c r="G136" s="18" t="s">
        <v>108</v>
      </c>
      <c r="H136" s="16"/>
      <c r="I136" s="16" t="s">
        <v>629</v>
      </c>
      <c r="J136" s="16" t="s">
        <v>637</v>
      </c>
      <c r="K136" s="16" t="s">
        <v>631</v>
      </c>
    </row>
    <row r="137" spans="1:11" ht="409.5" hidden="1" x14ac:dyDescent="0.25">
      <c r="A137" s="22">
        <v>134</v>
      </c>
      <c r="B137" s="16" t="s">
        <v>638</v>
      </c>
      <c r="C137" s="16" t="s">
        <v>639</v>
      </c>
      <c r="D137" s="16">
        <v>7311000</v>
      </c>
      <c r="E137" s="16">
        <v>4</v>
      </c>
      <c r="F137" s="16">
        <v>4</v>
      </c>
      <c r="G137" s="18" t="s">
        <v>108</v>
      </c>
      <c r="H137" s="16"/>
      <c r="I137" s="16" t="s">
        <v>629</v>
      </c>
      <c r="J137" s="16" t="s">
        <v>630</v>
      </c>
      <c r="K137" s="16" t="s">
        <v>631</v>
      </c>
    </row>
    <row r="138" spans="1:11" ht="285" hidden="1" x14ac:dyDescent="0.25">
      <c r="A138" s="22">
        <v>135</v>
      </c>
      <c r="B138" s="16" t="s">
        <v>640</v>
      </c>
      <c r="C138" s="16" t="s">
        <v>641</v>
      </c>
      <c r="D138" s="16">
        <v>0</v>
      </c>
      <c r="E138" s="16">
        <v>4</v>
      </c>
      <c r="F138" s="16">
        <v>4</v>
      </c>
      <c r="G138" s="18" t="s">
        <v>108</v>
      </c>
      <c r="H138" s="16"/>
      <c r="I138" s="16" t="s">
        <v>642</v>
      </c>
      <c r="J138" s="16" t="s">
        <v>643</v>
      </c>
      <c r="K138" s="16" t="s">
        <v>644</v>
      </c>
    </row>
    <row r="139" spans="1:11" ht="405" hidden="1" x14ac:dyDescent="0.25">
      <c r="A139" s="22">
        <v>136</v>
      </c>
      <c r="B139" s="16" t="s">
        <v>645</v>
      </c>
      <c r="C139" s="16" t="s">
        <v>646</v>
      </c>
      <c r="D139" s="16">
        <v>21820000</v>
      </c>
      <c r="E139" s="16">
        <v>4</v>
      </c>
      <c r="F139" s="16">
        <v>5</v>
      </c>
      <c r="G139" s="18" t="s">
        <v>108</v>
      </c>
      <c r="H139" s="16"/>
      <c r="I139" s="16" t="s">
        <v>647</v>
      </c>
      <c r="J139" s="16" t="s">
        <v>648</v>
      </c>
      <c r="K139" s="16" t="s">
        <v>649</v>
      </c>
    </row>
    <row r="140" spans="1:11" ht="225" hidden="1" x14ac:dyDescent="0.25">
      <c r="A140" s="22">
        <v>137</v>
      </c>
      <c r="B140" s="16" t="s">
        <v>650</v>
      </c>
      <c r="C140" s="16" t="s">
        <v>651</v>
      </c>
      <c r="D140" s="16">
        <v>40000000</v>
      </c>
      <c r="E140" s="16">
        <v>4</v>
      </c>
      <c r="F140" s="16">
        <v>4</v>
      </c>
      <c r="G140" s="18" t="s">
        <v>108</v>
      </c>
      <c r="H140" s="16"/>
      <c r="I140" s="16" t="s">
        <v>652</v>
      </c>
      <c r="J140" s="16" t="s">
        <v>653</v>
      </c>
      <c r="K140" s="16" t="s">
        <v>654</v>
      </c>
    </row>
    <row r="141" spans="1:11" ht="135" hidden="1" x14ac:dyDescent="0.25">
      <c r="A141" s="22">
        <v>138</v>
      </c>
      <c r="B141" s="16" t="s">
        <v>655</v>
      </c>
      <c r="C141" s="16" t="s">
        <v>656</v>
      </c>
      <c r="D141" s="16">
        <v>50535000</v>
      </c>
      <c r="E141" s="16">
        <v>4</v>
      </c>
      <c r="F141" s="16">
        <v>4</v>
      </c>
      <c r="G141" s="18" t="s">
        <v>108</v>
      </c>
      <c r="H141" s="16"/>
      <c r="I141" s="16" t="s">
        <v>657</v>
      </c>
      <c r="J141" s="16" t="s">
        <v>658</v>
      </c>
      <c r="K141" s="16" t="s">
        <v>659</v>
      </c>
    </row>
    <row r="142" spans="1:11" ht="225" hidden="1" x14ac:dyDescent="0.25">
      <c r="A142" s="22">
        <v>139</v>
      </c>
      <c r="B142" s="16" t="s">
        <v>660</v>
      </c>
      <c r="C142" s="16" t="s">
        <v>661</v>
      </c>
      <c r="D142" s="16">
        <v>48520000</v>
      </c>
      <c r="E142" s="16">
        <v>4</v>
      </c>
      <c r="F142" s="16">
        <v>4</v>
      </c>
      <c r="G142" s="18" t="s">
        <v>108</v>
      </c>
      <c r="H142" s="16"/>
      <c r="I142" s="16" t="s">
        <v>662</v>
      </c>
      <c r="J142" s="16" t="s">
        <v>663</v>
      </c>
      <c r="K142" s="16" t="s">
        <v>664</v>
      </c>
    </row>
    <row r="143" spans="1:11" ht="330" hidden="1" x14ac:dyDescent="0.25">
      <c r="A143" s="22">
        <v>140</v>
      </c>
      <c r="B143" s="16" t="s">
        <v>665</v>
      </c>
      <c r="C143" s="16" t="s">
        <v>666</v>
      </c>
      <c r="D143" s="16">
        <v>88389000</v>
      </c>
      <c r="E143" s="16">
        <v>4</v>
      </c>
      <c r="F143" s="16">
        <v>5</v>
      </c>
      <c r="G143" s="18" t="s">
        <v>108</v>
      </c>
      <c r="H143" s="16"/>
      <c r="I143" s="16" t="s">
        <v>667</v>
      </c>
      <c r="J143" s="16" t="s">
        <v>668</v>
      </c>
      <c r="K143" s="16" t="s">
        <v>669</v>
      </c>
    </row>
    <row r="144" spans="1:11" ht="300" hidden="1" x14ac:dyDescent="0.25">
      <c r="A144" s="22">
        <v>141</v>
      </c>
      <c r="B144" s="16" t="s">
        <v>670</v>
      </c>
      <c r="C144" s="16" t="s">
        <v>671</v>
      </c>
      <c r="D144" s="16">
        <v>41265000</v>
      </c>
      <c r="E144" s="16">
        <v>4</v>
      </c>
      <c r="F144" s="16">
        <v>5</v>
      </c>
      <c r="G144" s="18" t="s">
        <v>108</v>
      </c>
      <c r="H144" s="16"/>
      <c r="I144" s="16" t="s">
        <v>672</v>
      </c>
      <c r="J144" s="16" t="s">
        <v>673</v>
      </c>
      <c r="K144" s="16" t="s">
        <v>674</v>
      </c>
    </row>
    <row r="145" spans="1:11" ht="405" hidden="1" x14ac:dyDescent="0.25">
      <c r="A145" s="22">
        <v>142</v>
      </c>
      <c r="B145" s="16" t="s">
        <v>675</v>
      </c>
      <c r="C145" s="16" t="s">
        <v>676</v>
      </c>
      <c r="D145" s="16">
        <v>49116000</v>
      </c>
      <c r="E145" s="16">
        <v>4</v>
      </c>
      <c r="F145" s="16">
        <v>5</v>
      </c>
      <c r="G145" s="18" t="s">
        <v>108</v>
      </c>
      <c r="H145" s="16"/>
      <c r="I145" s="16" t="s">
        <v>667</v>
      </c>
      <c r="J145" s="16" t="s">
        <v>677</v>
      </c>
      <c r="K145" s="16" t="s">
        <v>669</v>
      </c>
    </row>
    <row r="146" spans="1:11" ht="409.5" hidden="1" x14ac:dyDescent="0.25">
      <c r="A146" s="22">
        <v>143</v>
      </c>
      <c r="B146" s="16" t="s">
        <v>678</v>
      </c>
      <c r="C146" s="16" t="s">
        <v>679</v>
      </c>
      <c r="D146" s="16">
        <v>17500000</v>
      </c>
      <c r="E146" s="16">
        <v>4</v>
      </c>
      <c r="F146" s="16">
        <v>4</v>
      </c>
      <c r="G146" s="18" t="s">
        <v>108</v>
      </c>
      <c r="H146" s="16"/>
      <c r="I146" s="16" t="s">
        <v>680</v>
      </c>
      <c r="J146" s="16" t="s">
        <v>681</v>
      </c>
      <c r="K146" s="16" t="s">
        <v>682</v>
      </c>
    </row>
    <row r="147" spans="1:11" ht="409.5" hidden="1" x14ac:dyDescent="0.25">
      <c r="A147" s="22">
        <v>144</v>
      </c>
      <c r="B147" s="16" t="s">
        <v>683</v>
      </c>
      <c r="C147" s="16" t="s">
        <v>684</v>
      </c>
      <c r="D147" s="16">
        <v>6640908</v>
      </c>
      <c r="E147" s="16">
        <v>4</v>
      </c>
      <c r="F147" s="16">
        <v>4</v>
      </c>
      <c r="G147" s="18" t="s">
        <v>108</v>
      </c>
      <c r="H147" s="16"/>
      <c r="I147" s="16" t="s">
        <v>685</v>
      </c>
      <c r="J147" s="16" t="s">
        <v>686</v>
      </c>
      <c r="K147" s="16" t="s">
        <v>687</v>
      </c>
    </row>
    <row r="148" spans="1:11" ht="409.5" hidden="1" x14ac:dyDescent="0.25">
      <c r="A148" s="22">
        <v>145</v>
      </c>
      <c r="B148" s="16" t="s">
        <v>688</v>
      </c>
      <c r="C148" s="16" t="s">
        <v>689</v>
      </c>
      <c r="D148" s="16">
        <v>43525000</v>
      </c>
      <c r="E148" s="16">
        <v>4</v>
      </c>
      <c r="F148" s="16">
        <v>4</v>
      </c>
      <c r="G148" s="18" t="s">
        <v>108</v>
      </c>
      <c r="H148" s="16"/>
      <c r="I148" s="16" t="s">
        <v>690</v>
      </c>
      <c r="J148" s="16" t="s">
        <v>691</v>
      </c>
      <c r="K148" s="16" t="s">
        <v>692</v>
      </c>
    </row>
    <row r="149" spans="1:11" ht="345" hidden="1" x14ac:dyDescent="0.25">
      <c r="A149" s="22">
        <v>146</v>
      </c>
      <c r="B149" s="16" t="s">
        <v>693</v>
      </c>
      <c r="C149" s="16" t="s">
        <v>694</v>
      </c>
      <c r="D149" s="16">
        <v>1040000</v>
      </c>
      <c r="E149" s="16">
        <v>4</v>
      </c>
      <c r="F149" s="16">
        <v>4</v>
      </c>
      <c r="G149" s="18" t="s">
        <v>108</v>
      </c>
      <c r="H149" s="16"/>
      <c r="I149" s="16" t="s">
        <v>695</v>
      </c>
      <c r="J149" s="16" t="s">
        <v>696</v>
      </c>
      <c r="K149" s="16" t="s">
        <v>697</v>
      </c>
    </row>
    <row r="150" spans="1:11" ht="409.5" hidden="1" x14ac:dyDescent="0.25">
      <c r="A150" s="22">
        <v>147</v>
      </c>
      <c r="B150" s="16" t="s">
        <v>698</v>
      </c>
      <c r="C150" s="16" t="s">
        <v>699</v>
      </c>
      <c r="D150" s="16">
        <v>86094598</v>
      </c>
      <c r="E150" s="16">
        <v>4</v>
      </c>
      <c r="F150" s="16">
        <v>4</v>
      </c>
      <c r="G150" s="18" t="s">
        <v>108</v>
      </c>
      <c r="H150" s="16"/>
      <c r="I150" s="16" t="s">
        <v>680</v>
      </c>
      <c r="J150" s="16" t="s">
        <v>700</v>
      </c>
      <c r="K150" s="16" t="s">
        <v>701</v>
      </c>
    </row>
    <row r="151" spans="1:11" ht="375" hidden="1" x14ac:dyDescent="0.25">
      <c r="A151" s="22">
        <v>148</v>
      </c>
      <c r="B151" s="16" t="s">
        <v>702</v>
      </c>
      <c r="C151" s="16" t="s">
        <v>703</v>
      </c>
      <c r="D151" s="16">
        <v>30239000</v>
      </c>
      <c r="E151" s="16">
        <v>4</v>
      </c>
      <c r="F151" s="16">
        <v>4</v>
      </c>
      <c r="G151" s="18" t="s">
        <v>108</v>
      </c>
      <c r="H151" s="16"/>
      <c r="I151" s="16" t="s">
        <v>704</v>
      </c>
      <c r="J151" s="16" t="s">
        <v>705</v>
      </c>
      <c r="K151" s="16" t="s">
        <v>706</v>
      </c>
    </row>
    <row r="152" spans="1:11" ht="409.5" hidden="1" x14ac:dyDescent="0.25">
      <c r="A152" s="22">
        <v>149</v>
      </c>
      <c r="B152" s="16" t="s">
        <v>707</v>
      </c>
      <c r="C152" s="16" t="s">
        <v>708</v>
      </c>
      <c r="D152" s="16">
        <v>276265000</v>
      </c>
      <c r="E152" s="16">
        <v>4</v>
      </c>
      <c r="F152" s="16">
        <v>4</v>
      </c>
      <c r="G152" s="18" t="s">
        <v>108</v>
      </c>
      <c r="H152" s="16"/>
      <c r="I152" s="16" t="s">
        <v>709</v>
      </c>
      <c r="J152" s="16" t="s">
        <v>710</v>
      </c>
      <c r="K152" s="16" t="s">
        <v>711</v>
      </c>
    </row>
    <row r="153" spans="1:11" ht="360" hidden="1" x14ac:dyDescent="0.25">
      <c r="A153" s="22">
        <v>150</v>
      </c>
      <c r="B153" s="16" t="s">
        <v>712</v>
      </c>
      <c r="C153" s="16" t="s">
        <v>713</v>
      </c>
      <c r="D153" s="16">
        <v>573730000</v>
      </c>
      <c r="E153" s="16">
        <v>4</v>
      </c>
      <c r="F153" s="16">
        <v>4</v>
      </c>
      <c r="G153" s="18" t="s">
        <v>108</v>
      </c>
      <c r="H153" s="16"/>
      <c r="I153" s="16" t="s">
        <v>714</v>
      </c>
      <c r="J153" s="16" t="s">
        <v>715</v>
      </c>
      <c r="K153" s="16" t="s">
        <v>716</v>
      </c>
    </row>
    <row r="154" spans="1:11" ht="255" hidden="1" x14ac:dyDescent="0.25">
      <c r="A154" s="22">
        <v>151</v>
      </c>
      <c r="B154" s="16" t="s">
        <v>717</v>
      </c>
      <c r="C154" s="16" t="s">
        <v>718</v>
      </c>
      <c r="D154" s="16">
        <v>1185384800</v>
      </c>
      <c r="E154" s="16">
        <v>4</v>
      </c>
      <c r="F154" s="16">
        <v>5</v>
      </c>
      <c r="G154" s="18" t="s">
        <v>108</v>
      </c>
      <c r="H154" s="16"/>
      <c r="I154" s="16" t="s">
        <v>719</v>
      </c>
      <c r="J154" s="16" t="s">
        <v>720</v>
      </c>
      <c r="K154" s="16" t="s">
        <v>721</v>
      </c>
    </row>
    <row r="155" spans="1:11" ht="240" hidden="1" x14ac:dyDescent="0.25">
      <c r="A155" s="22">
        <v>152</v>
      </c>
      <c r="B155" s="16" t="s">
        <v>722</v>
      </c>
      <c r="C155" s="16" t="s">
        <v>723</v>
      </c>
      <c r="D155" s="16">
        <v>234000000</v>
      </c>
      <c r="E155" s="16">
        <v>4</v>
      </c>
      <c r="F155" s="16">
        <v>5</v>
      </c>
      <c r="G155" s="18" t="s">
        <v>108</v>
      </c>
      <c r="H155" s="16"/>
      <c r="I155" s="16" t="s">
        <v>724</v>
      </c>
      <c r="J155" s="16" t="s">
        <v>725</v>
      </c>
      <c r="K155" s="16" t="s">
        <v>726</v>
      </c>
    </row>
    <row r="156" spans="1:11" ht="240" hidden="1" x14ac:dyDescent="0.25">
      <c r="A156" s="22">
        <v>153</v>
      </c>
      <c r="B156" s="16" t="s">
        <v>727</v>
      </c>
      <c r="C156" s="16" t="s">
        <v>728</v>
      </c>
      <c r="D156" s="16">
        <v>30000000</v>
      </c>
      <c r="E156" s="16">
        <v>4</v>
      </c>
      <c r="F156" s="16">
        <v>5</v>
      </c>
      <c r="G156" s="18" t="s">
        <v>108</v>
      </c>
      <c r="H156" s="16"/>
      <c r="I156" s="16" t="s">
        <v>724</v>
      </c>
      <c r="J156" s="16" t="s">
        <v>725</v>
      </c>
      <c r="K156" s="16" t="s">
        <v>726</v>
      </c>
    </row>
    <row r="157" spans="1:11" ht="195" hidden="1" x14ac:dyDescent="0.25">
      <c r="A157" s="22">
        <v>154</v>
      </c>
      <c r="B157" s="16" t="s">
        <v>729</v>
      </c>
      <c r="C157" s="16" t="s">
        <v>730</v>
      </c>
      <c r="D157" s="16">
        <v>488750000</v>
      </c>
      <c r="E157" s="16">
        <v>4</v>
      </c>
      <c r="F157" s="16">
        <v>5</v>
      </c>
      <c r="G157" s="18" t="s">
        <v>108</v>
      </c>
      <c r="H157" s="16"/>
      <c r="I157" s="16" t="s">
        <v>731</v>
      </c>
      <c r="J157" s="16" t="s">
        <v>732</v>
      </c>
      <c r="K157" s="16" t="s">
        <v>733</v>
      </c>
    </row>
    <row r="158" spans="1:11" ht="150" hidden="1" x14ac:dyDescent="0.25">
      <c r="A158" s="22">
        <v>155</v>
      </c>
      <c r="B158" s="16" t="s">
        <v>734</v>
      </c>
      <c r="C158" s="16" t="s">
        <v>735</v>
      </c>
      <c r="D158" s="16">
        <v>626000000</v>
      </c>
      <c r="E158" s="16">
        <v>4</v>
      </c>
      <c r="F158" s="16">
        <v>5</v>
      </c>
      <c r="G158" s="18" t="s">
        <v>108</v>
      </c>
      <c r="H158" s="16"/>
      <c r="I158" s="16" t="s">
        <v>736</v>
      </c>
      <c r="J158" s="16" t="s">
        <v>737</v>
      </c>
      <c r="K158" s="16" t="s">
        <v>738</v>
      </c>
    </row>
    <row r="159" spans="1:11" ht="120" hidden="1" x14ac:dyDescent="0.25">
      <c r="A159" s="22">
        <v>156</v>
      </c>
      <c r="B159" s="16" t="s">
        <v>739</v>
      </c>
      <c r="C159" s="16" t="s">
        <v>740</v>
      </c>
      <c r="D159" s="16">
        <v>120000000</v>
      </c>
      <c r="E159" s="16">
        <v>4</v>
      </c>
      <c r="F159" s="16">
        <v>5</v>
      </c>
      <c r="G159" s="18" t="s">
        <v>108</v>
      </c>
      <c r="H159" s="16"/>
      <c r="I159" s="16" t="s">
        <v>741</v>
      </c>
      <c r="J159" s="16" t="s">
        <v>742</v>
      </c>
      <c r="K159" s="16" t="s">
        <v>743</v>
      </c>
    </row>
    <row r="160" spans="1:11" ht="180" hidden="1" x14ac:dyDescent="0.25">
      <c r="A160" s="22">
        <v>157</v>
      </c>
      <c r="B160" s="16" t="s">
        <v>744</v>
      </c>
      <c r="C160" s="16" t="s">
        <v>745</v>
      </c>
      <c r="D160" s="16">
        <v>5827086050</v>
      </c>
      <c r="E160" s="16">
        <v>4</v>
      </c>
      <c r="F160" s="16">
        <v>4</v>
      </c>
      <c r="G160" s="18" t="s">
        <v>108</v>
      </c>
      <c r="H160" s="16"/>
      <c r="I160" s="16" t="s">
        <v>746</v>
      </c>
      <c r="J160" s="16" t="s">
        <v>747</v>
      </c>
      <c r="K160" s="16" t="s">
        <v>748</v>
      </c>
    </row>
    <row r="161" spans="1:11" ht="255" hidden="1" x14ac:dyDescent="0.25">
      <c r="A161" s="22">
        <v>158</v>
      </c>
      <c r="B161" s="16" t="s">
        <v>749</v>
      </c>
      <c r="C161" s="16" t="s">
        <v>750</v>
      </c>
      <c r="D161" s="16">
        <v>160000000</v>
      </c>
      <c r="E161" s="16">
        <v>4</v>
      </c>
      <c r="F161" s="16">
        <v>5</v>
      </c>
      <c r="G161" s="18" t="s">
        <v>108</v>
      </c>
      <c r="H161" s="16"/>
      <c r="I161" s="16" t="s">
        <v>751</v>
      </c>
      <c r="J161" s="16" t="s">
        <v>752</v>
      </c>
      <c r="K161" s="16" t="s">
        <v>753</v>
      </c>
    </row>
    <row r="162" spans="1:11" ht="409.5" hidden="1" x14ac:dyDescent="0.25">
      <c r="A162" s="22">
        <v>159</v>
      </c>
      <c r="B162" s="16" t="s">
        <v>754</v>
      </c>
      <c r="C162" s="16" t="s">
        <v>755</v>
      </c>
      <c r="D162" s="16">
        <v>950000000</v>
      </c>
      <c r="E162" s="16">
        <v>4</v>
      </c>
      <c r="F162" s="16">
        <v>5</v>
      </c>
      <c r="G162" s="18" t="s">
        <v>108</v>
      </c>
      <c r="H162" s="16"/>
      <c r="I162" s="16" t="s">
        <v>756</v>
      </c>
      <c r="J162" s="16" t="s">
        <v>757</v>
      </c>
      <c r="K162" s="16" t="s">
        <v>758</v>
      </c>
    </row>
    <row r="163" spans="1:11" ht="285" hidden="1" x14ac:dyDescent="0.25">
      <c r="A163" s="22">
        <v>160</v>
      </c>
      <c r="B163" s="16" t="s">
        <v>759</v>
      </c>
      <c r="C163" s="16" t="s">
        <v>760</v>
      </c>
      <c r="D163" s="16">
        <v>355000000</v>
      </c>
      <c r="E163" s="16">
        <v>4</v>
      </c>
      <c r="F163" s="16">
        <v>5</v>
      </c>
      <c r="G163" s="18" t="s">
        <v>108</v>
      </c>
      <c r="H163" s="16"/>
      <c r="I163" s="16" t="s">
        <v>761</v>
      </c>
      <c r="J163" s="16" t="s">
        <v>762</v>
      </c>
      <c r="K163" s="16" t="s">
        <v>753</v>
      </c>
    </row>
    <row r="164" spans="1:11" ht="285" hidden="1" x14ac:dyDescent="0.25">
      <c r="A164" s="22">
        <v>161</v>
      </c>
      <c r="B164" s="16" t="s">
        <v>763</v>
      </c>
      <c r="C164" s="16" t="s">
        <v>764</v>
      </c>
      <c r="D164" s="16">
        <v>11000000000</v>
      </c>
      <c r="E164" s="16">
        <v>4</v>
      </c>
      <c r="F164" s="16">
        <v>5</v>
      </c>
      <c r="G164" s="18" t="s">
        <v>108</v>
      </c>
      <c r="H164" s="16"/>
      <c r="I164" s="16" t="s">
        <v>761</v>
      </c>
      <c r="J164" s="16" t="s">
        <v>765</v>
      </c>
      <c r="K164" s="16" t="s">
        <v>753</v>
      </c>
    </row>
    <row r="165" spans="1:11" ht="285" hidden="1" x14ac:dyDescent="0.25">
      <c r="A165" s="22">
        <v>162</v>
      </c>
      <c r="B165" s="16" t="s">
        <v>766</v>
      </c>
      <c r="C165" s="16" t="s">
        <v>767</v>
      </c>
      <c r="D165" s="16">
        <v>50000000000</v>
      </c>
      <c r="E165" s="16">
        <v>4</v>
      </c>
      <c r="F165" s="16">
        <v>5</v>
      </c>
      <c r="G165" s="18" t="s">
        <v>108</v>
      </c>
      <c r="H165" s="16"/>
      <c r="I165" s="16" t="s">
        <v>761</v>
      </c>
      <c r="J165" s="16" t="s">
        <v>768</v>
      </c>
      <c r="K165" s="16" t="s">
        <v>753</v>
      </c>
    </row>
    <row r="166" spans="1:11" ht="255" hidden="1" x14ac:dyDescent="0.25">
      <c r="A166" s="22">
        <v>163</v>
      </c>
      <c r="B166" s="16" t="s">
        <v>769</v>
      </c>
      <c r="C166" s="16" t="s">
        <v>770</v>
      </c>
      <c r="D166" s="16">
        <v>249956000</v>
      </c>
      <c r="E166" s="16">
        <v>4</v>
      </c>
      <c r="F166" s="16">
        <v>4</v>
      </c>
      <c r="G166" s="18" t="s">
        <v>108</v>
      </c>
      <c r="H166" s="16"/>
      <c r="I166" s="16" t="s">
        <v>771</v>
      </c>
      <c r="J166" s="16" t="s">
        <v>772</v>
      </c>
      <c r="K166" s="16" t="s">
        <v>773</v>
      </c>
    </row>
    <row r="167" spans="1:11" ht="270" hidden="1" x14ac:dyDescent="0.25">
      <c r="A167" s="22">
        <v>164</v>
      </c>
      <c r="B167" s="16" t="s">
        <v>774</v>
      </c>
      <c r="C167" s="16" t="s">
        <v>775</v>
      </c>
      <c r="D167" s="16">
        <v>1500000000</v>
      </c>
      <c r="E167" s="16">
        <v>5</v>
      </c>
      <c r="F167" s="16">
        <v>4</v>
      </c>
      <c r="G167" s="18" t="s">
        <v>108</v>
      </c>
      <c r="H167" s="16"/>
      <c r="I167" s="16" t="s">
        <v>776</v>
      </c>
      <c r="J167" s="16" t="s">
        <v>777</v>
      </c>
      <c r="K167" s="16" t="s">
        <v>778</v>
      </c>
    </row>
    <row r="168" spans="1:11" ht="330" hidden="1" x14ac:dyDescent="0.25">
      <c r="A168" s="22">
        <v>165</v>
      </c>
      <c r="B168" s="16" t="s">
        <v>779</v>
      </c>
      <c r="C168" s="16" t="s">
        <v>780</v>
      </c>
      <c r="D168" s="16">
        <v>100000000</v>
      </c>
      <c r="E168" s="16">
        <v>4</v>
      </c>
      <c r="F168" s="16">
        <v>4</v>
      </c>
      <c r="G168" s="18" t="s">
        <v>108</v>
      </c>
      <c r="H168" s="16"/>
      <c r="I168" s="16" t="s">
        <v>781</v>
      </c>
      <c r="J168" s="16" t="s">
        <v>782</v>
      </c>
      <c r="K168" s="16" t="s">
        <v>783</v>
      </c>
    </row>
    <row r="169" spans="1:11" ht="255" hidden="1" x14ac:dyDescent="0.25">
      <c r="A169" s="22">
        <v>166</v>
      </c>
      <c r="B169" s="16" t="s">
        <v>784</v>
      </c>
      <c r="C169" s="16" t="s">
        <v>785</v>
      </c>
      <c r="D169" s="16">
        <v>2091125000</v>
      </c>
      <c r="E169" s="16">
        <v>4</v>
      </c>
      <c r="F169" s="16">
        <v>4</v>
      </c>
      <c r="G169" s="18" t="s">
        <v>108</v>
      </c>
      <c r="H169" s="16"/>
      <c r="I169" s="16" t="s">
        <v>786</v>
      </c>
      <c r="J169" s="16" t="s">
        <v>787</v>
      </c>
      <c r="K169" s="16" t="s">
        <v>788</v>
      </c>
    </row>
    <row r="170" spans="1:11" ht="225" hidden="1" x14ac:dyDescent="0.25">
      <c r="A170" s="22">
        <v>167</v>
      </c>
      <c r="B170" s="16" t="s">
        <v>789</v>
      </c>
      <c r="C170" s="16" t="s">
        <v>790</v>
      </c>
      <c r="D170" s="16">
        <v>650000000</v>
      </c>
      <c r="E170" s="16">
        <v>4</v>
      </c>
      <c r="F170" s="16">
        <v>4</v>
      </c>
      <c r="G170" s="18" t="s">
        <v>108</v>
      </c>
      <c r="H170" s="16"/>
      <c r="I170" s="16" t="s">
        <v>791</v>
      </c>
      <c r="J170" s="16" t="s">
        <v>792</v>
      </c>
      <c r="K170" s="16" t="s">
        <v>793</v>
      </c>
    </row>
    <row r="171" spans="1:11" ht="255" hidden="1" x14ac:dyDescent="0.25">
      <c r="A171" s="22">
        <v>168</v>
      </c>
      <c r="B171" s="16" t="s">
        <v>794</v>
      </c>
      <c r="C171" s="16" t="s">
        <v>795</v>
      </c>
      <c r="D171" s="16">
        <v>160000000</v>
      </c>
      <c r="E171" s="16">
        <v>4</v>
      </c>
      <c r="F171" s="16">
        <v>5</v>
      </c>
      <c r="G171" s="18" t="s">
        <v>108</v>
      </c>
      <c r="H171" s="16"/>
      <c r="I171" s="16" t="s">
        <v>751</v>
      </c>
      <c r="J171" s="16" t="s">
        <v>752</v>
      </c>
      <c r="K171" s="16" t="s">
        <v>753</v>
      </c>
    </row>
    <row r="172" spans="1:11" ht="285" hidden="1" x14ac:dyDescent="0.25">
      <c r="A172" s="22">
        <v>169</v>
      </c>
      <c r="B172" s="16" t="s">
        <v>796</v>
      </c>
      <c r="C172" s="16" t="s">
        <v>797</v>
      </c>
      <c r="D172" s="16">
        <v>11000000000</v>
      </c>
      <c r="E172" s="16">
        <v>4</v>
      </c>
      <c r="F172" s="16">
        <v>5</v>
      </c>
      <c r="G172" s="18" t="s">
        <v>108</v>
      </c>
      <c r="H172" s="16"/>
      <c r="I172" s="16" t="s">
        <v>761</v>
      </c>
      <c r="J172" s="16" t="s">
        <v>765</v>
      </c>
      <c r="K172" s="16" t="s">
        <v>753</v>
      </c>
    </row>
    <row r="173" spans="1:11" ht="285" hidden="1" x14ac:dyDescent="0.25">
      <c r="A173" s="22">
        <v>170</v>
      </c>
      <c r="B173" s="16" t="s">
        <v>798</v>
      </c>
      <c r="C173" s="16" t="s">
        <v>799</v>
      </c>
      <c r="D173" s="16">
        <v>50000000000</v>
      </c>
      <c r="E173" s="16">
        <v>4</v>
      </c>
      <c r="F173" s="16">
        <v>5</v>
      </c>
      <c r="G173" s="18" t="s">
        <v>108</v>
      </c>
      <c r="H173" s="16"/>
      <c r="I173" s="16" t="s">
        <v>761</v>
      </c>
      <c r="J173" s="16" t="s">
        <v>768</v>
      </c>
      <c r="K173" s="16" t="s">
        <v>753</v>
      </c>
    </row>
    <row r="174" spans="1:11" ht="255" hidden="1" x14ac:dyDescent="0.25">
      <c r="A174" s="22">
        <v>171</v>
      </c>
      <c r="B174" s="16" t="s">
        <v>800</v>
      </c>
      <c r="C174" s="16" t="s">
        <v>801</v>
      </c>
      <c r="D174" s="16">
        <v>1825639730</v>
      </c>
      <c r="E174" s="16">
        <v>4</v>
      </c>
      <c r="F174" s="16">
        <v>5</v>
      </c>
      <c r="G174" s="18" t="s">
        <v>108</v>
      </c>
      <c r="H174" s="16"/>
      <c r="I174" s="16" t="s">
        <v>771</v>
      </c>
      <c r="J174" s="16" t="s">
        <v>802</v>
      </c>
      <c r="K174" s="16" t="s">
        <v>803</v>
      </c>
    </row>
    <row r="175" spans="1:11" ht="285" hidden="1" x14ac:dyDescent="0.25">
      <c r="A175" s="22">
        <v>172</v>
      </c>
      <c r="B175" s="16" t="s">
        <v>804</v>
      </c>
      <c r="C175" s="16" t="s">
        <v>805</v>
      </c>
      <c r="D175" s="16">
        <v>355000000</v>
      </c>
      <c r="E175" s="16">
        <v>4</v>
      </c>
      <c r="F175" s="16">
        <v>5</v>
      </c>
      <c r="G175" s="18" t="s">
        <v>108</v>
      </c>
      <c r="H175" s="16"/>
      <c r="I175" s="16" t="s">
        <v>761</v>
      </c>
      <c r="J175" s="16" t="s">
        <v>762</v>
      </c>
      <c r="K175" s="16" t="s">
        <v>753</v>
      </c>
    </row>
    <row r="176" spans="1:11" ht="210" hidden="1" x14ac:dyDescent="0.25">
      <c r="A176" s="22">
        <v>173</v>
      </c>
      <c r="B176" s="16" t="s">
        <v>806</v>
      </c>
      <c r="C176" s="16" t="s">
        <v>807</v>
      </c>
      <c r="D176" s="16">
        <v>200000000</v>
      </c>
      <c r="E176" s="16">
        <v>4</v>
      </c>
      <c r="F176" s="16">
        <v>4</v>
      </c>
      <c r="G176" s="18" t="s">
        <v>108</v>
      </c>
      <c r="H176" s="16"/>
      <c r="I176" s="16" t="s">
        <v>771</v>
      </c>
      <c r="J176" s="16" t="s">
        <v>808</v>
      </c>
      <c r="K176" s="16" t="s">
        <v>809</v>
      </c>
    </row>
    <row r="177" spans="1:11" ht="315" hidden="1" x14ac:dyDescent="0.25">
      <c r="A177" s="22">
        <v>174</v>
      </c>
      <c r="B177" s="16" t="s">
        <v>810</v>
      </c>
      <c r="C177" s="16" t="s">
        <v>811</v>
      </c>
      <c r="D177" s="16">
        <v>800000000</v>
      </c>
      <c r="E177" s="16">
        <v>4</v>
      </c>
      <c r="F177" s="16">
        <v>4</v>
      </c>
      <c r="G177" s="18" t="s">
        <v>108</v>
      </c>
      <c r="H177" s="16"/>
      <c r="I177" s="16" t="s">
        <v>812</v>
      </c>
      <c r="J177" s="16" t="s">
        <v>813</v>
      </c>
      <c r="K177" s="16" t="s">
        <v>814</v>
      </c>
    </row>
    <row r="178" spans="1:11" ht="360" hidden="1" x14ac:dyDescent="0.25">
      <c r="A178" s="22">
        <v>175</v>
      </c>
      <c r="B178" s="16" t="s">
        <v>815</v>
      </c>
      <c r="C178" s="16" t="s">
        <v>816</v>
      </c>
      <c r="D178" s="16">
        <v>462000000</v>
      </c>
      <c r="E178" s="16">
        <v>4</v>
      </c>
      <c r="F178" s="16">
        <v>4</v>
      </c>
      <c r="G178" s="18" t="s">
        <v>108</v>
      </c>
      <c r="H178" s="16"/>
      <c r="I178" s="16" t="s">
        <v>817</v>
      </c>
      <c r="J178" s="16" t="s">
        <v>818</v>
      </c>
      <c r="K178" s="16" t="s">
        <v>819</v>
      </c>
    </row>
    <row r="179" spans="1:11" ht="360" hidden="1" x14ac:dyDescent="0.25">
      <c r="A179" s="22">
        <v>176</v>
      </c>
      <c r="B179" s="16" t="s">
        <v>820</v>
      </c>
      <c r="C179" s="16" t="s">
        <v>821</v>
      </c>
      <c r="D179" s="16">
        <v>122000000</v>
      </c>
      <c r="E179" s="16">
        <v>4</v>
      </c>
      <c r="F179" s="16">
        <v>5</v>
      </c>
      <c r="G179" s="18" t="s">
        <v>108</v>
      </c>
      <c r="H179" s="16"/>
      <c r="I179" s="16" t="s">
        <v>822</v>
      </c>
      <c r="J179" s="16" t="s">
        <v>823</v>
      </c>
      <c r="K179" s="16" t="s">
        <v>824</v>
      </c>
    </row>
    <row r="180" spans="1:11" ht="409.5" hidden="1" x14ac:dyDescent="0.25">
      <c r="A180" s="22">
        <v>177</v>
      </c>
      <c r="B180" s="16" t="s">
        <v>825</v>
      </c>
      <c r="C180" s="16" t="s">
        <v>826</v>
      </c>
      <c r="D180" s="16">
        <v>855850000</v>
      </c>
      <c r="E180" s="16">
        <v>4</v>
      </c>
      <c r="F180" s="16">
        <v>4</v>
      </c>
      <c r="G180" s="18" t="s">
        <v>108</v>
      </c>
      <c r="H180" s="16"/>
      <c r="I180" s="16" t="s">
        <v>827</v>
      </c>
      <c r="J180" s="16" t="s">
        <v>828</v>
      </c>
      <c r="K180" s="16" t="s">
        <v>829</v>
      </c>
    </row>
    <row r="181" spans="1:11" ht="375" hidden="1" x14ac:dyDescent="0.25">
      <c r="A181" s="22">
        <v>178</v>
      </c>
      <c r="B181" s="16" t="s">
        <v>830</v>
      </c>
      <c r="C181" s="16" t="s">
        <v>831</v>
      </c>
      <c r="D181" s="16">
        <v>228475000</v>
      </c>
      <c r="E181" s="16">
        <v>4</v>
      </c>
      <c r="F181" s="16">
        <v>4</v>
      </c>
      <c r="G181" s="18" t="s">
        <v>108</v>
      </c>
      <c r="H181" s="16"/>
      <c r="I181" s="16" t="s">
        <v>832</v>
      </c>
      <c r="J181" s="16" t="s">
        <v>833</v>
      </c>
      <c r="K181" s="16" t="s">
        <v>834</v>
      </c>
    </row>
    <row r="182" spans="1:11" ht="409.5" hidden="1" x14ac:dyDescent="0.25">
      <c r="A182" s="22">
        <v>179</v>
      </c>
      <c r="B182" s="16" t="s">
        <v>835</v>
      </c>
      <c r="C182" s="16" t="s">
        <v>836</v>
      </c>
      <c r="D182" s="16">
        <v>1891000000</v>
      </c>
      <c r="E182" s="16">
        <v>4</v>
      </c>
      <c r="F182" s="16">
        <v>4</v>
      </c>
      <c r="G182" s="18" t="s">
        <v>108</v>
      </c>
      <c r="H182" s="16"/>
      <c r="I182" s="16" t="s">
        <v>837</v>
      </c>
      <c r="J182" s="16" t="s">
        <v>838</v>
      </c>
      <c r="K182" s="16" t="s">
        <v>839</v>
      </c>
    </row>
    <row r="183" spans="1:11" ht="270" hidden="1" x14ac:dyDescent="0.25">
      <c r="A183" s="22">
        <v>180</v>
      </c>
      <c r="B183" s="16" t="s">
        <v>840</v>
      </c>
      <c r="C183" s="16" t="s">
        <v>841</v>
      </c>
      <c r="D183" s="16">
        <v>34629000</v>
      </c>
      <c r="E183" s="16">
        <v>4</v>
      </c>
      <c r="F183" s="16">
        <v>3</v>
      </c>
      <c r="G183" s="19" t="s">
        <v>842</v>
      </c>
      <c r="H183" s="16"/>
      <c r="I183" s="16" t="s">
        <v>843</v>
      </c>
      <c r="J183" s="16" t="s">
        <v>844</v>
      </c>
      <c r="K183" s="16" t="s">
        <v>845</v>
      </c>
    </row>
    <row r="184" spans="1:11" ht="240" hidden="1" x14ac:dyDescent="0.25">
      <c r="A184" s="22">
        <v>181</v>
      </c>
      <c r="B184" s="16" t="s">
        <v>846</v>
      </c>
      <c r="C184" s="16" t="s">
        <v>847</v>
      </c>
      <c r="D184" s="16">
        <v>12111000</v>
      </c>
      <c r="E184" s="16">
        <v>3</v>
      </c>
      <c r="F184" s="16">
        <v>5</v>
      </c>
      <c r="G184" s="19" t="s">
        <v>842</v>
      </c>
      <c r="H184" s="16"/>
      <c r="I184" s="16" t="s">
        <v>848</v>
      </c>
      <c r="J184" s="16" t="s">
        <v>849</v>
      </c>
      <c r="K184" s="16" t="s">
        <v>850</v>
      </c>
    </row>
    <row r="185" spans="1:11" ht="45" hidden="1" x14ac:dyDescent="0.25">
      <c r="A185" s="22">
        <v>182</v>
      </c>
      <c r="B185" s="16" t="s">
        <v>851</v>
      </c>
      <c r="C185" s="16" t="s">
        <v>852</v>
      </c>
      <c r="D185" s="16">
        <v>40000000</v>
      </c>
      <c r="E185" s="16">
        <v>3</v>
      </c>
      <c r="F185" s="16">
        <v>4</v>
      </c>
      <c r="G185" s="19" t="s">
        <v>842</v>
      </c>
      <c r="H185" s="16"/>
      <c r="I185" s="16"/>
      <c r="J185" s="16"/>
      <c r="K185" s="16"/>
    </row>
    <row r="186" spans="1:11" ht="180" hidden="1" x14ac:dyDescent="0.25">
      <c r="A186" s="22">
        <v>183</v>
      </c>
      <c r="B186" s="16" t="s">
        <v>853</v>
      </c>
      <c r="C186" s="16" t="s">
        <v>854</v>
      </c>
      <c r="D186" s="16">
        <v>35000000</v>
      </c>
      <c r="E186" s="16">
        <v>3</v>
      </c>
      <c r="F186" s="16">
        <v>4</v>
      </c>
      <c r="G186" s="19" t="s">
        <v>842</v>
      </c>
      <c r="H186" s="16"/>
      <c r="I186" s="16" t="s">
        <v>855</v>
      </c>
      <c r="J186" s="16" t="s">
        <v>855</v>
      </c>
      <c r="K186" s="16" t="s">
        <v>856</v>
      </c>
    </row>
    <row r="187" spans="1:11" ht="409.5" hidden="1" x14ac:dyDescent="0.25">
      <c r="A187" s="22">
        <v>184</v>
      </c>
      <c r="B187" s="16" t="s">
        <v>857</v>
      </c>
      <c r="C187" s="16" t="s">
        <v>858</v>
      </c>
      <c r="D187" s="16">
        <v>141185000</v>
      </c>
      <c r="E187" s="16">
        <v>3</v>
      </c>
      <c r="F187" s="16">
        <v>5</v>
      </c>
      <c r="G187" s="19" t="s">
        <v>842</v>
      </c>
      <c r="H187" s="16"/>
      <c r="I187" s="16" t="s">
        <v>859</v>
      </c>
      <c r="J187" s="16" t="s">
        <v>860</v>
      </c>
      <c r="K187" s="16" t="s">
        <v>861</v>
      </c>
    </row>
    <row r="188" spans="1:11" ht="195" hidden="1" x14ac:dyDescent="0.25">
      <c r="A188" s="22">
        <v>185</v>
      </c>
      <c r="B188" s="16" t="s">
        <v>862</v>
      </c>
      <c r="C188" s="16" t="s">
        <v>863</v>
      </c>
      <c r="D188" s="16">
        <v>86338000</v>
      </c>
      <c r="E188" s="16">
        <v>3</v>
      </c>
      <c r="F188" s="16">
        <v>5</v>
      </c>
      <c r="G188" s="19" t="s">
        <v>842</v>
      </c>
      <c r="H188" s="16"/>
      <c r="I188" s="16" t="s">
        <v>864</v>
      </c>
      <c r="J188" s="16" t="s">
        <v>865</v>
      </c>
      <c r="K188" s="16" t="s">
        <v>866</v>
      </c>
    </row>
    <row r="189" spans="1:11" ht="225" hidden="1" x14ac:dyDescent="0.25">
      <c r="A189" s="22">
        <v>186</v>
      </c>
      <c r="B189" s="16" t="s">
        <v>867</v>
      </c>
      <c r="C189" s="16" t="s">
        <v>868</v>
      </c>
      <c r="D189" s="16">
        <v>11780000</v>
      </c>
      <c r="E189" s="16">
        <v>3</v>
      </c>
      <c r="F189" s="16">
        <v>4</v>
      </c>
      <c r="G189" s="19" t="s">
        <v>842</v>
      </c>
      <c r="H189" s="16"/>
      <c r="I189" s="16" t="s">
        <v>869</v>
      </c>
      <c r="J189" s="16" t="s">
        <v>870</v>
      </c>
      <c r="K189" s="16" t="s">
        <v>871</v>
      </c>
    </row>
    <row r="190" spans="1:11" ht="270" hidden="1" x14ac:dyDescent="0.25">
      <c r="A190" s="22">
        <v>187</v>
      </c>
      <c r="B190" s="16" t="s">
        <v>872</v>
      </c>
      <c r="C190" s="16" t="s">
        <v>873</v>
      </c>
      <c r="D190" s="16">
        <v>12500000</v>
      </c>
      <c r="E190" s="16">
        <v>3</v>
      </c>
      <c r="F190" s="16">
        <v>4</v>
      </c>
      <c r="G190" s="19" t="s">
        <v>842</v>
      </c>
      <c r="H190" s="16"/>
      <c r="I190" s="16" t="s">
        <v>874</v>
      </c>
      <c r="J190" s="16" t="s">
        <v>875</v>
      </c>
      <c r="K190" s="16" t="s">
        <v>876</v>
      </c>
    </row>
    <row r="191" spans="1:11" ht="255" hidden="1" x14ac:dyDescent="0.25">
      <c r="A191" s="22">
        <v>188</v>
      </c>
      <c r="B191" s="16" t="s">
        <v>877</v>
      </c>
      <c r="C191" s="16" t="s">
        <v>878</v>
      </c>
      <c r="D191" s="16">
        <v>9300000</v>
      </c>
      <c r="E191" s="16">
        <v>4</v>
      </c>
      <c r="F191" s="16">
        <v>3</v>
      </c>
      <c r="G191" s="19" t="s">
        <v>842</v>
      </c>
      <c r="H191" s="16"/>
      <c r="I191" s="16" t="s">
        <v>879</v>
      </c>
      <c r="J191" s="16" t="s">
        <v>880</v>
      </c>
      <c r="K191" s="16" t="s">
        <v>881</v>
      </c>
    </row>
    <row r="192" spans="1:11" ht="255" hidden="1" x14ac:dyDescent="0.25">
      <c r="A192" s="22">
        <v>189</v>
      </c>
      <c r="B192" s="16" t="s">
        <v>882</v>
      </c>
      <c r="C192" s="16" t="s">
        <v>883</v>
      </c>
      <c r="D192" s="16">
        <v>8980000</v>
      </c>
      <c r="E192" s="16">
        <v>4</v>
      </c>
      <c r="F192" s="16">
        <v>3</v>
      </c>
      <c r="G192" s="19" t="s">
        <v>842</v>
      </c>
      <c r="H192" s="16"/>
      <c r="I192" s="16" t="s">
        <v>884</v>
      </c>
      <c r="J192" s="16" t="s">
        <v>885</v>
      </c>
      <c r="K192" s="16" t="s">
        <v>886</v>
      </c>
    </row>
    <row r="193" spans="1:11" ht="240" hidden="1" x14ac:dyDescent="0.25">
      <c r="A193" s="22">
        <v>190</v>
      </c>
      <c r="B193" s="16" t="s">
        <v>887</v>
      </c>
      <c r="C193" s="16" t="s">
        <v>888</v>
      </c>
      <c r="D193" s="16">
        <v>91456000</v>
      </c>
      <c r="E193" s="16">
        <v>3</v>
      </c>
      <c r="F193" s="16">
        <v>5</v>
      </c>
      <c r="G193" s="19" t="s">
        <v>842</v>
      </c>
      <c r="H193" s="16"/>
      <c r="I193" s="16" t="s">
        <v>889</v>
      </c>
      <c r="J193" s="16" t="s">
        <v>890</v>
      </c>
      <c r="K193" s="16" t="s">
        <v>891</v>
      </c>
    </row>
    <row r="194" spans="1:11" ht="210" hidden="1" x14ac:dyDescent="0.25">
      <c r="A194" s="22">
        <v>191</v>
      </c>
      <c r="B194" s="16" t="s">
        <v>892</v>
      </c>
      <c r="C194" s="16" t="s">
        <v>893</v>
      </c>
      <c r="D194" s="16">
        <v>8839000</v>
      </c>
      <c r="E194" s="16">
        <v>4</v>
      </c>
      <c r="F194" s="16">
        <v>3</v>
      </c>
      <c r="G194" s="19" t="s">
        <v>842</v>
      </c>
      <c r="H194" s="16"/>
      <c r="I194" s="16" t="s">
        <v>894</v>
      </c>
      <c r="J194" s="16" t="s">
        <v>895</v>
      </c>
      <c r="K194" s="16" t="s">
        <v>896</v>
      </c>
    </row>
    <row r="195" spans="1:11" ht="240" hidden="1" x14ac:dyDescent="0.25">
      <c r="A195" s="22">
        <v>192</v>
      </c>
      <c r="B195" s="16" t="s">
        <v>897</v>
      </c>
      <c r="C195" s="16" t="s">
        <v>898</v>
      </c>
      <c r="D195" s="16">
        <v>15550000</v>
      </c>
      <c r="E195" s="16">
        <v>4</v>
      </c>
      <c r="F195" s="16">
        <v>3</v>
      </c>
      <c r="G195" s="19" t="s">
        <v>842</v>
      </c>
      <c r="H195" s="16"/>
      <c r="I195" s="16" t="s">
        <v>899</v>
      </c>
      <c r="J195" s="16" t="s">
        <v>900</v>
      </c>
      <c r="K195" s="16" t="s">
        <v>901</v>
      </c>
    </row>
    <row r="196" spans="1:11" ht="285" hidden="1" x14ac:dyDescent="0.25">
      <c r="A196" s="22">
        <v>193</v>
      </c>
      <c r="B196" s="16" t="s">
        <v>902</v>
      </c>
      <c r="C196" s="16" t="s">
        <v>903</v>
      </c>
      <c r="D196" s="16">
        <v>29851000</v>
      </c>
      <c r="E196" s="16">
        <v>3</v>
      </c>
      <c r="F196" s="16">
        <v>5</v>
      </c>
      <c r="G196" s="19" t="s">
        <v>842</v>
      </c>
      <c r="H196" s="16"/>
      <c r="I196" s="16" t="s">
        <v>904</v>
      </c>
      <c r="J196" s="16" t="s">
        <v>905</v>
      </c>
      <c r="K196" s="16" t="s">
        <v>906</v>
      </c>
    </row>
    <row r="197" spans="1:11" ht="270" hidden="1" x14ac:dyDescent="0.25">
      <c r="A197" s="22">
        <v>194</v>
      </c>
      <c r="B197" s="16" t="s">
        <v>907</v>
      </c>
      <c r="C197" s="16" t="s">
        <v>908</v>
      </c>
      <c r="D197" s="16">
        <v>99073750</v>
      </c>
      <c r="E197" s="16">
        <v>3</v>
      </c>
      <c r="F197" s="16">
        <v>5</v>
      </c>
      <c r="G197" s="19" t="s">
        <v>842</v>
      </c>
      <c r="H197" s="16"/>
      <c r="I197" s="16" t="s">
        <v>909</v>
      </c>
      <c r="J197" s="16" t="s">
        <v>910</v>
      </c>
      <c r="K197" s="16" t="s">
        <v>911</v>
      </c>
    </row>
    <row r="198" spans="1:11" ht="225" hidden="1" x14ac:dyDescent="0.25">
      <c r="A198" s="22">
        <v>195</v>
      </c>
      <c r="B198" s="16" t="s">
        <v>912</v>
      </c>
      <c r="C198" s="16" t="s">
        <v>913</v>
      </c>
      <c r="D198" s="16">
        <v>9500000</v>
      </c>
      <c r="E198" s="16">
        <v>4</v>
      </c>
      <c r="F198" s="16">
        <v>3</v>
      </c>
      <c r="G198" s="19" t="s">
        <v>842</v>
      </c>
      <c r="H198" s="16"/>
      <c r="I198" s="16" t="s">
        <v>914</v>
      </c>
      <c r="J198" s="16" t="s">
        <v>915</v>
      </c>
      <c r="K198" s="16" t="s">
        <v>916</v>
      </c>
    </row>
    <row r="199" spans="1:11" ht="270" hidden="1" x14ac:dyDescent="0.25">
      <c r="A199" s="22">
        <v>196</v>
      </c>
      <c r="B199" s="16" t="s">
        <v>917</v>
      </c>
      <c r="C199" s="16" t="s">
        <v>918</v>
      </c>
      <c r="D199" s="16">
        <v>17975000</v>
      </c>
      <c r="E199" s="16">
        <v>3</v>
      </c>
      <c r="F199" s="16">
        <v>4</v>
      </c>
      <c r="G199" s="19" t="s">
        <v>842</v>
      </c>
      <c r="H199" s="16"/>
      <c r="I199" s="16" t="s">
        <v>919</v>
      </c>
      <c r="J199" s="16" t="s">
        <v>920</v>
      </c>
      <c r="K199" s="16" t="s">
        <v>921</v>
      </c>
    </row>
    <row r="200" spans="1:11" ht="255" hidden="1" x14ac:dyDescent="0.25">
      <c r="A200" s="22">
        <v>197</v>
      </c>
      <c r="B200" s="16" t="s">
        <v>922</v>
      </c>
      <c r="C200" s="16" t="s">
        <v>923</v>
      </c>
      <c r="D200" s="16">
        <v>17869000</v>
      </c>
      <c r="E200" s="16">
        <v>3</v>
      </c>
      <c r="F200" s="16">
        <v>4</v>
      </c>
      <c r="G200" s="19" t="s">
        <v>842</v>
      </c>
      <c r="H200" s="16"/>
      <c r="I200" s="16" t="s">
        <v>924</v>
      </c>
      <c r="J200" s="16" t="s">
        <v>925</v>
      </c>
      <c r="K200" s="16" t="s">
        <v>926</v>
      </c>
    </row>
    <row r="201" spans="1:11" ht="270" hidden="1" x14ac:dyDescent="0.25">
      <c r="A201" s="22">
        <v>198</v>
      </c>
      <c r="B201" s="16" t="s">
        <v>927</v>
      </c>
      <c r="C201" s="16" t="s">
        <v>928</v>
      </c>
      <c r="D201" s="16">
        <v>19425000</v>
      </c>
      <c r="E201" s="16">
        <v>3</v>
      </c>
      <c r="F201" s="16">
        <v>5</v>
      </c>
      <c r="G201" s="19" t="s">
        <v>842</v>
      </c>
      <c r="H201" s="16"/>
      <c r="I201" s="16" t="s">
        <v>929</v>
      </c>
      <c r="J201" s="16" t="s">
        <v>930</v>
      </c>
      <c r="K201" s="16" t="s">
        <v>931</v>
      </c>
    </row>
    <row r="202" spans="1:11" ht="345" hidden="1" x14ac:dyDescent="0.25">
      <c r="A202" s="22">
        <v>199</v>
      </c>
      <c r="B202" s="16" t="s">
        <v>932</v>
      </c>
      <c r="C202" s="16" t="s">
        <v>933</v>
      </c>
      <c r="D202" s="16">
        <v>7000000</v>
      </c>
      <c r="E202" s="16">
        <v>3</v>
      </c>
      <c r="F202" s="16">
        <v>4</v>
      </c>
      <c r="G202" s="19" t="s">
        <v>842</v>
      </c>
      <c r="H202" s="16"/>
      <c r="I202" s="16" t="s">
        <v>934</v>
      </c>
      <c r="J202" s="16" t="s">
        <v>935</v>
      </c>
      <c r="K202" s="16" t="s">
        <v>936</v>
      </c>
    </row>
    <row r="203" spans="1:11" ht="300" hidden="1" x14ac:dyDescent="0.25">
      <c r="A203" s="22">
        <v>200</v>
      </c>
      <c r="B203" s="16" t="s">
        <v>937</v>
      </c>
      <c r="C203" s="16" t="s">
        <v>938</v>
      </c>
      <c r="D203" s="16">
        <v>44400000</v>
      </c>
      <c r="E203" s="16">
        <v>3</v>
      </c>
      <c r="F203" s="16">
        <v>5</v>
      </c>
      <c r="G203" s="19" t="s">
        <v>842</v>
      </c>
      <c r="H203" s="16"/>
      <c r="I203" s="16" t="s">
        <v>939</v>
      </c>
      <c r="J203" s="16" t="s">
        <v>940</v>
      </c>
      <c r="K203" s="16" t="s">
        <v>941</v>
      </c>
    </row>
    <row r="204" spans="1:11" ht="240" hidden="1" x14ac:dyDescent="0.25">
      <c r="A204" s="22">
        <v>201</v>
      </c>
      <c r="B204" s="16" t="s">
        <v>942</v>
      </c>
      <c r="C204" s="16" t="s">
        <v>943</v>
      </c>
      <c r="D204" s="16">
        <v>84857582</v>
      </c>
      <c r="E204" s="16">
        <v>4</v>
      </c>
      <c r="F204" s="16">
        <v>3</v>
      </c>
      <c r="G204" s="19" t="s">
        <v>842</v>
      </c>
      <c r="H204" s="16"/>
      <c r="I204" s="16" t="s">
        <v>944</v>
      </c>
      <c r="J204" s="16" t="s">
        <v>945</v>
      </c>
      <c r="K204" s="16" t="s">
        <v>946</v>
      </c>
    </row>
    <row r="205" spans="1:11" ht="360" hidden="1" x14ac:dyDescent="0.25">
      <c r="A205" s="22">
        <v>202</v>
      </c>
      <c r="B205" s="16" t="s">
        <v>947</v>
      </c>
      <c r="C205" s="16" t="s">
        <v>948</v>
      </c>
      <c r="D205" s="16">
        <v>8214000</v>
      </c>
      <c r="E205" s="16">
        <v>3</v>
      </c>
      <c r="F205" s="16">
        <v>4</v>
      </c>
      <c r="G205" s="19" t="s">
        <v>842</v>
      </c>
      <c r="H205" s="16"/>
      <c r="I205" s="16" t="s">
        <v>949</v>
      </c>
      <c r="J205" s="16" t="s">
        <v>950</v>
      </c>
      <c r="K205" s="16" t="s">
        <v>951</v>
      </c>
    </row>
    <row r="206" spans="1:11" ht="225" hidden="1" x14ac:dyDescent="0.25">
      <c r="A206" s="22">
        <v>203</v>
      </c>
      <c r="B206" s="16" t="s">
        <v>952</v>
      </c>
      <c r="C206" s="16" t="s">
        <v>953</v>
      </c>
      <c r="D206" s="16">
        <v>9500000</v>
      </c>
      <c r="E206" s="16">
        <v>4</v>
      </c>
      <c r="F206" s="16">
        <v>3</v>
      </c>
      <c r="G206" s="19" t="s">
        <v>842</v>
      </c>
      <c r="H206" s="16"/>
      <c r="I206" s="16" t="s">
        <v>914</v>
      </c>
      <c r="J206" s="16" t="s">
        <v>915</v>
      </c>
      <c r="K206" s="16" t="s">
        <v>916</v>
      </c>
    </row>
    <row r="207" spans="1:11" ht="285" hidden="1" x14ac:dyDescent="0.25">
      <c r="A207" s="22">
        <v>204</v>
      </c>
      <c r="B207" s="16" t="s">
        <v>954</v>
      </c>
      <c r="C207" s="16" t="s">
        <v>955</v>
      </c>
      <c r="D207" s="16">
        <v>19475000</v>
      </c>
      <c r="E207" s="16">
        <v>4</v>
      </c>
      <c r="F207" s="16">
        <v>3</v>
      </c>
      <c r="G207" s="19" t="s">
        <v>842</v>
      </c>
      <c r="H207" s="16"/>
      <c r="I207" s="16" t="s">
        <v>956</v>
      </c>
      <c r="J207" s="16" t="s">
        <v>957</v>
      </c>
      <c r="K207" s="16" t="s">
        <v>958</v>
      </c>
    </row>
    <row r="208" spans="1:11" ht="270" hidden="1" x14ac:dyDescent="0.25">
      <c r="A208" s="22">
        <v>205</v>
      </c>
      <c r="B208" s="16" t="s">
        <v>959</v>
      </c>
      <c r="C208" s="16" t="s">
        <v>960</v>
      </c>
      <c r="D208" s="16">
        <v>15000000</v>
      </c>
      <c r="E208" s="16">
        <v>3</v>
      </c>
      <c r="F208" s="16">
        <v>4</v>
      </c>
      <c r="G208" s="19" t="s">
        <v>842</v>
      </c>
      <c r="H208" s="16"/>
      <c r="I208" s="16" t="s">
        <v>919</v>
      </c>
      <c r="J208" s="16" t="s">
        <v>920</v>
      </c>
      <c r="K208" s="16" t="s">
        <v>921</v>
      </c>
    </row>
    <row r="209" spans="1:11" ht="409.5" hidden="1" x14ac:dyDescent="0.25">
      <c r="A209" s="22">
        <v>206</v>
      </c>
      <c r="B209" s="16" t="s">
        <v>961</v>
      </c>
      <c r="C209" s="16" t="s">
        <v>962</v>
      </c>
      <c r="D209" s="16">
        <v>15190000</v>
      </c>
      <c r="E209" s="16">
        <v>3</v>
      </c>
      <c r="F209" s="16">
        <v>5</v>
      </c>
      <c r="G209" s="19" t="s">
        <v>842</v>
      </c>
      <c r="H209" s="16"/>
      <c r="I209" s="16" t="s">
        <v>963</v>
      </c>
      <c r="J209" s="16" t="s">
        <v>964</v>
      </c>
      <c r="K209" s="16" t="s">
        <v>965</v>
      </c>
    </row>
    <row r="210" spans="1:11" ht="315" hidden="1" x14ac:dyDescent="0.25">
      <c r="A210" s="22">
        <v>207</v>
      </c>
      <c r="B210" s="16" t="s">
        <v>966</v>
      </c>
      <c r="C210" s="16" t="s">
        <v>967</v>
      </c>
      <c r="D210" s="16">
        <v>20320000</v>
      </c>
      <c r="E210" s="16">
        <v>3</v>
      </c>
      <c r="F210" s="16">
        <v>5</v>
      </c>
      <c r="G210" s="19" t="s">
        <v>842</v>
      </c>
      <c r="H210" s="16"/>
      <c r="I210" s="16" t="s">
        <v>968</v>
      </c>
      <c r="J210" s="16" t="s">
        <v>969</v>
      </c>
      <c r="K210" s="16" t="s">
        <v>970</v>
      </c>
    </row>
    <row r="211" spans="1:11" ht="285" hidden="1" x14ac:dyDescent="0.25">
      <c r="A211" s="22">
        <v>208</v>
      </c>
      <c r="B211" s="16" t="s">
        <v>971</v>
      </c>
      <c r="C211" s="16" t="s">
        <v>972</v>
      </c>
      <c r="D211" s="16">
        <v>12650000</v>
      </c>
      <c r="E211" s="16">
        <v>3</v>
      </c>
      <c r="F211" s="16">
        <v>5</v>
      </c>
      <c r="G211" s="19" t="s">
        <v>842</v>
      </c>
      <c r="H211" s="16"/>
      <c r="I211" s="16" t="s">
        <v>973</v>
      </c>
      <c r="J211" s="16" t="s">
        <v>974</v>
      </c>
      <c r="K211" s="16" t="s">
        <v>975</v>
      </c>
    </row>
    <row r="212" spans="1:11" ht="409.5" hidden="1" x14ac:dyDescent="0.25">
      <c r="A212" s="22">
        <v>209</v>
      </c>
      <c r="B212" s="16" t="s">
        <v>976</v>
      </c>
      <c r="C212" s="16" t="s">
        <v>977</v>
      </c>
      <c r="D212" s="16">
        <v>29490000</v>
      </c>
      <c r="E212" s="16">
        <v>3</v>
      </c>
      <c r="F212" s="16">
        <v>4</v>
      </c>
      <c r="G212" s="19" t="s">
        <v>842</v>
      </c>
      <c r="H212" s="16"/>
      <c r="I212" s="16" t="s">
        <v>978</v>
      </c>
      <c r="J212" s="16" t="s">
        <v>979</v>
      </c>
      <c r="K212" s="16" t="s">
        <v>980</v>
      </c>
    </row>
    <row r="213" spans="1:11" ht="409.5" hidden="1" x14ac:dyDescent="0.25">
      <c r="A213" s="22">
        <v>210</v>
      </c>
      <c r="B213" s="16" t="s">
        <v>981</v>
      </c>
      <c r="C213" s="16" t="s">
        <v>982</v>
      </c>
      <c r="D213" s="16">
        <v>14170000</v>
      </c>
      <c r="E213" s="16">
        <v>3</v>
      </c>
      <c r="F213" s="16">
        <v>4</v>
      </c>
      <c r="G213" s="19" t="s">
        <v>842</v>
      </c>
      <c r="H213" s="16"/>
      <c r="I213" s="16" t="s">
        <v>983</v>
      </c>
      <c r="J213" s="16" t="s">
        <v>984</v>
      </c>
      <c r="K213" s="16" t="s">
        <v>985</v>
      </c>
    </row>
    <row r="214" spans="1:11" ht="270" hidden="1" x14ac:dyDescent="0.25">
      <c r="A214" s="22">
        <v>211</v>
      </c>
      <c r="B214" s="16" t="s">
        <v>986</v>
      </c>
      <c r="C214" s="16" t="s">
        <v>987</v>
      </c>
      <c r="D214" s="16">
        <v>37625000</v>
      </c>
      <c r="E214" s="16">
        <v>4</v>
      </c>
      <c r="F214" s="16">
        <v>3</v>
      </c>
      <c r="G214" s="19" t="s">
        <v>842</v>
      </c>
      <c r="H214" s="16"/>
      <c r="I214" s="16" t="s">
        <v>988</v>
      </c>
      <c r="J214" s="16" t="s">
        <v>989</v>
      </c>
      <c r="K214" s="16" t="s">
        <v>990</v>
      </c>
    </row>
    <row r="215" spans="1:11" ht="409.5" hidden="1" x14ac:dyDescent="0.25">
      <c r="A215" s="22">
        <v>212</v>
      </c>
      <c r="B215" s="16" t="s">
        <v>991</v>
      </c>
      <c r="C215" s="16" t="s">
        <v>992</v>
      </c>
      <c r="D215" s="16">
        <v>14170000</v>
      </c>
      <c r="E215" s="16">
        <v>3</v>
      </c>
      <c r="F215" s="16">
        <v>4</v>
      </c>
      <c r="G215" s="19" t="s">
        <v>842</v>
      </c>
      <c r="H215" s="16"/>
      <c r="I215" s="16" t="s">
        <v>983</v>
      </c>
      <c r="J215" s="16" t="s">
        <v>984</v>
      </c>
      <c r="K215" s="16" t="s">
        <v>985</v>
      </c>
    </row>
    <row r="216" spans="1:11" ht="270" hidden="1" x14ac:dyDescent="0.25">
      <c r="A216" s="22">
        <v>213</v>
      </c>
      <c r="B216" s="16" t="s">
        <v>993</v>
      </c>
      <c r="C216" s="16" t="s">
        <v>994</v>
      </c>
      <c r="D216" s="16">
        <v>220470000</v>
      </c>
      <c r="E216" s="16">
        <v>3</v>
      </c>
      <c r="F216" s="16">
        <v>5</v>
      </c>
      <c r="G216" s="19" t="s">
        <v>842</v>
      </c>
      <c r="H216" s="16"/>
      <c r="I216" s="16" t="s">
        <v>909</v>
      </c>
      <c r="J216" s="16" t="s">
        <v>910</v>
      </c>
      <c r="K216" s="16" t="s">
        <v>911</v>
      </c>
    </row>
    <row r="217" spans="1:11" ht="195" hidden="1" x14ac:dyDescent="0.25">
      <c r="A217" s="22">
        <v>214</v>
      </c>
      <c r="B217" s="16" t="s">
        <v>995</v>
      </c>
      <c r="C217" s="16" t="s">
        <v>996</v>
      </c>
      <c r="D217" s="16">
        <v>7795000</v>
      </c>
      <c r="E217" s="16">
        <v>3</v>
      </c>
      <c r="F217" s="16">
        <v>5</v>
      </c>
      <c r="G217" s="19" t="s">
        <v>842</v>
      </c>
      <c r="H217" s="16"/>
      <c r="I217" s="16" t="s">
        <v>129</v>
      </c>
      <c r="J217" s="16" t="s">
        <v>997</v>
      </c>
      <c r="K217" s="16" t="s">
        <v>998</v>
      </c>
    </row>
    <row r="218" spans="1:11" ht="240" hidden="1" x14ac:dyDescent="0.25">
      <c r="A218" s="22">
        <v>215</v>
      </c>
      <c r="B218" s="16" t="s">
        <v>999</v>
      </c>
      <c r="C218" s="16" t="s">
        <v>1000</v>
      </c>
      <c r="D218" s="16">
        <v>12714000</v>
      </c>
      <c r="E218" s="16">
        <v>4</v>
      </c>
      <c r="F218" s="16">
        <v>3</v>
      </c>
      <c r="G218" s="19" t="s">
        <v>842</v>
      </c>
      <c r="H218" s="16"/>
      <c r="I218" s="16" t="s">
        <v>1001</v>
      </c>
      <c r="J218" s="16" t="s">
        <v>1002</v>
      </c>
      <c r="K218" s="16" t="s">
        <v>1003</v>
      </c>
    </row>
    <row r="219" spans="1:11" ht="225" hidden="1" x14ac:dyDescent="0.25">
      <c r="A219" s="22">
        <v>216</v>
      </c>
      <c r="B219" s="16" t="s">
        <v>1004</v>
      </c>
      <c r="C219" s="16" t="s">
        <v>1005</v>
      </c>
      <c r="D219" s="16">
        <v>9500000</v>
      </c>
      <c r="E219" s="16">
        <v>4</v>
      </c>
      <c r="F219" s="16">
        <v>3</v>
      </c>
      <c r="G219" s="19" t="s">
        <v>842</v>
      </c>
      <c r="H219" s="16"/>
      <c r="I219" s="16" t="s">
        <v>1006</v>
      </c>
      <c r="J219" s="16" t="s">
        <v>915</v>
      </c>
      <c r="K219" s="16" t="s">
        <v>916</v>
      </c>
    </row>
    <row r="220" spans="1:11" ht="255" hidden="1" x14ac:dyDescent="0.25">
      <c r="A220" s="22">
        <v>217</v>
      </c>
      <c r="B220" s="16" t="s">
        <v>1007</v>
      </c>
      <c r="C220" s="16" t="s">
        <v>1008</v>
      </c>
      <c r="D220" s="16">
        <v>11235000</v>
      </c>
      <c r="E220" s="16">
        <v>3</v>
      </c>
      <c r="F220" s="16">
        <v>4</v>
      </c>
      <c r="G220" s="19" t="s">
        <v>842</v>
      </c>
      <c r="H220" s="16"/>
      <c r="I220" s="16" t="s">
        <v>1009</v>
      </c>
      <c r="J220" s="16" t="s">
        <v>1010</v>
      </c>
      <c r="K220" s="16" t="s">
        <v>1011</v>
      </c>
    </row>
    <row r="221" spans="1:11" ht="240" hidden="1" x14ac:dyDescent="0.25">
      <c r="A221" s="22">
        <v>218</v>
      </c>
      <c r="B221" s="16" t="s">
        <v>1012</v>
      </c>
      <c r="C221" s="16" t="s">
        <v>1013</v>
      </c>
      <c r="D221" s="16">
        <v>7695000</v>
      </c>
      <c r="E221" s="16">
        <v>4</v>
      </c>
      <c r="F221" s="16">
        <v>3</v>
      </c>
      <c r="G221" s="19" t="s">
        <v>842</v>
      </c>
      <c r="H221" s="16"/>
      <c r="I221" s="16" t="s">
        <v>1014</v>
      </c>
      <c r="J221" s="16" t="s">
        <v>1015</v>
      </c>
      <c r="K221" s="16" t="s">
        <v>1016</v>
      </c>
    </row>
    <row r="222" spans="1:11" ht="240" hidden="1" x14ac:dyDescent="0.25">
      <c r="A222" s="22">
        <v>219</v>
      </c>
      <c r="B222" s="16" t="s">
        <v>1017</v>
      </c>
      <c r="C222" s="16" t="s">
        <v>1018</v>
      </c>
      <c r="D222" s="16">
        <v>41310000</v>
      </c>
      <c r="E222" s="16">
        <v>3</v>
      </c>
      <c r="F222" s="16">
        <v>4</v>
      </c>
      <c r="G222" s="19" t="s">
        <v>842</v>
      </c>
      <c r="H222" s="16"/>
      <c r="I222" s="16" t="s">
        <v>1019</v>
      </c>
      <c r="J222" s="16" t="s">
        <v>1020</v>
      </c>
      <c r="K222" s="16" t="s">
        <v>1021</v>
      </c>
    </row>
    <row r="223" spans="1:11" ht="285" hidden="1" x14ac:dyDescent="0.25">
      <c r="A223" s="22">
        <v>220</v>
      </c>
      <c r="B223" s="16" t="s">
        <v>1022</v>
      </c>
      <c r="C223" s="16" t="s">
        <v>1023</v>
      </c>
      <c r="D223" s="16">
        <v>23580000</v>
      </c>
      <c r="E223" s="16">
        <v>4</v>
      </c>
      <c r="F223" s="16">
        <v>3</v>
      </c>
      <c r="G223" s="19" t="s">
        <v>842</v>
      </c>
      <c r="H223" s="16"/>
      <c r="I223" s="16" t="s">
        <v>1024</v>
      </c>
      <c r="J223" s="16" t="s">
        <v>1025</v>
      </c>
      <c r="K223" s="16" t="s">
        <v>1026</v>
      </c>
    </row>
    <row r="224" spans="1:11" ht="255" hidden="1" x14ac:dyDescent="0.25">
      <c r="A224" s="22">
        <v>221</v>
      </c>
      <c r="B224" s="16" t="s">
        <v>1027</v>
      </c>
      <c r="C224" s="16" t="s">
        <v>1028</v>
      </c>
      <c r="D224" s="16">
        <v>10620000</v>
      </c>
      <c r="E224" s="16">
        <v>4</v>
      </c>
      <c r="F224" s="16">
        <v>3</v>
      </c>
      <c r="G224" s="19" t="s">
        <v>842</v>
      </c>
      <c r="H224" s="16"/>
      <c r="I224" s="16" t="s">
        <v>1029</v>
      </c>
      <c r="J224" s="16" t="s">
        <v>1030</v>
      </c>
      <c r="K224" s="16" t="s">
        <v>1031</v>
      </c>
    </row>
    <row r="225" spans="1:11" ht="285" hidden="1" x14ac:dyDescent="0.25">
      <c r="A225" s="22">
        <v>222</v>
      </c>
      <c r="B225" s="16" t="s">
        <v>1032</v>
      </c>
      <c r="C225" s="16" t="s">
        <v>1033</v>
      </c>
      <c r="D225" s="16">
        <v>15160000</v>
      </c>
      <c r="E225" s="16">
        <v>3</v>
      </c>
      <c r="F225" s="16">
        <v>5</v>
      </c>
      <c r="G225" s="19" t="s">
        <v>842</v>
      </c>
      <c r="H225" s="16"/>
      <c r="I225" s="16" t="s">
        <v>1034</v>
      </c>
      <c r="J225" s="16" t="s">
        <v>1035</v>
      </c>
      <c r="K225" s="16" t="s">
        <v>131</v>
      </c>
    </row>
    <row r="226" spans="1:11" ht="195" hidden="1" x14ac:dyDescent="0.25">
      <c r="A226" s="22">
        <v>223</v>
      </c>
      <c r="B226" s="16" t="s">
        <v>1036</v>
      </c>
      <c r="C226" s="16" t="s">
        <v>1037</v>
      </c>
      <c r="D226" s="16">
        <v>18080000</v>
      </c>
      <c r="E226" s="16">
        <v>3</v>
      </c>
      <c r="F226" s="16">
        <v>5</v>
      </c>
      <c r="G226" s="19" t="s">
        <v>842</v>
      </c>
      <c r="H226" s="16"/>
      <c r="I226" s="16" t="s">
        <v>129</v>
      </c>
      <c r="J226" s="16" t="s">
        <v>997</v>
      </c>
      <c r="K226" s="16" t="s">
        <v>998</v>
      </c>
    </row>
    <row r="227" spans="1:11" ht="195" hidden="1" x14ac:dyDescent="0.25">
      <c r="A227" s="22">
        <v>224</v>
      </c>
      <c r="B227" s="16" t="s">
        <v>1038</v>
      </c>
      <c r="C227" s="16" t="s">
        <v>1039</v>
      </c>
      <c r="D227" s="16">
        <v>9760000</v>
      </c>
      <c r="E227" s="16">
        <v>4</v>
      </c>
      <c r="F227" s="16">
        <v>3</v>
      </c>
      <c r="G227" s="19" t="s">
        <v>842</v>
      </c>
      <c r="H227" s="16"/>
      <c r="I227" s="16" t="s">
        <v>1034</v>
      </c>
      <c r="J227" s="16" t="s">
        <v>1040</v>
      </c>
      <c r="K227" s="16" t="s">
        <v>1041</v>
      </c>
    </row>
    <row r="228" spans="1:11" ht="240" hidden="1" x14ac:dyDescent="0.25">
      <c r="A228" s="22">
        <v>225</v>
      </c>
      <c r="B228" s="16" t="s">
        <v>1042</v>
      </c>
      <c r="C228" s="16" t="s">
        <v>1043</v>
      </c>
      <c r="D228" s="16">
        <v>46919000</v>
      </c>
      <c r="E228" s="16">
        <v>3</v>
      </c>
      <c r="F228" s="16">
        <v>4</v>
      </c>
      <c r="G228" s="19" t="s">
        <v>842</v>
      </c>
      <c r="H228" s="16"/>
      <c r="I228" s="16" t="s">
        <v>899</v>
      </c>
      <c r="J228" s="16" t="s">
        <v>900</v>
      </c>
      <c r="K228" s="16" t="s">
        <v>901</v>
      </c>
    </row>
    <row r="229" spans="1:11" ht="210" hidden="1" x14ac:dyDescent="0.25">
      <c r="A229" s="22">
        <v>226</v>
      </c>
      <c r="B229" s="16" t="s">
        <v>1044</v>
      </c>
      <c r="C229" s="16" t="s">
        <v>1045</v>
      </c>
      <c r="D229" s="16">
        <v>19320000</v>
      </c>
      <c r="E229" s="16">
        <v>3</v>
      </c>
      <c r="F229" s="16">
        <v>5</v>
      </c>
      <c r="G229" s="19" t="s">
        <v>842</v>
      </c>
      <c r="H229" s="16"/>
      <c r="I229" s="16" t="s">
        <v>124</v>
      </c>
      <c r="J229" s="16" t="s">
        <v>1046</v>
      </c>
      <c r="K229" s="16" t="s">
        <v>1047</v>
      </c>
    </row>
    <row r="230" spans="1:11" ht="270" hidden="1" x14ac:dyDescent="0.25">
      <c r="A230" s="22">
        <v>227</v>
      </c>
      <c r="B230" s="16" t="s">
        <v>1048</v>
      </c>
      <c r="C230" s="16" t="s">
        <v>1049</v>
      </c>
      <c r="D230" s="16">
        <v>16125000</v>
      </c>
      <c r="E230" s="16">
        <v>3</v>
      </c>
      <c r="F230" s="16">
        <v>5</v>
      </c>
      <c r="G230" s="19" t="s">
        <v>842</v>
      </c>
      <c r="H230" s="16"/>
      <c r="I230" s="16" t="s">
        <v>1050</v>
      </c>
      <c r="J230" s="16" t="s">
        <v>1051</v>
      </c>
      <c r="K230" s="16" t="s">
        <v>1052</v>
      </c>
    </row>
    <row r="231" spans="1:11" ht="225" hidden="1" x14ac:dyDescent="0.25">
      <c r="A231" s="22">
        <v>228</v>
      </c>
      <c r="B231" s="16" t="s">
        <v>1053</v>
      </c>
      <c r="C231" s="16" t="s">
        <v>1054</v>
      </c>
      <c r="D231" s="16">
        <v>11610000</v>
      </c>
      <c r="E231" s="16">
        <v>3</v>
      </c>
      <c r="F231" s="16">
        <v>5</v>
      </c>
      <c r="G231" s="19" t="s">
        <v>842</v>
      </c>
      <c r="H231" s="16"/>
      <c r="I231" s="16" t="s">
        <v>1055</v>
      </c>
      <c r="J231" s="16" t="s">
        <v>1056</v>
      </c>
      <c r="K231" s="16" t="s">
        <v>1057</v>
      </c>
    </row>
    <row r="232" spans="1:11" ht="225" hidden="1" x14ac:dyDescent="0.25">
      <c r="A232" s="22">
        <v>229</v>
      </c>
      <c r="B232" s="16" t="s">
        <v>1058</v>
      </c>
      <c r="C232" s="16" t="s">
        <v>1059</v>
      </c>
      <c r="D232" s="16">
        <v>3548000</v>
      </c>
      <c r="E232" s="16">
        <v>3</v>
      </c>
      <c r="F232" s="16">
        <v>5</v>
      </c>
      <c r="G232" s="19" t="s">
        <v>842</v>
      </c>
      <c r="H232" s="16"/>
      <c r="I232" s="16" t="s">
        <v>1060</v>
      </c>
      <c r="J232" s="16" t="s">
        <v>1061</v>
      </c>
      <c r="K232" s="16" t="s">
        <v>1062</v>
      </c>
    </row>
    <row r="233" spans="1:11" ht="315" hidden="1" x14ac:dyDescent="0.25">
      <c r="A233" s="22">
        <v>230</v>
      </c>
      <c r="B233" s="16" t="s">
        <v>1063</v>
      </c>
      <c r="C233" s="16" t="s">
        <v>1064</v>
      </c>
      <c r="D233" s="16">
        <v>44400000</v>
      </c>
      <c r="E233" s="16">
        <v>3</v>
      </c>
      <c r="F233" s="16">
        <v>5</v>
      </c>
      <c r="G233" s="19" t="s">
        <v>842</v>
      </c>
      <c r="H233" s="16"/>
      <c r="I233" s="16" t="s">
        <v>939</v>
      </c>
      <c r="J233" s="16" t="s">
        <v>1065</v>
      </c>
      <c r="K233" s="16" t="s">
        <v>941</v>
      </c>
    </row>
    <row r="234" spans="1:11" ht="345" hidden="1" x14ac:dyDescent="0.25">
      <c r="A234" s="22">
        <v>231</v>
      </c>
      <c r="B234" s="16" t="s">
        <v>1066</v>
      </c>
      <c r="C234" s="16" t="s">
        <v>1067</v>
      </c>
      <c r="D234" s="16">
        <v>7000000</v>
      </c>
      <c r="E234" s="16">
        <v>3</v>
      </c>
      <c r="F234" s="16">
        <v>4</v>
      </c>
      <c r="G234" s="19" t="s">
        <v>842</v>
      </c>
      <c r="H234" s="16"/>
      <c r="I234" s="16" t="s">
        <v>1068</v>
      </c>
      <c r="J234" s="16" t="s">
        <v>935</v>
      </c>
      <c r="K234" s="16" t="s">
        <v>936</v>
      </c>
    </row>
    <row r="235" spans="1:11" ht="300" hidden="1" x14ac:dyDescent="0.25">
      <c r="A235" s="22">
        <v>232</v>
      </c>
      <c r="B235" s="16" t="s">
        <v>1069</v>
      </c>
      <c r="C235" s="16" t="s">
        <v>1070</v>
      </c>
      <c r="D235" s="16">
        <v>7000000</v>
      </c>
      <c r="E235" s="16">
        <v>3</v>
      </c>
      <c r="F235" s="16">
        <v>5</v>
      </c>
      <c r="G235" s="19" t="s">
        <v>842</v>
      </c>
      <c r="H235" s="16"/>
      <c r="I235" s="16" t="s">
        <v>1071</v>
      </c>
      <c r="J235" s="16" t="s">
        <v>1072</v>
      </c>
      <c r="K235" s="16" t="s">
        <v>1073</v>
      </c>
    </row>
    <row r="236" spans="1:11" ht="315" hidden="1" x14ac:dyDescent="0.25">
      <c r="A236" s="22">
        <v>233</v>
      </c>
      <c r="B236" s="16" t="s">
        <v>1074</v>
      </c>
      <c r="C236" s="16" t="s">
        <v>1075</v>
      </c>
      <c r="D236" s="16">
        <v>10244000</v>
      </c>
      <c r="E236" s="16">
        <v>3</v>
      </c>
      <c r="F236" s="16">
        <v>4</v>
      </c>
      <c r="G236" s="19" t="s">
        <v>842</v>
      </c>
      <c r="H236" s="16"/>
      <c r="I236" s="16" t="s">
        <v>1076</v>
      </c>
      <c r="J236" s="16" t="s">
        <v>1077</v>
      </c>
      <c r="K236" s="16" t="s">
        <v>1078</v>
      </c>
    </row>
    <row r="237" spans="1:11" ht="315" hidden="1" x14ac:dyDescent="0.25">
      <c r="A237" s="22">
        <v>234</v>
      </c>
      <c r="B237" s="16" t="s">
        <v>1079</v>
      </c>
      <c r="C237" s="16" t="s">
        <v>1080</v>
      </c>
      <c r="D237" s="16">
        <v>5902000</v>
      </c>
      <c r="E237" s="16">
        <v>4</v>
      </c>
      <c r="F237" s="16">
        <v>3</v>
      </c>
      <c r="G237" s="19" t="s">
        <v>842</v>
      </c>
      <c r="H237" s="16"/>
      <c r="I237" s="16" t="s">
        <v>1081</v>
      </c>
      <c r="J237" s="16" t="s">
        <v>1082</v>
      </c>
      <c r="K237" s="16" t="s">
        <v>1083</v>
      </c>
    </row>
    <row r="238" spans="1:11" ht="315" hidden="1" x14ac:dyDescent="0.25">
      <c r="A238" s="22">
        <v>235</v>
      </c>
      <c r="B238" s="16" t="s">
        <v>1084</v>
      </c>
      <c r="C238" s="16" t="s">
        <v>1085</v>
      </c>
      <c r="D238" s="16">
        <v>4740400</v>
      </c>
      <c r="E238" s="16">
        <v>4</v>
      </c>
      <c r="F238" s="16">
        <v>3</v>
      </c>
      <c r="G238" s="19" t="s">
        <v>842</v>
      </c>
      <c r="H238" s="16"/>
      <c r="I238" s="16" t="s">
        <v>1086</v>
      </c>
      <c r="J238" s="16" t="s">
        <v>1087</v>
      </c>
      <c r="K238" s="16" t="s">
        <v>1088</v>
      </c>
    </row>
    <row r="239" spans="1:11" ht="300" hidden="1" x14ac:dyDescent="0.25">
      <c r="A239" s="22">
        <v>236</v>
      </c>
      <c r="B239" s="16" t="s">
        <v>1089</v>
      </c>
      <c r="C239" s="16" t="s">
        <v>1090</v>
      </c>
      <c r="D239" s="16">
        <v>5260000</v>
      </c>
      <c r="E239" s="16">
        <v>3</v>
      </c>
      <c r="F239" s="16">
        <v>5</v>
      </c>
      <c r="G239" s="19" t="s">
        <v>842</v>
      </c>
      <c r="H239" s="16"/>
      <c r="I239" s="16" t="s">
        <v>1091</v>
      </c>
      <c r="J239" s="16" t="s">
        <v>1092</v>
      </c>
      <c r="K239" s="16" t="s">
        <v>1093</v>
      </c>
    </row>
    <row r="240" spans="1:11" ht="409.5" hidden="1" x14ac:dyDescent="0.25">
      <c r="A240" s="22">
        <v>237</v>
      </c>
      <c r="B240" s="16" t="s">
        <v>1094</v>
      </c>
      <c r="C240" s="16" t="s">
        <v>1095</v>
      </c>
      <c r="D240" s="16">
        <v>37471000</v>
      </c>
      <c r="E240" s="16">
        <v>3</v>
      </c>
      <c r="F240" s="16">
        <v>4</v>
      </c>
      <c r="G240" s="19" t="s">
        <v>842</v>
      </c>
      <c r="H240" s="16"/>
      <c r="I240" s="16" t="s">
        <v>1096</v>
      </c>
      <c r="J240" s="16" t="s">
        <v>1097</v>
      </c>
      <c r="K240" s="16" t="s">
        <v>1098</v>
      </c>
    </row>
    <row r="241" spans="1:11" ht="375" hidden="1" x14ac:dyDescent="0.25">
      <c r="A241" s="22">
        <v>238</v>
      </c>
      <c r="B241" s="16" t="s">
        <v>1099</v>
      </c>
      <c r="C241" s="16" t="s">
        <v>1100</v>
      </c>
      <c r="D241" s="16">
        <v>2500000</v>
      </c>
      <c r="E241" s="16">
        <v>3</v>
      </c>
      <c r="F241" s="16">
        <v>4</v>
      </c>
      <c r="G241" s="19" t="s">
        <v>842</v>
      </c>
      <c r="H241" s="16"/>
      <c r="I241" s="16" t="s">
        <v>1101</v>
      </c>
      <c r="J241" s="16" t="s">
        <v>1102</v>
      </c>
      <c r="K241" s="16" t="s">
        <v>1103</v>
      </c>
    </row>
    <row r="242" spans="1:11" ht="375" hidden="1" x14ac:dyDescent="0.25">
      <c r="A242" s="22">
        <v>239</v>
      </c>
      <c r="B242" s="16" t="s">
        <v>1104</v>
      </c>
      <c r="C242" s="16" t="s">
        <v>1105</v>
      </c>
      <c r="D242" s="16">
        <v>2500000</v>
      </c>
      <c r="E242" s="16">
        <v>3</v>
      </c>
      <c r="F242" s="16">
        <v>4</v>
      </c>
      <c r="G242" s="19" t="s">
        <v>842</v>
      </c>
      <c r="H242" s="16"/>
      <c r="I242" s="16" t="s">
        <v>1101</v>
      </c>
      <c r="J242" s="16" t="s">
        <v>1102</v>
      </c>
      <c r="K242" s="16" t="s">
        <v>1103</v>
      </c>
    </row>
    <row r="243" spans="1:11" ht="375" hidden="1" x14ac:dyDescent="0.25">
      <c r="A243" s="22">
        <v>240</v>
      </c>
      <c r="B243" s="16" t="s">
        <v>1106</v>
      </c>
      <c r="C243" s="16" t="s">
        <v>1107</v>
      </c>
      <c r="D243" s="16">
        <v>2500000</v>
      </c>
      <c r="E243" s="16">
        <v>3</v>
      </c>
      <c r="F243" s="16">
        <v>4</v>
      </c>
      <c r="G243" s="19" t="s">
        <v>842</v>
      </c>
      <c r="H243" s="16"/>
      <c r="I243" s="16" t="s">
        <v>1101</v>
      </c>
      <c r="J243" s="16" t="s">
        <v>1102</v>
      </c>
      <c r="K243" s="16" t="s">
        <v>1103</v>
      </c>
    </row>
    <row r="244" spans="1:11" ht="195" hidden="1" x14ac:dyDescent="0.25">
      <c r="A244" s="22">
        <v>241</v>
      </c>
      <c r="B244" s="16" t="s">
        <v>1108</v>
      </c>
      <c r="C244" s="16" t="s">
        <v>1109</v>
      </c>
      <c r="D244" s="16">
        <v>25787000</v>
      </c>
      <c r="E244" s="16">
        <v>3</v>
      </c>
      <c r="F244" s="16">
        <v>4</v>
      </c>
      <c r="G244" s="19" t="s">
        <v>842</v>
      </c>
      <c r="H244" s="16"/>
      <c r="I244" s="16" t="s">
        <v>1110</v>
      </c>
      <c r="J244" s="16" t="s">
        <v>1111</v>
      </c>
      <c r="K244" s="16" t="s">
        <v>1112</v>
      </c>
    </row>
    <row r="245" spans="1:11" ht="270" hidden="1" x14ac:dyDescent="0.25">
      <c r="A245" s="22">
        <v>242</v>
      </c>
      <c r="B245" s="16" t="s">
        <v>1113</v>
      </c>
      <c r="C245" s="16" t="s">
        <v>1114</v>
      </c>
      <c r="D245" s="16">
        <v>166500000</v>
      </c>
      <c r="E245" s="16">
        <v>3</v>
      </c>
      <c r="F245" s="16">
        <v>5</v>
      </c>
      <c r="G245" s="19" t="s">
        <v>842</v>
      </c>
      <c r="H245" s="16"/>
      <c r="I245" s="16" t="s">
        <v>364</v>
      </c>
      <c r="J245" s="16" t="s">
        <v>1115</v>
      </c>
      <c r="K245" s="16" t="s">
        <v>1116</v>
      </c>
    </row>
    <row r="246" spans="1:11" ht="315" hidden="1" x14ac:dyDescent="0.25">
      <c r="A246" s="22">
        <v>243</v>
      </c>
      <c r="B246" s="16" t="s">
        <v>1117</v>
      </c>
      <c r="C246" s="16" t="s">
        <v>1118</v>
      </c>
      <c r="D246" s="16">
        <v>45000000</v>
      </c>
      <c r="E246" s="16">
        <v>3</v>
      </c>
      <c r="F246" s="16">
        <v>5</v>
      </c>
      <c r="G246" s="19" t="s">
        <v>842</v>
      </c>
      <c r="H246" s="16"/>
      <c r="I246" s="16" t="s">
        <v>1119</v>
      </c>
      <c r="J246" s="16" t="s">
        <v>1120</v>
      </c>
      <c r="K246" s="16" t="s">
        <v>1121</v>
      </c>
    </row>
    <row r="247" spans="1:11" ht="270" hidden="1" x14ac:dyDescent="0.25">
      <c r="A247" s="22">
        <v>244</v>
      </c>
      <c r="B247" s="16" t="s">
        <v>1122</v>
      </c>
      <c r="C247" s="16" t="s">
        <v>1123</v>
      </c>
      <c r="D247" s="16">
        <v>15840431</v>
      </c>
      <c r="E247" s="16">
        <v>3</v>
      </c>
      <c r="F247" s="16">
        <v>5</v>
      </c>
      <c r="G247" s="19" t="s">
        <v>842</v>
      </c>
      <c r="H247" s="16"/>
      <c r="I247" s="16" t="s">
        <v>380</v>
      </c>
      <c r="J247" s="16" t="s">
        <v>910</v>
      </c>
      <c r="K247" s="16" t="s">
        <v>1124</v>
      </c>
    </row>
    <row r="248" spans="1:11" ht="255" hidden="1" x14ac:dyDescent="0.25">
      <c r="A248" s="22">
        <v>245</v>
      </c>
      <c r="B248" s="16" t="s">
        <v>1125</v>
      </c>
      <c r="C248" s="16" t="s">
        <v>1126</v>
      </c>
      <c r="D248" s="16">
        <v>116925000</v>
      </c>
      <c r="E248" s="16">
        <v>3</v>
      </c>
      <c r="F248" s="16">
        <v>5</v>
      </c>
      <c r="G248" s="19" t="s">
        <v>842</v>
      </c>
      <c r="H248" s="16"/>
      <c r="I248" s="16" t="s">
        <v>1127</v>
      </c>
      <c r="J248" s="16" t="s">
        <v>1128</v>
      </c>
      <c r="K248" s="16" t="s">
        <v>1129</v>
      </c>
    </row>
    <row r="249" spans="1:11" ht="300" hidden="1" x14ac:dyDescent="0.25">
      <c r="A249" s="22">
        <v>246</v>
      </c>
      <c r="B249" s="16" t="s">
        <v>1130</v>
      </c>
      <c r="C249" s="16" t="s">
        <v>1131</v>
      </c>
      <c r="D249" s="16">
        <v>35251500</v>
      </c>
      <c r="E249" s="16">
        <v>4</v>
      </c>
      <c r="F249" s="16">
        <v>3</v>
      </c>
      <c r="G249" s="19" t="s">
        <v>842</v>
      </c>
      <c r="H249" s="16"/>
      <c r="I249" s="16" t="s">
        <v>1132</v>
      </c>
      <c r="J249" s="16" t="s">
        <v>1133</v>
      </c>
      <c r="K249" s="16" t="s">
        <v>1134</v>
      </c>
    </row>
    <row r="250" spans="1:11" ht="300" hidden="1" x14ac:dyDescent="0.25">
      <c r="A250" s="22">
        <v>247</v>
      </c>
      <c r="B250" s="16" t="s">
        <v>1135</v>
      </c>
      <c r="C250" s="16" t="s">
        <v>1136</v>
      </c>
      <c r="D250" s="16">
        <v>48646932</v>
      </c>
      <c r="E250" s="16">
        <v>4</v>
      </c>
      <c r="F250" s="16">
        <v>3</v>
      </c>
      <c r="G250" s="19" t="s">
        <v>842</v>
      </c>
      <c r="H250" s="16"/>
      <c r="I250" s="16" t="s">
        <v>1132</v>
      </c>
      <c r="J250" s="16" t="s">
        <v>1133</v>
      </c>
      <c r="K250" s="16" t="s">
        <v>1134</v>
      </c>
    </row>
    <row r="251" spans="1:11" ht="225" hidden="1" x14ac:dyDescent="0.25">
      <c r="A251" s="22">
        <v>248</v>
      </c>
      <c r="B251" s="16" t="s">
        <v>1137</v>
      </c>
      <c r="C251" s="16" t="s">
        <v>1138</v>
      </c>
      <c r="D251" s="16">
        <v>31210000</v>
      </c>
      <c r="E251" s="16">
        <v>3</v>
      </c>
      <c r="F251" s="16">
        <v>4</v>
      </c>
      <c r="G251" s="19" t="s">
        <v>842</v>
      </c>
      <c r="H251" s="16"/>
      <c r="I251" s="16" t="s">
        <v>1139</v>
      </c>
      <c r="J251" s="16" t="s">
        <v>1140</v>
      </c>
      <c r="K251" s="16" t="s">
        <v>1141</v>
      </c>
    </row>
    <row r="252" spans="1:11" ht="240" hidden="1" x14ac:dyDescent="0.25">
      <c r="A252" s="22">
        <v>249</v>
      </c>
      <c r="B252" s="16" t="s">
        <v>1142</v>
      </c>
      <c r="C252" s="16" t="s">
        <v>1143</v>
      </c>
      <c r="D252" s="16">
        <v>174227900</v>
      </c>
      <c r="E252" s="16">
        <v>4</v>
      </c>
      <c r="F252" s="16">
        <v>3</v>
      </c>
      <c r="G252" s="19" t="s">
        <v>842</v>
      </c>
      <c r="H252" s="16"/>
      <c r="I252" s="16" t="s">
        <v>1132</v>
      </c>
      <c r="J252" s="16" t="s">
        <v>945</v>
      </c>
      <c r="K252" s="16" t="s">
        <v>1134</v>
      </c>
    </row>
    <row r="253" spans="1:11" ht="240" hidden="1" x14ac:dyDescent="0.25">
      <c r="A253" s="22">
        <v>250</v>
      </c>
      <c r="B253" s="16" t="s">
        <v>1144</v>
      </c>
      <c r="C253" s="16" t="s">
        <v>1145</v>
      </c>
      <c r="D253" s="16">
        <v>117016100</v>
      </c>
      <c r="E253" s="16">
        <v>4</v>
      </c>
      <c r="F253" s="16">
        <v>3</v>
      </c>
      <c r="G253" s="19" t="s">
        <v>842</v>
      </c>
      <c r="H253" s="16"/>
      <c r="I253" s="16" t="s">
        <v>1132</v>
      </c>
      <c r="J253" s="16" t="s">
        <v>1146</v>
      </c>
      <c r="K253" s="16" t="s">
        <v>1134</v>
      </c>
    </row>
    <row r="254" spans="1:11" ht="240" hidden="1" x14ac:dyDescent="0.25">
      <c r="A254" s="22">
        <v>251</v>
      </c>
      <c r="B254" s="16" t="s">
        <v>1147</v>
      </c>
      <c r="C254" s="16" t="s">
        <v>1148</v>
      </c>
      <c r="D254" s="16">
        <v>180804889</v>
      </c>
      <c r="E254" s="16">
        <v>4</v>
      </c>
      <c r="F254" s="16">
        <v>3</v>
      </c>
      <c r="G254" s="19" t="s">
        <v>842</v>
      </c>
      <c r="H254" s="16"/>
      <c r="I254" s="16" t="s">
        <v>1132</v>
      </c>
      <c r="J254" s="16" t="s">
        <v>1149</v>
      </c>
      <c r="K254" s="16" t="s">
        <v>1134</v>
      </c>
    </row>
    <row r="255" spans="1:11" ht="225" hidden="1" x14ac:dyDescent="0.25">
      <c r="A255" s="22">
        <v>252</v>
      </c>
      <c r="B255" s="16" t="s">
        <v>1150</v>
      </c>
      <c r="C255" s="16" t="s">
        <v>1151</v>
      </c>
      <c r="D255" s="16">
        <v>93891740</v>
      </c>
      <c r="E255" s="16">
        <v>4</v>
      </c>
      <c r="F255" s="16">
        <v>3</v>
      </c>
      <c r="G255" s="19" t="s">
        <v>842</v>
      </c>
      <c r="H255" s="16"/>
      <c r="I255" s="16" t="s">
        <v>1132</v>
      </c>
      <c r="J255" s="16" t="s">
        <v>1152</v>
      </c>
      <c r="K255" s="16" t="s">
        <v>1134</v>
      </c>
    </row>
    <row r="256" spans="1:11" ht="225" hidden="1" x14ac:dyDescent="0.25">
      <c r="A256" s="22">
        <v>253</v>
      </c>
      <c r="B256" s="16" t="s">
        <v>1153</v>
      </c>
      <c r="C256" s="16" t="s">
        <v>1154</v>
      </c>
      <c r="D256" s="16">
        <v>95253000</v>
      </c>
      <c r="E256" s="16">
        <v>4</v>
      </c>
      <c r="F256" s="16">
        <v>3</v>
      </c>
      <c r="G256" s="19" t="s">
        <v>842</v>
      </c>
      <c r="H256" s="16"/>
      <c r="I256" s="16" t="s">
        <v>1132</v>
      </c>
      <c r="J256" s="16" t="s">
        <v>1155</v>
      </c>
      <c r="K256" s="16" t="s">
        <v>1134</v>
      </c>
    </row>
    <row r="257" spans="1:11" ht="240" hidden="1" x14ac:dyDescent="0.25">
      <c r="A257" s="22">
        <v>254</v>
      </c>
      <c r="B257" s="16" t="s">
        <v>1156</v>
      </c>
      <c r="C257" s="16" t="s">
        <v>1157</v>
      </c>
      <c r="D257" s="16">
        <v>160332000</v>
      </c>
      <c r="E257" s="16">
        <v>4</v>
      </c>
      <c r="F257" s="16">
        <v>3</v>
      </c>
      <c r="G257" s="19" t="s">
        <v>842</v>
      </c>
      <c r="H257" s="16"/>
      <c r="I257" s="16" t="s">
        <v>1132</v>
      </c>
      <c r="J257" s="16" t="s">
        <v>1158</v>
      </c>
      <c r="K257" s="16" t="s">
        <v>1134</v>
      </c>
    </row>
    <row r="258" spans="1:11" ht="210" hidden="1" x14ac:dyDescent="0.25">
      <c r="A258" s="22">
        <v>255</v>
      </c>
      <c r="B258" s="16" t="s">
        <v>1159</v>
      </c>
      <c r="C258" s="16" t="s">
        <v>1160</v>
      </c>
      <c r="D258" s="16">
        <v>29366800</v>
      </c>
      <c r="E258" s="16">
        <v>4</v>
      </c>
      <c r="F258" s="16">
        <v>3</v>
      </c>
      <c r="G258" s="19" t="s">
        <v>842</v>
      </c>
      <c r="H258" s="16"/>
      <c r="I258" s="16" t="s">
        <v>1161</v>
      </c>
      <c r="J258" s="16" t="s">
        <v>1162</v>
      </c>
      <c r="K258" s="16" t="s">
        <v>1163</v>
      </c>
    </row>
    <row r="259" spans="1:11" ht="315" hidden="1" x14ac:dyDescent="0.25">
      <c r="A259" s="22">
        <v>256</v>
      </c>
      <c r="B259" s="16" t="s">
        <v>1164</v>
      </c>
      <c r="C259" s="16" t="s">
        <v>1165</v>
      </c>
      <c r="D259" s="16">
        <v>132110000</v>
      </c>
      <c r="E259" s="16">
        <v>3</v>
      </c>
      <c r="F259" s="16">
        <v>4</v>
      </c>
      <c r="G259" s="19" t="s">
        <v>842</v>
      </c>
      <c r="H259" s="16"/>
      <c r="I259" s="16" t="s">
        <v>1166</v>
      </c>
      <c r="J259" s="16" t="s">
        <v>1167</v>
      </c>
      <c r="K259" s="16" t="s">
        <v>1168</v>
      </c>
    </row>
    <row r="260" spans="1:11" ht="180" hidden="1" x14ac:dyDescent="0.25">
      <c r="A260" s="22">
        <v>257</v>
      </c>
      <c r="B260" s="16" t="s">
        <v>1169</v>
      </c>
      <c r="C260" s="16" t="s">
        <v>1170</v>
      </c>
      <c r="D260" s="16">
        <v>55335000</v>
      </c>
      <c r="E260" s="16">
        <v>4</v>
      </c>
      <c r="F260" s="16">
        <v>3</v>
      </c>
      <c r="G260" s="19" t="s">
        <v>842</v>
      </c>
      <c r="H260" s="16"/>
      <c r="I260" s="16" t="s">
        <v>426</v>
      </c>
      <c r="J260" s="16" t="s">
        <v>1171</v>
      </c>
      <c r="K260" s="16" t="s">
        <v>1172</v>
      </c>
    </row>
    <row r="261" spans="1:11" ht="330" hidden="1" x14ac:dyDescent="0.25">
      <c r="A261" s="22">
        <v>258</v>
      </c>
      <c r="B261" s="16" t="s">
        <v>1173</v>
      </c>
      <c r="C261" s="16" t="s">
        <v>1174</v>
      </c>
      <c r="D261" s="16">
        <v>12455000</v>
      </c>
      <c r="E261" s="16">
        <v>3</v>
      </c>
      <c r="F261" s="16">
        <v>5</v>
      </c>
      <c r="G261" s="19" t="s">
        <v>842</v>
      </c>
      <c r="H261" s="16"/>
      <c r="I261" s="16" t="s">
        <v>1175</v>
      </c>
      <c r="J261" s="16" t="s">
        <v>1176</v>
      </c>
      <c r="K261" s="16" t="s">
        <v>1177</v>
      </c>
    </row>
    <row r="262" spans="1:11" ht="330" hidden="1" x14ac:dyDescent="0.25">
      <c r="A262" s="22">
        <v>259</v>
      </c>
      <c r="B262" s="16" t="s">
        <v>1178</v>
      </c>
      <c r="C262" s="16" t="s">
        <v>1179</v>
      </c>
      <c r="D262" s="16">
        <v>23715000</v>
      </c>
      <c r="E262" s="16">
        <v>3</v>
      </c>
      <c r="F262" s="16">
        <v>5</v>
      </c>
      <c r="G262" s="19" t="s">
        <v>842</v>
      </c>
      <c r="H262" s="16"/>
      <c r="I262" s="16" t="s">
        <v>1175</v>
      </c>
      <c r="J262" s="16" t="s">
        <v>1176</v>
      </c>
      <c r="K262" s="16" t="s">
        <v>1180</v>
      </c>
    </row>
    <row r="263" spans="1:11" ht="195" hidden="1" x14ac:dyDescent="0.25">
      <c r="A263" s="22">
        <v>260</v>
      </c>
      <c r="B263" s="16" t="s">
        <v>1181</v>
      </c>
      <c r="C263" s="16" t="s">
        <v>1182</v>
      </c>
      <c r="D263" s="16">
        <v>13275000</v>
      </c>
      <c r="E263" s="16">
        <v>3</v>
      </c>
      <c r="F263" s="16">
        <v>5</v>
      </c>
      <c r="G263" s="19" t="s">
        <v>842</v>
      </c>
      <c r="H263" s="16"/>
      <c r="I263" s="16" t="s">
        <v>1183</v>
      </c>
      <c r="J263" s="16" t="s">
        <v>1184</v>
      </c>
      <c r="K263" s="16" t="s">
        <v>1185</v>
      </c>
    </row>
    <row r="264" spans="1:11" ht="285" hidden="1" x14ac:dyDescent="0.25">
      <c r="A264" s="22">
        <v>261</v>
      </c>
      <c r="B264" s="16" t="s">
        <v>1186</v>
      </c>
      <c r="C264" s="16" t="s">
        <v>1187</v>
      </c>
      <c r="D264" s="16">
        <v>14000000</v>
      </c>
      <c r="E264" s="16">
        <v>3</v>
      </c>
      <c r="F264" s="16">
        <v>5</v>
      </c>
      <c r="G264" s="19" t="s">
        <v>842</v>
      </c>
      <c r="H264" s="16"/>
      <c r="I264" s="16" t="s">
        <v>1188</v>
      </c>
      <c r="J264" s="16" t="s">
        <v>1189</v>
      </c>
      <c r="K264" s="16" t="s">
        <v>1190</v>
      </c>
    </row>
    <row r="265" spans="1:11" ht="180" hidden="1" x14ac:dyDescent="0.25">
      <c r="A265" s="22">
        <v>262</v>
      </c>
      <c r="B265" s="16" t="s">
        <v>1191</v>
      </c>
      <c r="C265" s="16" t="s">
        <v>1192</v>
      </c>
      <c r="D265" s="16">
        <v>7443000</v>
      </c>
      <c r="E265" s="16">
        <v>3</v>
      </c>
      <c r="F265" s="16">
        <v>5</v>
      </c>
      <c r="G265" s="19" t="s">
        <v>842</v>
      </c>
      <c r="H265" s="16"/>
      <c r="I265" s="16" t="s">
        <v>1193</v>
      </c>
      <c r="J265" s="16" t="s">
        <v>1194</v>
      </c>
      <c r="K265" s="16" t="s">
        <v>1195</v>
      </c>
    </row>
    <row r="266" spans="1:11" ht="255" hidden="1" x14ac:dyDescent="0.25">
      <c r="A266" s="22">
        <v>263</v>
      </c>
      <c r="B266" s="16" t="s">
        <v>1196</v>
      </c>
      <c r="C266" s="16" t="s">
        <v>1197</v>
      </c>
      <c r="D266" s="16">
        <v>30870000</v>
      </c>
      <c r="E266" s="16">
        <v>4</v>
      </c>
      <c r="F266" s="16">
        <v>3</v>
      </c>
      <c r="G266" s="19" t="s">
        <v>842</v>
      </c>
      <c r="H266" s="16"/>
      <c r="I266" s="16" t="s">
        <v>1198</v>
      </c>
      <c r="J266" s="16" t="s">
        <v>1199</v>
      </c>
      <c r="K266" s="16" t="s">
        <v>1200</v>
      </c>
    </row>
    <row r="267" spans="1:11" ht="210" hidden="1" x14ac:dyDescent="0.25">
      <c r="A267" s="22">
        <v>264</v>
      </c>
      <c r="B267" s="16" t="s">
        <v>1201</v>
      </c>
      <c r="C267" s="16" t="s">
        <v>1202</v>
      </c>
      <c r="D267" s="16">
        <v>15180000</v>
      </c>
      <c r="E267" s="16">
        <v>4</v>
      </c>
      <c r="F267" s="16">
        <v>3</v>
      </c>
      <c r="G267" s="19" t="s">
        <v>842</v>
      </c>
      <c r="H267" s="16"/>
      <c r="I267" s="16" t="s">
        <v>1203</v>
      </c>
      <c r="J267" s="16" t="s">
        <v>1204</v>
      </c>
      <c r="K267" s="16" t="s">
        <v>1205</v>
      </c>
    </row>
    <row r="268" spans="1:11" ht="195" hidden="1" x14ac:dyDescent="0.25">
      <c r="A268" s="22">
        <v>265</v>
      </c>
      <c r="B268" s="16" t="s">
        <v>1206</v>
      </c>
      <c r="C268" s="16" t="s">
        <v>1207</v>
      </c>
      <c r="D268" s="16">
        <v>92195000</v>
      </c>
      <c r="E268" s="16">
        <v>4</v>
      </c>
      <c r="F268" s="16">
        <v>3</v>
      </c>
      <c r="G268" s="19" t="s">
        <v>842</v>
      </c>
      <c r="H268" s="16"/>
      <c r="I268" s="16" t="s">
        <v>1208</v>
      </c>
      <c r="J268" s="16" t="s">
        <v>1209</v>
      </c>
      <c r="K268" s="16" t="s">
        <v>1210</v>
      </c>
    </row>
    <row r="269" spans="1:11" ht="195" hidden="1" x14ac:dyDescent="0.25">
      <c r="A269" s="22">
        <v>266</v>
      </c>
      <c r="B269" s="16" t="s">
        <v>1211</v>
      </c>
      <c r="C269" s="16" t="s">
        <v>1212</v>
      </c>
      <c r="D269" s="16">
        <v>23395000</v>
      </c>
      <c r="E269" s="16">
        <v>4</v>
      </c>
      <c r="F269" s="16">
        <v>3</v>
      </c>
      <c r="G269" s="19" t="s">
        <v>842</v>
      </c>
      <c r="H269" s="16"/>
      <c r="I269" s="16" t="s">
        <v>1213</v>
      </c>
      <c r="J269" s="16" t="s">
        <v>1214</v>
      </c>
      <c r="K269" s="16" t="s">
        <v>1215</v>
      </c>
    </row>
    <row r="270" spans="1:11" ht="315" hidden="1" x14ac:dyDescent="0.25">
      <c r="A270" s="22">
        <v>267</v>
      </c>
      <c r="B270" s="16" t="s">
        <v>1216</v>
      </c>
      <c r="C270" s="16" t="s">
        <v>1217</v>
      </c>
      <c r="D270" s="16">
        <v>81516900</v>
      </c>
      <c r="E270" s="16">
        <v>5</v>
      </c>
      <c r="F270" s="16">
        <v>3</v>
      </c>
      <c r="G270" s="19" t="s">
        <v>842</v>
      </c>
      <c r="H270" s="16"/>
      <c r="I270" s="16" t="s">
        <v>1218</v>
      </c>
      <c r="J270" s="16" t="s">
        <v>1219</v>
      </c>
      <c r="K270" s="16" t="s">
        <v>1220</v>
      </c>
    </row>
    <row r="271" spans="1:11" ht="240" hidden="1" x14ac:dyDescent="0.25">
      <c r="A271" s="22">
        <v>268</v>
      </c>
      <c r="B271" s="16" t="s">
        <v>1221</v>
      </c>
      <c r="C271" s="16" t="s">
        <v>1222</v>
      </c>
      <c r="D271" s="16">
        <v>174974000</v>
      </c>
      <c r="E271" s="16">
        <v>5</v>
      </c>
      <c r="F271" s="16">
        <v>3</v>
      </c>
      <c r="G271" s="19" t="s">
        <v>842</v>
      </c>
      <c r="H271" s="16"/>
      <c r="I271" s="16" t="s">
        <v>1223</v>
      </c>
      <c r="J271" s="16" t="s">
        <v>1224</v>
      </c>
      <c r="K271" s="16" t="s">
        <v>1225</v>
      </c>
    </row>
    <row r="272" spans="1:11" ht="360" hidden="1" x14ac:dyDescent="0.25">
      <c r="A272" s="22">
        <v>269</v>
      </c>
      <c r="B272" s="16" t="s">
        <v>1226</v>
      </c>
      <c r="C272" s="16" t="s">
        <v>1227</v>
      </c>
      <c r="D272" s="16">
        <v>63157000</v>
      </c>
      <c r="E272" s="16">
        <v>5</v>
      </c>
      <c r="F272" s="16">
        <v>3</v>
      </c>
      <c r="G272" s="19" t="s">
        <v>842</v>
      </c>
      <c r="H272" s="16"/>
      <c r="I272" s="16" t="s">
        <v>1228</v>
      </c>
      <c r="J272" s="16" t="s">
        <v>1229</v>
      </c>
      <c r="K272" s="16" t="s">
        <v>1230</v>
      </c>
    </row>
    <row r="273" spans="1:11" ht="285" hidden="1" x14ac:dyDescent="0.25">
      <c r="A273" s="22">
        <v>270</v>
      </c>
      <c r="B273" s="16" t="s">
        <v>1231</v>
      </c>
      <c r="C273" s="16" t="s">
        <v>1232</v>
      </c>
      <c r="D273" s="16">
        <v>124925000</v>
      </c>
      <c r="E273" s="16">
        <v>5</v>
      </c>
      <c r="F273" s="16">
        <v>3</v>
      </c>
      <c r="G273" s="19" t="s">
        <v>842</v>
      </c>
      <c r="H273" s="16"/>
      <c r="I273" s="16" t="s">
        <v>1233</v>
      </c>
      <c r="J273" s="16" t="s">
        <v>1234</v>
      </c>
      <c r="K273" s="16" t="s">
        <v>1235</v>
      </c>
    </row>
    <row r="274" spans="1:11" ht="210" hidden="1" x14ac:dyDescent="0.25">
      <c r="A274" s="22">
        <v>271</v>
      </c>
      <c r="B274" s="16" t="s">
        <v>1236</v>
      </c>
      <c r="C274" s="16" t="s">
        <v>1237</v>
      </c>
      <c r="D274" s="16">
        <v>53885000</v>
      </c>
      <c r="E274" s="16">
        <v>4</v>
      </c>
      <c r="F274" s="16">
        <v>3</v>
      </c>
      <c r="G274" s="19" t="s">
        <v>842</v>
      </c>
      <c r="H274" s="16"/>
      <c r="I274" s="16" t="s">
        <v>1238</v>
      </c>
      <c r="J274" s="16" t="s">
        <v>1239</v>
      </c>
      <c r="K274" s="16" t="s">
        <v>1240</v>
      </c>
    </row>
    <row r="275" spans="1:11" ht="285" hidden="1" x14ac:dyDescent="0.25">
      <c r="A275" s="22">
        <v>272</v>
      </c>
      <c r="B275" s="16" t="s">
        <v>1241</v>
      </c>
      <c r="C275" s="16" t="s">
        <v>1242</v>
      </c>
      <c r="D275" s="16">
        <v>100200000</v>
      </c>
      <c r="E275" s="16">
        <v>5</v>
      </c>
      <c r="F275" s="16">
        <v>3</v>
      </c>
      <c r="G275" s="19" t="s">
        <v>842</v>
      </c>
      <c r="H275" s="16"/>
      <c r="I275" s="16" t="s">
        <v>1243</v>
      </c>
      <c r="J275" s="16" t="s">
        <v>1244</v>
      </c>
      <c r="K275" s="16" t="s">
        <v>1245</v>
      </c>
    </row>
    <row r="276" spans="1:11" ht="225" hidden="1" x14ac:dyDescent="0.25">
      <c r="A276" s="22">
        <v>273</v>
      </c>
      <c r="B276" s="16" t="s">
        <v>1246</v>
      </c>
      <c r="C276" s="16" t="s">
        <v>1247</v>
      </c>
      <c r="D276" s="16">
        <v>56545000</v>
      </c>
      <c r="E276" s="16">
        <v>4</v>
      </c>
      <c r="F276" s="16">
        <v>3</v>
      </c>
      <c r="G276" s="19" t="s">
        <v>842</v>
      </c>
      <c r="H276" s="16"/>
      <c r="I276" s="16" t="s">
        <v>1248</v>
      </c>
      <c r="J276" s="16" t="s">
        <v>1249</v>
      </c>
      <c r="K276" s="16" t="s">
        <v>1250</v>
      </c>
    </row>
    <row r="277" spans="1:11" ht="270" hidden="1" x14ac:dyDescent="0.25">
      <c r="A277" s="22">
        <v>274</v>
      </c>
      <c r="B277" s="16" t="s">
        <v>1251</v>
      </c>
      <c r="C277" s="16" t="s">
        <v>1252</v>
      </c>
      <c r="D277" s="16">
        <v>27299750</v>
      </c>
      <c r="E277" s="16">
        <v>5</v>
      </c>
      <c r="F277" s="16">
        <v>3</v>
      </c>
      <c r="G277" s="19" t="s">
        <v>842</v>
      </c>
      <c r="H277" s="16"/>
      <c r="I277" s="16" t="s">
        <v>1253</v>
      </c>
      <c r="J277" s="16" t="s">
        <v>1254</v>
      </c>
      <c r="K277" s="16" t="s">
        <v>1255</v>
      </c>
    </row>
    <row r="278" spans="1:11" ht="255" hidden="1" x14ac:dyDescent="0.25">
      <c r="A278" s="22">
        <v>275</v>
      </c>
      <c r="B278" s="16" t="s">
        <v>1256</v>
      </c>
      <c r="C278" s="16" t="s">
        <v>1257</v>
      </c>
      <c r="D278" s="16">
        <v>54300000</v>
      </c>
      <c r="E278" s="16">
        <v>5</v>
      </c>
      <c r="F278" s="16">
        <v>3</v>
      </c>
      <c r="G278" s="19" t="s">
        <v>842</v>
      </c>
      <c r="H278" s="16"/>
      <c r="I278" s="16" t="s">
        <v>1258</v>
      </c>
      <c r="J278" s="16" t="s">
        <v>1259</v>
      </c>
      <c r="K278" s="16" t="s">
        <v>1260</v>
      </c>
    </row>
    <row r="279" spans="1:11" ht="285" hidden="1" x14ac:dyDescent="0.25">
      <c r="A279" s="22">
        <v>276</v>
      </c>
      <c r="B279" s="16" t="s">
        <v>1261</v>
      </c>
      <c r="C279" s="16" t="s">
        <v>1262</v>
      </c>
      <c r="D279" s="16">
        <v>13450000</v>
      </c>
      <c r="E279" s="16">
        <v>4</v>
      </c>
      <c r="F279" s="16">
        <v>3</v>
      </c>
      <c r="G279" s="19" t="s">
        <v>842</v>
      </c>
      <c r="H279" s="16"/>
      <c r="I279" s="16" t="s">
        <v>1263</v>
      </c>
      <c r="J279" s="16" t="s">
        <v>1264</v>
      </c>
      <c r="K279" s="16" t="s">
        <v>1265</v>
      </c>
    </row>
    <row r="280" spans="1:11" ht="255" hidden="1" x14ac:dyDescent="0.25">
      <c r="A280" s="22">
        <v>277</v>
      </c>
      <c r="B280" s="16" t="s">
        <v>1266</v>
      </c>
      <c r="C280" s="16" t="s">
        <v>1267</v>
      </c>
      <c r="D280" s="16">
        <v>42483000</v>
      </c>
      <c r="E280" s="16">
        <v>3</v>
      </c>
      <c r="F280" s="16">
        <v>5</v>
      </c>
      <c r="G280" s="19" t="s">
        <v>842</v>
      </c>
      <c r="H280" s="16"/>
      <c r="I280" s="16" t="s">
        <v>1268</v>
      </c>
      <c r="J280" s="16" t="s">
        <v>1269</v>
      </c>
      <c r="K280" s="16" t="s">
        <v>1270</v>
      </c>
    </row>
    <row r="281" spans="1:11" ht="285" hidden="1" x14ac:dyDescent="0.25">
      <c r="A281" s="22">
        <v>278</v>
      </c>
      <c r="B281" s="16" t="s">
        <v>1271</v>
      </c>
      <c r="C281" s="16" t="s">
        <v>1272</v>
      </c>
      <c r="D281" s="16">
        <v>101280000</v>
      </c>
      <c r="E281" s="16">
        <v>3</v>
      </c>
      <c r="F281" s="16">
        <v>4</v>
      </c>
      <c r="G281" s="19" t="s">
        <v>842</v>
      </c>
      <c r="H281" s="16"/>
      <c r="I281" s="16" t="s">
        <v>1273</v>
      </c>
      <c r="J281" s="16" t="s">
        <v>1274</v>
      </c>
      <c r="K281" s="16" t="s">
        <v>1275</v>
      </c>
    </row>
    <row r="282" spans="1:11" ht="210" hidden="1" x14ac:dyDescent="0.25">
      <c r="A282" s="22">
        <v>279</v>
      </c>
      <c r="B282" s="16" t="s">
        <v>1276</v>
      </c>
      <c r="C282" s="16" t="s">
        <v>1277</v>
      </c>
      <c r="D282" s="16">
        <v>12227500</v>
      </c>
      <c r="E282" s="16">
        <v>4</v>
      </c>
      <c r="F282" s="16">
        <v>3</v>
      </c>
      <c r="G282" s="19" t="s">
        <v>842</v>
      </c>
      <c r="H282" s="16"/>
      <c r="I282" s="16" t="s">
        <v>1278</v>
      </c>
      <c r="J282" s="16" t="s">
        <v>1279</v>
      </c>
      <c r="K282" s="16" t="s">
        <v>1280</v>
      </c>
    </row>
    <row r="283" spans="1:11" ht="270" hidden="1" x14ac:dyDescent="0.25">
      <c r="A283" s="22">
        <v>280</v>
      </c>
      <c r="B283" s="16" t="s">
        <v>1281</v>
      </c>
      <c r="C283" s="16" t="s">
        <v>1282</v>
      </c>
      <c r="D283" s="16">
        <v>212408000</v>
      </c>
      <c r="E283" s="16">
        <v>3</v>
      </c>
      <c r="F283" s="16">
        <v>4</v>
      </c>
      <c r="G283" s="19" t="s">
        <v>842</v>
      </c>
      <c r="H283" s="16"/>
      <c r="I283" s="16" t="s">
        <v>1283</v>
      </c>
      <c r="J283" s="16" t="s">
        <v>1284</v>
      </c>
      <c r="K283" s="16" t="s">
        <v>1285</v>
      </c>
    </row>
    <row r="284" spans="1:11" ht="285" hidden="1" x14ac:dyDescent="0.25">
      <c r="A284" s="22">
        <v>281</v>
      </c>
      <c r="B284" s="16" t="s">
        <v>1286</v>
      </c>
      <c r="C284" s="16" t="s">
        <v>1287</v>
      </c>
      <c r="D284" s="16">
        <v>525260000</v>
      </c>
      <c r="E284" s="16">
        <v>3</v>
      </c>
      <c r="F284" s="16">
        <v>4</v>
      </c>
      <c r="G284" s="19" t="s">
        <v>842</v>
      </c>
      <c r="H284" s="16"/>
      <c r="I284" s="16" t="s">
        <v>1283</v>
      </c>
      <c r="J284" s="16" t="s">
        <v>1288</v>
      </c>
      <c r="K284" s="16" t="s">
        <v>1285</v>
      </c>
    </row>
    <row r="285" spans="1:11" ht="300" hidden="1" x14ac:dyDescent="0.25">
      <c r="A285" s="22">
        <v>282</v>
      </c>
      <c r="B285" s="16" t="s">
        <v>1289</v>
      </c>
      <c r="C285" s="16" t="s">
        <v>1290</v>
      </c>
      <c r="D285" s="16">
        <v>4160000</v>
      </c>
      <c r="E285" s="16">
        <v>3</v>
      </c>
      <c r="F285" s="16">
        <v>4</v>
      </c>
      <c r="G285" s="19" t="s">
        <v>842</v>
      </c>
      <c r="H285" s="16"/>
      <c r="I285" s="16" t="s">
        <v>1291</v>
      </c>
      <c r="J285" s="16" t="s">
        <v>1292</v>
      </c>
      <c r="K285" s="16" t="s">
        <v>1293</v>
      </c>
    </row>
    <row r="286" spans="1:11" ht="180" hidden="1" x14ac:dyDescent="0.25">
      <c r="A286" s="22">
        <v>283</v>
      </c>
      <c r="B286" s="16" t="s">
        <v>1294</v>
      </c>
      <c r="C286" s="16" t="s">
        <v>1295</v>
      </c>
      <c r="D286" s="16">
        <v>107595362</v>
      </c>
      <c r="E286" s="16">
        <v>3</v>
      </c>
      <c r="F286" s="16">
        <v>5</v>
      </c>
      <c r="G286" s="19" t="s">
        <v>842</v>
      </c>
      <c r="H286" s="16"/>
      <c r="I286" s="16" t="s">
        <v>1296</v>
      </c>
      <c r="J286" s="16" t="s">
        <v>1297</v>
      </c>
      <c r="K286" s="16" t="s">
        <v>1298</v>
      </c>
    </row>
    <row r="287" spans="1:11" ht="300" hidden="1" x14ac:dyDescent="0.25">
      <c r="A287" s="22">
        <v>284</v>
      </c>
      <c r="B287" s="16" t="s">
        <v>1299</v>
      </c>
      <c r="C287" s="16" t="s">
        <v>1300</v>
      </c>
      <c r="D287" s="16">
        <v>10745000</v>
      </c>
      <c r="E287" s="16">
        <v>3</v>
      </c>
      <c r="F287" s="16">
        <v>4</v>
      </c>
      <c r="G287" s="19" t="s">
        <v>842</v>
      </c>
      <c r="H287" s="16"/>
      <c r="I287" s="16" t="s">
        <v>1301</v>
      </c>
      <c r="J287" s="16" t="s">
        <v>1302</v>
      </c>
      <c r="K287" s="16" t="s">
        <v>1303</v>
      </c>
    </row>
    <row r="288" spans="1:11" ht="135" hidden="1" x14ac:dyDescent="0.25">
      <c r="A288" s="22">
        <v>285</v>
      </c>
      <c r="B288" s="16" t="s">
        <v>1304</v>
      </c>
      <c r="C288" s="16" t="s">
        <v>1305</v>
      </c>
      <c r="D288" s="16">
        <v>0</v>
      </c>
      <c r="E288" s="16">
        <v>3</v>
      </c>
      <c r="F288" s="16">
        <v>4</v>
      </c>
      <c r="G288" s="19" t="s">
        <v>842</v>
      </c>
      <c r="H288" s="16"/>
      <c r="I288" s="16" t="s">
        <v>1306</v>
      </c>
      <c r="J288" s="16" t="s">
        <v>1307</v>
      </c>
      <c r="K288" s="16" t="s">
        <v>1308</v>
      </c>
    </row>
    <row r="289" spans="1:11" ht="300" hidden="1" x14ac:dyDescent="0.25">
      <c r="A289" s="22">
        <v>286</v>
      </c>
      <c r="B289" s="16" t="s">
        <v>1309</v>
      </c>
      <c r="C289" s="16" t="s">
        <v>1310</v>
      </c>
      <c r="D289" s="16">
        <v>4820000</v>
      </c>
      <c r="E289" s="16">
        <v>3</v>
      </c>
      <c r="F289" s="16">
        <v>4</v>
      </c>
      <c r="G289" s="19" t="s">
        <v>842</v>
      </c>
      <c r="H289" s="16"/>
      <c r="I289" s="16" t="s">
        <v>1291</v>
      </c>
      <c r="J289" s="16" t="s">
        <v>1292</v>
      </c>
      <c r="K289" s="16" t="s">
        <v>1293</v>
      </c>
    </row>
    <row r="290" spans="1:11" ht="285" hidden="1" x14ac:dyDescent="0.25">
      <c r="A290" s="22">
        <v>287</v>
      </c>
      <c r="B290" s="16" t="s">
        <v>1311</v>
      </c>
      <c r="C290" s="16" t="s">
        <v>1312</v>
      </c>
      <c r="D290" s="16">
        <v>2155000</v>
      </c>
      <c r="E290" s="16">
        <v>3</v>
      </c>
      <c r="F290" s="16">
        <v>5</v>
      </c>
      <c r="G290" s="19" t="s">
        <v>842</v>
      </c>
      <c r="H290" s="16"/>
      <c r="I290" s="16" t="s">
        <v>1313</v>
      </c>
      <c r="J290" s="16" t="s">
        <v>1314</v>
      </c>
      <c r="K290" s="16" t="s">
        <v>1315</v>
      </c>
    </row>
    <row r="291" spans="1:11" ht="270" hidden="1" x14ac:dyDescent="0.25">
      <c r="A291" s="22">
        <v>288</v>
      </c>
      <c r="B291" s="16" t="s">
        <v>1316</v>
      </c>
      <c r="C291" s="16" t="s">
        <v>1317</v>
      </c>
      <c r="D291" s="16">
        <v>20000000</v>
      </c>
      <c r="E291" s="16">
        <v>3</v>
      </c>
      <c r="F291" s="16">
        <v>4</v>
      </c>
      <c r="G291" s="19" t="s">
        <v>842</v>
      </c>
      <c r="H291" s="16"/>
      <c r="I291" s="16" t="s">
        <v>1318</v>
      </c>
      <c r="J291" s="16" t="s">
        <v>1319</v>
      </c>
      <c r="K291" s="16" t="s">
        <v>1320</v>
      </c>
    </row>
    <row r="292" spans="1:11" ht="409.5" hidden="1" x14ac:dyDescent="0.25">
      <c r="A292" s="22">
        <v>289</v>
      </c>
      <c r="B292" s="16" t="s">
        <v>1321</v>
      </c>
      <c r="C292" s="16" t="s">
        <v>1322</v>
      </c>
      <c r="D292" s="16">
        <v>10335000</v>
      </c>
      <c r="E292" s="16">
        <v>3</v>
      </c>
      <c r="F292" s="16">
        <v>5</v>
      </c>
      <c r="G292" s="19" t="s">
        <v>842</v>
      </c>
      <c r="H292" s="16"/>
      <c r="I292" s="16" t="s">
        <v>1323</v>
      </c>
      <c r="J292" s="16" t="s">
        <v>1324</v>
      </c>
      <c r="K292" s="16" t="s">
        <v>1325</v>
      </c>
    </row>
    <row r="293" spans="1:11" ht="409.5" hidden="1" x14ac:dyDescent="0.25">
      <c r="A293" s="22">
        <v>290</v>
      </c>
      <c r="B293" s="16" t="s">
        <v>1326</v>
      </c>
      <c r="C293" s="16" t="s">
        <v>1327</v>
      </c>
      <c r="D293" s="16">
        <v>7463000</v>
      </c>
      <c r="E293" s="16">
        <v>3</v>
      </c>
      <c r="F293" s="16">
        <v>5</v>
      </c>
      <c r="G293" s="19" t="s">
        <v>842</v>
      </c>
      <c r="H293" s="16"/>
      <c r="I293" s="16" t="s">
        <v>1328</v>
      </c>
      <c r="J293" s="16" t="s">
        <v>1329</v>
      </c>
      <c r="K293" s="16" t="s">
        <v>1330</v>
      </c>
    </row>
    <row r="294" spans="1:11" ht="409.5" hidden="1" x14ac:dyDescent="0.25">
      <c r="A294" s="22">
        <v>291</v>
      </c>
      <c r="B294" s="16" t="s">
        <v>1331</v>
      </c>
      <c r="C294" s="16" t="s">
        <v>1332</v>
      </c>
      <c r="D294" s="16">
        <v>8757000</v>
      </c>
      <c r="E294" s="16">
        <v>3</v>
      </c>
      <c r="F294" s="16">
        <v>4</v>
      </c>
      <c r="G294" s="19" t="s">
        <v>842</v>
      </c>
      <c r="H294" s="16"/>
      <c r="I294" s="16" t="s">
        <v>1333</v>
      </c>
      <c r="J294" s="16" t="s">
        <v>1334</v>
      </c>
      <c r="K294" s="16" t="s">
        <v>1335</v>
      </c>
    </row>
    <row r="295" spans="1:11" ht="409.5" hidden="1" x14ac:dyDescent="0.25">
      <c r="A295" s="22">
        <v>292</v>
      </c>
      <c r="B295" s="16" t="s">
        <v>1336</v>
      </c>
      <c r="C295" s="16" t="s">
        <v>1337</v>
      </c>
      <c r="D295" s="16">
        <v>7297000</v>
      </c>
      <c r="E295" s="16">
        <v>3</v>
      </c>
      <c r="F295" s="16">
        <v>4</v>
      </c>
      <c r="G295" s="19" t="s">
        <v>842</v>
      </c>
      <c r="H295" s="16"/>
      <c r="I295" s="16" t="s">
        <v>1338</v>
      </c>
      <c r="J295" s="16" t="s">
        <v>1339</v>
      </c>
      <c r="K295" s="16" t="s">
        <v>1340</v>
      </c>
    </row>
    <row r="296" spans="1:11" ht="409.5" hidden="1" x14ac:dyDescent="0.25">
      <c r="A296" s="22">
        <v>293</v>
      </c>
      <c r="B296" s="16" t="s">
        <v>1341</v>
      </c>
      <c r="C296" s="16" t="s">
        <v>1342</v>
      </c>
      <c r="D296" s="16">
        <v>170000000</v>
      </c>
      <c r="E296" s="16">
        <v>3</v>
      </c>
      <c r="F296" s="16">
        <v>5</v>
      </c>
      <c r="G296" s="19" t="s">
        <v>842</v>
      </c>
      <c r="H296" s="16"/>
      <c r="I296" s="16" t="s">
        <v>1343</v>
      </c>
      <c r="J296" s="16" t="s">
        <v>1344</v>
      </c>
      <c r="K296" s="16" t="s">
        <v>1345</v>
      </c>
    </row>
    <row r="297" spans="1:11" ht="409.5" hidden="1" x14ac:dyDescent="0.25">
      <c r="A297" s="22">
        <v>294</v>
      </c>
      <c r="B297" s="16" t="s">
        <v>1346</v>
      </c>
      <c r="C297" s="16" t="s">
        <v>1347</v>
      </c>
      <c r="D297" s="16">
        <v>7259000</v>
      </c>
      <c r="E297" s="16">
        <v>3</v>
      </c>
      <c r="F297" s="16">
        <v>4</v>
      </c>
      <c r="G297" s="19" t="s">
        <v>842</v>
      </c>
      <c r="H297" s="16"/>
      <c r="I297" s="16" t="s">
        <v>629</v>
      </c>
      <c r="J297" s="16" t="s">
        <v>630</v>
      </c>
      <c r="K297" s="16" t="s">
        <v>631</v>
      </c>
    </row>
    <row r="298" spans="1:11" ht="409.5" hidden="1" x14ac:dyDescent="0.25">
      <c r="A298" s="22">
        <v>295</v>
      </c>
      <c r="B298" s="16" t="s">
        <v>1348</v>
      </c>
      <c r="C298" s="16" t="s">
        <v>1349</v>
      </c>
      <c r="D298" s="16">
        <v>8487000</v>
      </c>
      <c r="E298" s="16">
        <v>3</v>
      </c>
      <c r="F298" s="16">
        <v>4</v>
      </c>
      <c r="G298" s="19" t="s">
        <v>842</v>
      </c>
      <c r="H298" s="16"/>
      <c r="I298" s="16" t="s">
        <v>1350</v>
      </c>
      <c r="J298" s="16" t="s">
        <v>1351</v>
      </c>
      <c r="K298" s="16" t="s">
        <v>1352</v>
      </c>
    </row>
    <row r="299" spans="1:11" ht="409.5" hidden="1" x14ac:dyDescent="0.25">
      <c r="A299" s="22">
        <v>296</v>
      </c>
      <c r="B299" s="16" t="s">
        <v>1353</v>
      </c>
      <c r="C299" s="16" t="s">
        <v>1354</v>
      </c>
      <c r="D299" s="16">
        <v>8174000</v>
      </c>
      <c r="E299" s="16">
        <v>3</v>
      </c>
      <c r="F299" s="16">
        <v>4</v>
      </c>
      <c r="G299" s="19" t="s">
        <v>842</v>
      </c>
      <c r="H299" s="16"/>
      <c r="I299" s="16" t="s">
        <v>1355</v>
      </c>
      <c r="J299" s="16" t="s">
        <v>1356</v>
      </c>
      <c r="K299" s="16" t="s">
        <v>1357</v>
      </c>
    </row>
    <row r="300" spans="1:11" ht="165" hidden="1" x14ac:dyDescent="0.25">
      <c r="A300" s="22">
        <v>297</v>
      </c>
      <c r="B300" s="16" t="s">
        <v>1358</v>
      </c>
      <c r="C300" s="16" t="s">
        <v>1359</v>
      </c>
      <c r="D300" s="16">
        <v>60500000</v>
      </c>
      <c r="E300" s="16">
        <v>4</v>
      </c>
      <c r="F300" s="16">
        <v>3</v>
      </c>
      <c r="G300" s="19" t="s">
        <v>842</v>
      </c>
      <c r="H300" s="16"/>
      <c r="I300" s="16" t="s">
        <v>1360</v>
      </c>
      <c r="J300" s="16" t="s">
        <v>1361</v>
      </c>
      <c r="K300" s="16" t="s">
        <v>1362</v>
      </c>
    </row>
    <row r="301" spans="1:11" ht="195" hidden="1" x14ac:dyDescent="0.25">
      <c r="A301" s="22">
        <v>298</v>
      </c>
      <c r="B301" s="16" t="s">
        <v>1363</v>
      </c>
      <c r="C301" s="16" t="s">
        <v>1364</v>
      </c>
      <c r="D301" s="16">
        <v>16380000</v>
      </c>
      <c r="E301" s="16">
        <v>3</v>
      </c>
      <c r="F301" s="16">
        <v>4</v>
      </c>
      <c r="G301" s="19" t="s">
        <v>842</v>
      </c>
      <c r="H301" s="16"/>
      <c r="I301" s="16" t="s">
        <v>1365</v>
      </c>
      <c r="J301" s="16" t="s">
        <v>1366</v>
      </c>
      <c r="K301" s="16" t="s">
        <v>1367</v>
      </c>
    </row>
    <row r="302" spans="1:11" ht="180" hidden="1" x14ac:dyDescent="0.25">
      <c r="A302" s="22">
        <v>299</v>
      </c>
      <c r="B302" s="16" t="s">
        <v>1368</v>
      </c>
      <c r="C302" s="16" t="s">
        <v>1369</v>
      </c>
      <c r="D302" s="16">
        <v>190000000</v>
      </c>
      <c r="E302" s="16">
        <v>3</v>
      </c>
      <c r="F302" s="16">
        <v>4</v>
      </c>
      <c r="G302" s="19" t="s">
        <v>842</v>
      </c>
      <c r="H302" s="16"/>
      <c r="I302" s="16" t="s">
        <v>1370</v>
      </c>
      <c r="J302" s="16" t="s">
        <v>1371</v>
      </c>
      <c r="K302" s="16" t="s">
        <v>1372</v>
      </c>
    </row>
    <row r="303" spans="1:11" ht="210" hidden="1" x14ac:dyDescent="0.25">
      <c r="A303" s="22">
        <v>300</v>
      </c>
      <c r="B303" s="16" t="s">
        <v>1373</v>
      </c>
      <c r="C303" s="16" t="s">
        <v>1374</v>
      </c>
      <c r="D303" s="16">
        <v>79850000</v>
      </c>
      <c r="E303" s="16">
        <v>3</v>
      </c>
      <c r="F303" s="16">
        <v>4</v>
      </c>
      <c r="G303" s="19" t="s">
        <v>842</v>
      </c>
      <c r="H303" s="16"/>
      <c r="I303" s="16" t="s">
        <v>1375</v>
      </c>
      <c r="J303" s="16" t="s">
        <v>1376</v>
      </c>
      <c r="K303" s="16" t="s">
        <v>1377</v>
      </c>
    </row>
    <row r="304" spans="1:11" ht="345" hidden="1" x14ac:dyDescent="0.25">
      <c r="A304" s="22">
        <v>301</v>
      </c>
      <c r="B304" s="16" t="s">
        <v>1378</v>
      </c>
      <c r="C304" s="16" t="s">
        <v>1379</v>
      </c>
      <c r="D304" s="16">
        <v>75250000</v>
      </c>
      <c r="E304" s="16">
        <v>3</v>
      </c>
      <c r="F304" s="16">
        <v>4</v>
      </c>
      <c r="G304" s="19" t="s">
        <v>842</v>
      </c>
      <c r="H304" s="16"/>
      <c r="I304" s="16" t="s">
        <v>1380</v>
      </c>
      <c r="J304" s="16" t="s">
        <v>1381</v>
      </c>
      <c r="K304" s="16" t="s">
        <v>1382</v>
      </c>
    </row>
    <row r="305" spans="1:11" ht="75" hidden="1" x14ac:dyDescent="0.25">
      <c r="A305" s="22">
        <v>302</v>
      </c>
      <c r="B305" s="16" t="s">
        <v>1383</v>
      </c>
      <c r="C305" s="16" t="s">
        <v>1384</v>
      </c>
      <c r="D305" s="16">
        <v>45000000</v>
      </c>
      <c r="E305" s="16">
        <v>3</v>
      </c>
      <c r="F305" s="16">
        <v>5</v>
      </c>
      <c r="G305" s="19" t="s">
        <v>842</v>
      </c>
      <c r="H305" s="16"/>
      <c r="I305" s="16" t="s">
        <v>1385</v>
      </c>
      <c r="J305" s="16" t="s">
        <v>1386</v>
      </c>
      <c r="K305" s="16" t="s">
        <v>1387</v>
      </c>
    </row>
    <row r="306" spans="1:11" ht="90" hidden="1" x14ac:dyDescent="0.25">
      <c r="A306" s="22">
        <v>303</v>
      </c>
      <c r="B306" s="16" t="s">
        <v>1388</v>
      </c>
      <c r="C306" s="16" t="s">
        <v>1389</v>
      </c>
      <c r="D306" s="16">
        <v>37500000</v>
      </c>
      <c r="E306" s="16">
        <v>3</v>
      </c>
      <c r="F306" s="16">
        <v>4</v>
      </c>
      <c r="G306" s="19" t="s">
        <v>842</v>
      </c>
      <c r="H306" s="16"/>
      <c r="I306" s="16" t="s">
        <v>1390</v>
      </c>
      <c r="J306" s="16" t="s">
        <v>1391</v>
      </c>
      <c r="K306" s="16" t="s">
        <v>1392</v>
      </c>
    </row>
    <row r="307" spans="1:11" ht="225" hidden="1" x14ac:dyDescent="0.25">
      <c r="A307" s="22">
        <v>304</v>
      </c>
      <c r="B307" s="16" t="s">
        <v>1393</v>
      </c>
      <c r="C307" s="16" t="s">
        <v>1394</v>
      </c>
      <c r="D307" s="16">
        <v>1942000000</v>
      </c>
      <c r="E307" s="16">
        <v>5</v>
      </c>
      <c r="F307" s="16">
        <v>3</v>
      </c>
      <c r="G307" s="19" t="s">
        <v>842</v>
      </c>
      <c r="H307" s="16"/>
      <c r="I307" s="16" t="s">
        <v>1395</v>
      </c>
      <c r="J307" s="16" t="s">
        <v>1396</v>
      </c>
      <c r="K307" s="16" t="s">
        <v>1397</v>
      </c>
    </row>
    <row r="308" spans="1:11" ht="270" hidden="1" x14ac:dyDescent="0.25">
      <c r="A308" s="22">
        <v>305</v>
      </c>
      <c r="B308" s="16" t="s">
        <v>1398</v>
      </c>
      <c r="C308" s="16" t="s">
        <v>1399</v>
      </c>
      <c r="D308" s="16">
        <v>1500000000</v>
      </c>
      <c r="E308" s="16">
        <v>5</v>
      </c>
      <c r="F308" s="16">
        <v>3</v>
      </c>
      <c r="G308" s="19" t="s">
        <v>842</v>
      </c>
      <c r="H308" s="16"/>
      <c r="I308" s="16" t="s">
        <v>1400</v>
      </c>
      <c r="J308" s="16" t="s">
        <v>1401</v>
      </c>
      <c r="K308" s="16" t="s">
        <v>1402</v>
      </c>
    </row>
    <row r="309" spans="1:11" ht="315" hidden="1" x14ac:dyDescent="0.25">
      <c r="A309" s="22">
        <v>306</v>
      </c>
      <c r="B309" s="16" t="s">
        <v>1403</v>
      </c>
      <c r="C309" s="16" t="s">
        <v>1404</v>
      </c>
      <c r="D309" s="16">
        <v>1543230803</v>
      </c>
      <c r="E309" s="16">
        <v>4</v>
      </c>
      <c r="F309" s="16">
        <v>3</v>
      </c>
      <c r="G309" s="19" t="s">
        <v>842</v>
      </c>
      <c r="H309" s="16"/>
      <c r="I309" s="16" t="s">
        <v>1400</v>
      </c>
      <c r="J309" s="16" t="s">
        <v>1405</v>
      </c>
      <c r="K309" s="16" t="s">
        <v>1406</v>
      </c>
    </row>
    <row r="310" spans="1:11" ht="210" hidden="1" x14ac:dyDescent="0.25">
      <c r="A310" s="22">
        <v>307</v>
      </c>
      <c r="B310" s="16" t="s">
        <v>1407</v>
      </c>
      <c r="C310" s="16" t="s">
        <v>1408</v>
      </c>
      <c r="D310" s="16">
        <v>500000000</v>
      </c>
      <c r="E310" s="16">
        <v>3</v>
      </c>
      <c r="F310" s="16">
        <v>4</v>
      </c>
      <c r="G310" s="19" t="s">
        <v>842</v>
      </c>
      <c r="H310" s="16"/>
      <c r="I310" s="16" t="s">
        <v>1409</v>
      </c>
      <c r="J310" s="16" t="s">
        <v>1410</v>
      </c>
      <c r="K310" s="16" t="s">
        <v>1411</v>
      </c>
    </row>
    <row r="311" spans="1:11" ht="195" hidden="1" x14ac:dyDescent="0.25">
      <c r="A311" s="22">
        <v>308</v>
      </c>
      <c r="B311" s="16" t="s">
        <v>1412</v>
      </c>
      <c r="C311" s="16" t="s">
        <v>1413</v>
      </c>
      <c r="D311" s="16">
        <v>5054030000</v>
      </c>
      <c r="E311" s="16">
        <v>3</v>
      </c>
      <c r="F311" s="16">
        <v>5</v>
      </c>
      <c r="G311" s="19" t="s">
        <v>842</v>
      </c>
      <c r="H311" s="16"/>
      <c r="I311" s="16" t="s">
        <v>791</v>
      </c>
      <c r="J311" s="16" t="s">
        <v>1414</v>
      </c>
      <c r="K311" s="16" t="s">
        <v>1415</v>
      </c>
    </row>
    <row r="312" spans="1:11" ht="210" hidden="1" x14ac:dyDescent="0.25">
      <c r="A312" s="22">
        <v>309</v>
      </c>
      <c r="B312" s="16" t="s">
        <v>1416</v>
      </c>
      <c r="C312" s="16" t="s">
        <v>1417</v>
      </c>
      <c r="D312" s="16">
        <v>300000000</v>
      </c>
      <c r="E312" s="16">
        <v>3</v>
      </c>
      <c r="F312" s="16">
        <v>4</v>
      </c>
      <c r="G312" s="19" t="s">
        <v>842</v>
      </c>
      <c r="H312" s="16"/>
      <c r="I312" s="16" t="s">
        <v>791</v>
      </c>
      <c r="J312" s="16" t="s">
        <v>1418</v>
      </c>
      <c r="K312" s="16" t="s">
        <v>1419</v>
      </c>
    </row>
    <row r="313" spans="1:11" ht="285" hidden="1" x14ac:dyDescent="0.25">
      <c r="A313" s="22">
        <v>310</v>
      </c>
      <c r="B313" s="16" t="s">
        <v>1420</v>
      </c>
      <c r="C313" s="16" t="s">
        <v>1421</v>
      </c>
      <c r="D313" s="16">
        <v>660000000</v>
      </c>
      <c r="E313" s="16">
        <v>3</v>
      </c>
      <c r="F313" s="16">
        <v>4</v>
      </c>
      <c r="G313" s="19" t="s">
        <v>842</v>
      </c>
      <c r="H313" s="16"/>
      <c r="I313" s="16" t="s">
        <v>1422</v>
      </c>
      <c r="J313" s="16" t="s">
        <v>1423</v>
      </c>
      <c r="K313" s="16" t="s">
        <v>1424</v>
      </c>
    </row>
    <row r="314" spans="1:11" ht="315" hidden="1" x14ac:dyDescent="0.25">
      <c r="A314" s="22">
        <v>311</v>
      </c>
      <c r="B314" s="16" t="s">
        <v>1425</v>
      </c>
      <c r="C314" s="16" t="s">
        <v>1426</v>
      </c>
      <c r="D314" s="16">
        <v>2581827000</v>
      </c>
      <c r="E314" s="16">
        <v>4</v>
      </c>
      <c r="F314" s="16">
        <v>3</v>
      </c>
      <c r="G314" s="19" t="s">
        <v>842</v>
      </c>
      <c r="H314" s="16"/>
      <c r="I314" s="16" t="s">
        <v>1427</v>
      </c>
      <c r="J314" s="16" t="s">
        <v>1428</v>
      </c>
      <c r="K314" s="16" t="s">
        <v>1429</v>
      </c>
    </row>
    <row r="315" spans="1:11" ht="390" hidden="1" x14ac:dyDescent="0.25">
      <c r="A315" s="22">
        <v>312</v>
      </c>
      <c r="B315" s="16" t="s">
        <v>1430</v>
      </c>
      <c r="C315" s="16" t="s">
        <v>1431</v>
      </c>
      <c r="D315" s="16">
        <v>224410500</v>
      </c>
      <c r="E315" s="16">
        <v>5</v>
      </c>
      <c r="F315" s="16">
        <v>3</v>
      </c>
      <c r="G315" s="19" t="s">
        <v>842</v>
      </c>
      <c r="H315" s="16"/>
      <c r="I315" s="16" t="s">
        <v>1432</v>
      </c>
      <c r="J315" s="16" t="s">
        <v>1433</v>
      </c>
      <c r="K315" s="16" t="s">
        <v>1434</v>
      </c>
    </row>
    <row r="316" spans="1:11" ht="390" hidden="1" x14ac:dyDescent="0.25">
      <c r="A316" s="22">
        <v>313</v>
      </c>
      <c r="B316" s="16" t="s">
        <v>1435</v>
      </c>
      <c r="C316" s="16" t="s">
        <v>1436</v>
      </c>
      <c r="D316" s="16">
        <v>63625000</v>
      </c>
      <c r="E316" s="16">
        <v>4</v>
      </c>
      <c r="F316" s="16">
        <v>3</v>
      </c>
      <c r="G316" s="19" t="s">
        <v>842</v>
      </c>
      <c r="H316" s="16"/>
      <c r="I316" s="16" t="s">
        <v>1432</v>
      </c>
      <c r="J316" s="16" t="s">
        <v>1437</v>
      </c>
      <c r="K316" s="16" t="s">
        <v>1434</v>
      </c>
    </row>
    <row r="317" spans="1:11" ht="390" hidden="1" x14ac:dyDescent="0.25">
      <c r="A317" s="22">
        <v>314</v>
      </c>
      <c r="B317" s="16" t="s">
        <v>1438</v>
      </c>
      <c r="C317" s="16" t="s">
        <v>1439</v>
      </c>
      <c r="D317" s="16">
        <v>269100000</v>
      </c>
      <c r="E317" s="16">
        <v>4</v>
      </c>
      <c r="F317" s="16">
        <v>3</v>
      </c>
      <c r="G317" s="19" t="s">
        <v>842</v>
      </c>
      <c r="H317" s="16"/>
      <c r="I317" s="16" t="s">
        <v>1432</v>
      </c>
      <c r="J317" s="16" t="s">
        <v>1440</v>
      </c>
      <c r="K317" s="16" t="s">
        <v>1434</v>
      </c>
    </row>
    <row r="318" spans="1:11" ht="285" hidden="1" x14ac:dyDescent="0.25">
      <c r="A318" s="22">
        <v>315</v>
      </c>
      <c r="B318" s="16" t="s">
        <v>1441</v>
      </c>
      <c r="C318" s="16" t="s">
        <v>1442</v>
      </c>
      <c r="D318" s="16">
        <v>6051000</v>
      </c>
      <c r="E318" s="16">
        <v>2</v>
      </c>
      <c r="F318" s="16">
        <v>4</v>
      </c>
      <c r="G318" s="20" t="s">
        <v>1443</v>
      </c>
      <c r="H318" s="16"/>
      <c r="I318" s="16" t="s">
        <v>1444</v>
      </c>
      <c r="J318" s="16" t="s">
        <v>1445</v>
      </c>
      <c r="K318" s="16" t="s">
        <v>1446</v>
      </c>
    </row>
    <row r="319" spans="1:11" ht="240" hidden="1" x14ac:dyDescent="0.25">
      <c r="A319" s="22">
        <v>316</v>
      </c>
      <c r="B319" s="16" t="s">
        <v>1447</v>
      </c>
      <c r="C319" s="16" t="s">
        <v>1448</v>
      </c>
      <c r="D319" s="16">
        <v>16815000</v>
      </c>
      <c r="E319" s="16">
        <v>2</v>
      </c>
      <c r="F319" s="16">
        <v>5</v>
      </c>
      <c r="G319" s="20" t="s">
        <v>1443</v>
      </c>
      <c r="H319" s="16"/>
      <c r="I319" s="16" t="s">
        <v>1449</v>
      </c>
      <c r="J319" s="16" t="s">
        <v>1450</v>
      </c>
      <c r="K319" s="16" t="s">
        <v>1451</v>
      </c>
    </row>
    <row r="320" spans="1:11" ht="270" hidden="1" x14ac:dyDescent="0.25">
      <c r="A320" s="22">
        <v>317</v>
      </c>
      <c r="B320" s="16" t="s">
        <v>1452</v>
      </c>
      <c r="C320" s="16" t="s">
        <v>1453</v>
      </c>
      <c r="D320" s="16">
        <v>11897000</v>
      </c>
      <c r="E320" s="16">
        <v>2</v>
      </c>
      <c r="F320" s="16">
        <v>4</v>
      </c>
      <c r="G320" s="20" t="s">
        <v>1443</v>
      </c>
      <c r="H320" s="16"/>
      <c r="I320" s="16" t="s">
        <v>1454</v>
      </c>
      <c r="J320" s="16" t="s">
        <v>1455</v>
      </c>
      <c r="K320" s="16" t="s">
        <v>1456</v>
      </c>
    </row>
    <row r="321" spans="1:11" ht="285" hidden="1" x14ac:dyDescent="0.25">
      <c r="A321" s="22">
        <v>318</v>
      </c>
      <c r="B321" s="16" t="s">
        <v>1457</v>
      </c>
      <c r="C321" s="16" t="s">
        <v>1458</v>
      </c>
      <c r="D321" s="16">
        <v>21245000</v>
      </c>
      <c r="E321" s="16">
        <v>2</v>
      </c>
      <c r="F321" s="16">
        <v>4</v>
      </c>
      <c r="G321" s="20" t="s">
        <v>1443</v>
      </c>
      <c r="H321" s="16"/>
      <c r="I321" s="16" t="s">
        <v>1459</v>
      </c>
      <c r="J321" s="16" t="s">
        <v>1460</v>
      </c>
      <c r="K321" s="16" t="s">
        <v>1461</v>
      </c>
    </row>
    <row r="322" spans="1:11" ht="345" hidden="1" x14ac:dyDescent="0.25">
      <c r="A322" s="22">
        <v>319</v>
      </c>
      <c r="B322" s="16" t="s">
        <v>1462</v>
      </c>
      <c r="C322" s="16" t="s">
        <v>1463</v>
      </c>
      <c r="D322" s="16">
        <v>73705000</v>
      </c>
      <c r="E322" s="16">
        <v>2</v>
      </c>
      <c r="F322" s="16">
        <v>5</v>
      </c>
      <c r="G322" s="20" t="s">
        <v>1443</v>
      </c>
      <c r="H322" s="16"/>
      <c r="I322" s="16" t="s">
        <v>1464</v>
      </c>
      <c r="J322" s="16" t="s">
        <v>1465</v>
      </c>
      <c r="K322" s="16" t="s">
        <v>1466</v>
      </c>
    </row>
    <row r="323" spans="1:11" ht="345" hidden="1" x14ac:dyDescent="0.25">
      <c r="A323" s="22">
        <v>320</v>
      </c>
      <c r="B323" s="16" t="s">
        <v>1467</v>
      </c>
      <c r="C323" s="16" t="s">
        <v>1468</v>
      </c>
      <c r="D323" s="16">
        <v>41434000</v>
      </c>
      <c r="E323" s="16">
        <v>2</v>
      </c>
      <c r="F323" s="16">
        <v>5</v>
      </c>
      <c r="G323" s="20" t="s">
        <v>1443</v>
      </c>
      <c r="H323" s="16"/>
      <c r="I323" s="16" t="s">
        <v>1464</v>
      </c>
      <c r="J323" s="16" t="s">
        <v>1465</v>
      </c>
      <c r="K323" s="16" t="s">
        <v>1466</v>
      </c>
    </row>
    <row r="324" spans="1:11" ht="270" hidden="1" x14ac:dyDescent="0.25">
      <c r="A324" s="22">
        <v>321</v>
      </c>
      <c r="B324" s="16" t="s">
        <v>1469</v>
      </c>
      <c r="C324" s="16" t="s">
        <v>1470</v>
      </c>
      <c r="D324" s="16">
        <v>65000000</v>
      </c>
      <c r="E324" s="16">
        <v>2</v>
      </c>
      <c r="F324" s="16">
        <v>4</v>
      </c>
      <c r="G324" s="20" t="s">
        <v>1443</v>
      </c>
      <c r="H324" s="16"/>
      <c r="I324" s="16" t="s">
        <v>1471</v>
      </c>
      <c r="J324" s="16" t="s">
        <v>1472</v>
      </c>
      <c r="K324" s="16" t="s">
        <v>1473</v>
      </c>
    </row>
    <row r="325" spans="1:11" ht="210" hidden="1" x14ac:dyDescent="0.25">
      <c r="A325" s="22">
        <v>322</v>
      </c>
      <c r="B325" s="16" t="s">
        <v>1474</v>
      </c>
      <c r="C325" s="16" t="s">
        <v>1475</v>
      </c>
      <c r="D325" s="16">
        <v>15800000</v>
      </c>
      <c r="E325" s="16">
        <v>2</v>
      </c>
      <c r="F325" s="16">
        <v>5</v>
      </c>
      <c r="G325" s="20" t="s">
        <v>1443</v>
      </c>
      <c r="H325" s="16"/>
      <c r="I325" s="16" t="s">
        <v>1476</v>
      </c>
      <c r="J325" s="16" t="s">
        <v>1477</v>
      </c>
      <c r="K325" s="16" t="s">
        <v>1478</v>
      </c>
    </row>
    <row r="326" spans="1:11" ht="409.5" hidden="1" x14ac:dyDescent="0.25">
      <c r="A326" s="22">
        <v>323</v>
      </c>
      <c r="B326" s="16" t="s">
        <v>1479</v>
      </c>
      <c r="C326" s="16" t="s">
        <v>1480</v>
      </c>
      <c r="D326" s="16">
        <v>29997000</v>
      </c>
      <c r="E326" s="16">
        <v>3</v>
      </c>
      <c r="F326" s="16">
        <v>3</v>
      </c>
      <c r="G326" s="20" t="s">
        <v>1443</v>
      </c>
      <c r="H326" s="16"/>
      <c r="I326" s="16" t="s">
        <v>1481</v>
      </c>
      <c r="J326" s="16" t="s">
        <v>1482</v>
      </c>
      <c r="K326" s="16" t="s">
        <v>1483</v>
      </c>
    </row>
    <row r="327" spans="1:11" ht="210" hidden="1" x14ac:dyDescent="0.25">
      <c r="A327" s="22">
        <v>324</v>
      </c>
      <c r="B327" s="16" t="s">
        <v>1484</v>
      </c>
      <c r="C327" s="16" t="s">
        <v>1485</v>
      </c>
      <c r="D327" s="16">
        <v>24500000</v>
      </c>
      <c r="E327" s="16">
        <v>2</v>
      </c>
      <c r="F327" s="16">
        <v>5</v>
      </c>
      <c r="G327" s="20" t="s">
        <v>1443</v>
      </c>
      <c r="H327" s="16"/>
      <c r="I327" s="16" t="s">
        <v>1486</v>
      </c>
      <c r="J327" s="16" t="s">
        <v>1487</v>
      </c>
      <c r="K327" s="16" t="s">
        <v>1488</v>
      </c>
    </row>
    <row r="328" spans="1:11" ht="210" hidden="1" x14ac:dyDescent="0.25">
      <c r="A328" s="22">
        <v>325</v>
      </c>
      <c r="B328" s="16" t="s">
        <v>1489</v>
      </c>
      <c r="C328" s="16" t="s">
        <v>1490</v>
      </c>
      <c r="D328" s="16">
        <v>23831000</v>
      </c>
      <c r="E328" s="16">
        <v>2</v>
      </c>
      <c r="F328" s="16">
        <v>5</v>
      </c>
      <c r="G328" s="20" t="s">
        <v>1443</v>
      </c>
      <c r="H328" s="16"/>
      <c r="I328" s="16" t="s">
        <v>1491</v>
      </c>
      <c r="J328" s="16" t="s">
        <v>1492</v>
      </c>
      <c r="K328" s="16" t="s">
        <v>1493</v>
      </c>
    </row>
    <row r="329" spans="1:11" ht="195" hidden="1" x14ac:dyDescent="0.25">
      <c r="A329" s="22">
        <v>326</v>
      </c>
      <c r="B329" s="16" t="s">
        <v>1494</v>
      </c>
      <c r="C329" s="16" t="s">
        <v>1495</v>
      </c>
      <c r="D329" s="16">
        <v>15000000</v>
      </c>
      <c r="E329" s="16">
        <v>2</v>
      </c>
      <c r="F329" s="16">
        <v>5</v>
      </c>
      <c r="G329" s="20" t="s">
        <v>1443</v>
      </c>
      <c r="H329" s="16"/>
      <c r="I329" s="16" t="s">
        <v>1496</v>
      </c>
      <c r="J329" s="16" t="s">
        <v>1497</v>
      </c>
      <c r="K329" s="16" t="s">
        <v>1498</v>
      </c>
    </row>
    <row r="330" spans="1:11" ht="210" hidden="1" x14ac:dyDescent="0.25">
      <c r="A330" s="22">
        <v>327</v>
      </c>
      <c r="B330" s="16" t="s">
        <v>1499</v>
      </c>
      <c r="C330" s="16" t="s">
        <v>1500</v>
      </c>
      <c r="D330" s="16">
        <v>150000000</v>
      </c>
      <c r="E330" s="16">
        <v>2</v>
      </c>
      <c r="F330" s="16">
        <v>5</v>
      </c>
      <c r="G330" s="20" t="s">
        <v>1443</v>
      </c>
      <c r="H330" s="16"/>
      <c r="I330" s="16" t="s">
        <v>1501</v>
      </c>
      <c r="J330" s="16" t="s">
        <v>1502</v>
      </c>
      <c r="K330" s="16" t="s">
        <v>1503</v>
      </c>
    </row>
    <row r="331" spans="1:11" ht="210" hidden="1" x14ac:dyDescent="0.25">
      <c r="A331" s="22">
        <v>328</v>
      </c>
      <c r="B331" s="16" t="s">
        <v>1504</v>
      </c>
      <c r="C331" s="16" t="s">
        <v>1505</v>
      </c>
      <c r="D331" s="16">
        <v>267300000</v>
      </c>
      <c r="E331" s="16">
        <v>2</v>
      </c>
      <c r="F331" s="16">
        <v>3</v>
      </c>
      <c r="G331" s="20" t="s">
        <v>1443</v>
      </c>
      <c r="H331" s="16"/>
      <c r="I331" s="16" t="s">
        <v>1501</v>
      </c>
      <c r="J331" s="16" t="s">
        <v>1506</v>
      </c>
      <c r="K331" s="16" t="s">
        <v>1503</v>
      </c>
    </row>
    <row r="332" spans="1:11" ht="375" hidden="1" x14ac:dyDescent="0.25">
      <c r="A332" s="22">
        <v>329</v>
      </c>
      <c r="B332" s="16" t="s">
        <v>1507</v>
      </c>
      <c r="C332" s="16" t="s">
        <v>1508</v>
      </c>
      <c r="D332" s="16">
        <v>40085000</v>
      </c>
      <c r="E332" s="16">
        <v>5</v>
      </c>
      <c r="F332" s="16">
        <v>2</v>
      </c>
      <c r="G332" s="20" t="s">
        <v>1443</v>
      </c>
      <c r="H332" s="16"/>
      <c r="I332" s="16" t="s">
        <v>1509</v>
      </c>
      <c r="J332" s="16" t="s">
        <v>1510</v>
      </c>
      <c r="K332" s="16" t="s">
        <v>1511</v>
      </c>
    </row>
    <row r="333" spans="1:11" ht="210" hidden="1" x14ac:dyDescent="0.25">
      <c r="A333" s="22">
        <v>330</v>
      </c>
      <c r="B333" s="16" t="s">
        <v>1512</v>
      </c>
      <c r="C333" s="16" t="s">
        <v>1513</v>
      </c>
      <c r="D333" s="16">
        <v>13654000</v>
      </c>
      <c r="E333" s="16">
        <v>2</v>
      </c>
      <c r="F333" s="16">
        <v>5</v>
      </c>
      <c r="G333" s="20" t="s">
        <v>1443</v>
      </c>
      <c r="H333" s="16"/>
      <c r="I333" s="16" t="s">
        <v>1514</v>
      </c>
      <c r="J333" s="16" t="s">
        <v>1515</v>
      </c>
      <c r="K333" s="16" t="s">
        <v>1493</v>
      </c>
    </row>
    <row r="334" spans="1:11" ht="270" hidden="1" x14ac:dyDescent="0.25">
      <c r="A334" s="22">
        <v>331</v>
      </c>
      <c r="B334" s="16" t="s">
        <v>1516</v>
      </c>
      <c r="C334" s="16" t="s">
        <v>1517</v>
      </c>
      <c r="D334" s="16">
        <v>9375000</v>
      </c>
      <c r="E334" s="16">
        <v>2</v>
      </c>
      <c r="F334" s="16">
        <v>5</v>
      </c>
      <c r="G334" s="20" t="s">
        <v>1443</v>
      </c>
      <c r="H334" s="16"/>
      <c r="I334" s="16" t="s">
        <v>1518</v>
      </c>
      <c r="J334" s="16" t="s">
        <v>1519</v>
      </c>
      <c r="K334" s="16" t="s">
        <v>1520</v>
      </c>
    </row>
    <row r="335" spans="1:11" ht="210" hidden="1" x14ac:dyDescent="0.25">
      <c r="A335" s="22">
        <v>332</v>
      </c>
      <c r="B335" s="16" t="s">
        <v>1521</v>
      </c>
      <c r="C335" s="16" t="s">
        <v>1522</v>
      </c>
      <c r="D335" s="16">
        <v>11850000</v>
      </c>
      <c r="E335" s="16">
        <v>2</v>
      </c>
      <c r="F335" s="16">
        <v>5</v>
      </c>
      <c r="G335" s="20" t="s">
        <v>1443</v>
      </c>
      <c r="H335" s="16"/>
      <c r="I335" s="16" t="s">
        <v>1523</v>
      </c>
      <c r="J335" s="16" t="s">
        <v>1524</v>
      </c>
      <c r="K335" s="16" t="s">
        <v>1525</v>
      </c>
    </row>
    <row r="336" spans="1:11" ht="195" hidden="1" x14ac:dyDescent="0.25">
      <c r="A336" s="22">
        <v>333</v>
      </c>
      <c r="B336" s="16" t="s">
        <v>1526</v>
      </c>
      <c r="C336" s="16" t="s">
        <v>1527</v>
      </c>
      <c r="D336" s="16">
        <v>15000000</v>
      </c>
      <c r="E336" s="16">
        <v>2</v>
      </c>
      <c r="F336" s="16">
        <v>3</v>
      </c>
      <c r="G336" s="20" t="s">
        <v>1443</v>
      </c>
      <c r="H336" s="16"/>
      <c r="I336" s="16" t="s">
        <v>1528</v>
      </c>
      <c r="J336" s="16" t="s">
        <v>1529</v>
      </c>
      <c r="K336" s="16" t="s">
        <v>1503</v>
      </c>
    </row>
    <row r="337" spans="1:11" ht="255" hidden="1" x14ac:dyDescent="0.25">
      <c r="A337" s="22">
        <v>334</v>
      </c>
      <c r="B337" s="16" t="s">
        <v>1530</v>
      </c>
      <c r="C337" s="16" t="s">
        <v>1531</v>
      </c>
      <c r="D337" s="16">
        <v>20375000</v>
      </c>
      <c r="E337" s="16">
        <v>2</v>
      </c>
      <c r="F337" s="16">
        <v>4</v>
      </c>
      <c r="G337" s="20" t="s">
        <v>1443</v>
      </c>
      <c r="H337" s="16"/>
      <c r="I337" s="16" t="s">
        <v>1532</v>
      </c>
      <c r="J337" s="16" t="s">
        <v>1533</v>
      </c>
      <c r="K337" s="16" t="s">
        <v>1534</v>
      </c>
    </row>
    <row r="338" spans="1:11" ht="210" hidden="1" x14ac:dyDescent="0.25">
      <c r="A338" s="22">
        <v>335</v>
      </c>
      <c r="B338" s="16" t="s">
        <v>1535</v>
      </c>
      <c r="C338" s="16" t="s">
        <v>1536</v>
      </c>
      <c r="D338" s="16">
        <v>110200000</v>
      </c>
      <c r="E338" s="16">
        <v>3</v>
      </c>
      <c r="F338" s="16">
        <v>3</v>
      </c>
      <c r="G338" s="20" t="s">
        <v>1443</v>
      </c>
      <c r="H338" s="16"/>
      <c r="I338" s="16" t="s">
        <v>1537</v>
      </c>
      <c r="J338" s="16" t="s">
        <v>1538</v>
      </c>
      <c r="K338" s="16" t="s">
        <v>1539</v>
      </c>
    </row>
    <row r="339" spans="1:11" ht="270" hidden="1" x14ac:dyDescent="0.25">
      <c r="A339" s="22">
        <v>336</v>
      </c>
      <c r="B339" s="16" t="s">
        <v>1540</v>
      </c>
      <c r="C339" s="16" t="s">
        <v>1541</v>
      </c>
      <c r="D339" s="16">
        <v>9386000</v>
      </c>
      <c r="E339" s="16">
        <v>2</v>
      </c>
      <c r="F339" s="16">
        <v>4</v>
      </c>
      <c r="G339" s="20" t="s">
        <v>1443</v>
      </c>
      <c r="H339" s="16"/>
      <c r="I339" s="16" t="s">
        <v>1542</v>
      </c>
      <c r="J339" s="16" t="s">
        <v>1543</v>
      </c>
      <c r="K339" s="16" t="s">
        <v>1544</v>
      </c>
    </row>
    <row r="340" spans="1:11" ht="345" hidden="1" x14ac:dyDescent="0.25">
      <c r="A340" s="22">
        <v>337</v>
      </c>
      <c r="B340" s="16" t="s">
        <v>1545</v>
      </c>
      <c r="C340" s="16" t="s">
        <v>1546</v>
      </c>
      <c r="D340" s="16">
        <v>35080000</v>
      </c>
      <c r="E340" s="16">
        <v>3</v>
      </c>
      <c r="F340" s="16">
        <v>3</v>
      </c>
      <c r="G340" s="20" t="s">
        <v>1443</v>
      </c>
      <c r="H340" s="16"/>
      <c r="I340" s="16" t="s">
        <v>1547</v>
      </c>
      <c r="J340" s="16" t="s">
        <v>1548</v>
      </c>
      <c r="K340" s="16" t="s">
        <v>1549</v>
      </c>
    </row>
    <row r="341" spans="1:11" ht="240" hidden="1" x14ac:dyDescent="0.25">
      <c r="A341" s="22">
        <v>338</v>
      </c>
      <c r="B341" s="16" t="s">
        <v>1550</v>
      </c>
      <c r="C341" s="16" t="s">
        <v>1551</v>
      </c>
      <c r="D341" s="16">
        <v>22845000</v>
      </c>
      <c r="E341" s="16">
        <v>3</v>
      </c>
      <c r="F341" s="16">
        <v>3</v>
      </c>
      <c r="G341" s="20" t="s">
        <v>1443</v>
      </c>
      <c r="H341" s="16"/>
      <c r="I341" s="16" t="s">
        <v>1552</v>
      </c>
      <c r="J341" s="16" t="s">
        <v>1553</v>
      </c>
      <c r="K341" s="16" t="s">
        <v>1554</v>
      </c>
    </row>
    <row r="342" spans="1:11" ht="195" hidden="1" x14ac:dyDescent="0.25">
      <c r="A342" s="22">
        <v>339</v>
      </c>
      <c r="B342" s="16" t="s">
        <v>1555</v>
      </c>
      <c r="C342" s="16" t="s">
        <v>1556</v>
      </c>
      <c r="D342" s="16">
        <v>10220000</v>
      </c>
      <c r="E342" s="16">
        <v>2</v>
      </c>
      <c r="F342" s="16">
        <v>5</v>
      </c>
      <c r="G342" s="20" t="s">
        <v>1443</v>
      </c>
      <c r="H342" s="16"/>
      <c r="I342" s="16" t="s">
        <v>1034</v>
      </c>
      <c r="J342" s="16" t="s">
        <v>1040</v>
      </c>
      <c r="K342" s="16" t="s">
        <v>1041</v>
      </c>
    </row>
    <row r="343" spans="1:11" ht="225" hidden="1" x14ac:dyDescent="0.25">
      <c r="A343" s="22">
        <v>340</v>
      </c>
      <c r="B343" s="16" t="s">
        <v>1557</v>
      </c>
      <c r="C343" s="16" t="s">
        <v>1558</v>
      </c>
      <c r="D343" s="16">
        <v>11420000</v>
      </c>
      <c r="E343" s="16">
        <v>2</v>
      </c>
      <c r="F343" s="16">
        <v>3</v>
      </c>
      <c r="G343" s="20" t="s">
        <v>1443</v>
      </c>
      <c r="H343" s="16"/>
      <c r="I343" s="16" t="s">
        <v>124</v>
      </c>
      <c r="J343" s="16" t="s">
        <v>1046</v>
      </c>
      <c r="K343" s="16" t="s">
        <v>1559</v>
      </c>
    </row>
    <row r="344" spans="1:11" ht="225" hidden="1" x14ac:dyDescent="0.25">
      <c r="A344" s="22">
        <v>341</v>
      </c>
      <c r="B344" s="16" t="s">
        <v>1560</v>
      </c>
      <c r="C344" s="16" t="s">
        <v>1561</v>
      </c>
      <c r="D344" s="16">
        <v>49500000</v>
      </c>
      <c r="E344" s="16">
        <v>2</v>
      </c>
      <c r="F344" s="16">
        <v>3</v>
      </c>
      <c r="G344" s="20" t="s">
        <v>1443</v>
      </c>
      <c r="H344" s="16"/>
      <c r="I344" s="16" t="s">
        <v>380</v>
      </c>
      <c r="J344" s="16" t="s">
        <v>1562</v>
      </c>
      <c r="K344" s="16" t="s">
        <v>1563</v>
      </c>
    </row>
    <row r="345" spans="1:11" ht="195" hidden="1" x14ac:dyDescent="0.25">
      <c r="A345" s="22">
        <v>342</v>
      </c>
      <c r="B345" s="16" t="s">
        <v>1564</v>
      </c>
      <c r="C345" s="16" t="s">
        <v>1565</v>
      </c>
      <c r="D345" s="16">
        <v>25000000</v>
      </c>
      <c r="E345" s="16">
        <v>2</v>
      </c>
      <c r="F345" s="16">
        <v>3</v>
      </c>
      <c r="G345" s="20" t="s">
        <v>1443</v>
      </c>
      <c r="H345" s="16"/>
      <c r="I345" s="16" t="s">
        <v>1566</v>
      </c>
      <c r="J345" s="16" t="s">
        <v>1567</v>
      </c>
      <c r="K345" s="16" t="s">
        <v>1568</v>
      </c>
    </row>
    <row r="346" spans="1:11" ht="409.5" hidden="1" x14ac:dyDescent="0.25">
      <c r="A346" s="22">
        <v>343</v>
      </c>
      <c r="B346" s="16" t="s">
        <v>1569</v>
      </c>
      <c r="C346" s="16" t="s">
        <v>1570</v>
      </c>
      <c r="D346" s="16">
        <v>33405000</v>
      </c>
      <c r="E346" s="16">
        <v>3</v>
      </c>
      <c r="F346" s="16">
        <v>3</v>
      </c>
      <c r="G346" s="20" t="s">
        <v>1443</v>
      </c>
      <c r="H346" s="16"/>
      <c r="I346" s="16" t="s">
        <v>1571</v>
      </c>
      <c r="J346" s="16" t="s">
        <v>1572</v>
      </c>
      <c r="K346" s="16" t="s">
        <v>1573</v>
      </c>
    </row>
    <row r="347" spans="1:11" ht="240" hidden="1" x14ac:dyDescent="0.25">
      <c r="A347" s="22">
        <v>344</v>
      </c>
      <c r="B347" s="16" t="s">
        <v>1574</v>
      </c>
      <c r="C347" s="16" t="s">
        <v>1575</v>
      </c>
      <c r="D347" s="16">
        <v>10595000</v>
      </c>
      <c r="E347" s="16">
        <v>2</v>
      </c>
      <c r="F347" s="16">
        <v>3</v>
      </c>
      <c r="G347" s="20" t="s">
        <v>1443</v>
      </c>
      <c r="H347" s="16"/>
      <c r="I347" s="16" t="s">
        <v>1576</v>
      </c>
      <c r="J347" s="16" t="s">
        <v>1577</v>
      </c>
      <c r="K347" s="16" t="s">
        <v>1578</v>
      </c>
    </row>
    <row r="348" spans="1:11" ht="375" hidden="1" x14ac:dyDescent="0.25">
      <c r="A348" s="22">
        <v>345</v>
      </c>
      <c r="B348" s="16" t="s">
        <v>1579</v>
      </c>
      <c r="C348" s="16" t="s">
        <v>1580</v>
      </c>
      <c r="D348" s="16">
        <v>21190000</v>
      </c>
      <c r="E348" s="16">
        <v>3</v>
      </c>
      <c r="F348" s="16">
        <v>3</v>
      </c>
      <c r="G348" s="20" t="s">
        <v>1443</v>
      </c>
      <c r="H348" s="16"/>
      <c r="I348" s="16" t="s">
        <v>1581</v>
      </c>
      <c r="J348" s="16" t="s">
        <v>1582</v>
      </c>
      <c r="K348" s="16" t="s">
        <v>1583</v>
      </c>
    </row>
    <row r="349" spans="1:11" ht="409.5" hidden="1" x14ac:dyDescent="0.25">
      <c r="A349" s="22">
        <v>346</v>
      </c>
      <c r="B349" s="16" t="s">
        <v>1584</v>
      </c>
      <c r="C349" s="16" t="s">
        <v>1585</v>
      </c>
      <c r="D349" s="16">
        <v>16590000</v>
      </c>
      <c r="E349" s="16">
        <v>2</v>
      </c>
      <c r="F349" s="16">
        <v>3</v>
      </c>
      <c r="G349" s="20" t="s">
        <v>1443</v>
      </c>
      <c r="H349" s="16"/>
      <c r="I349" s="16" t="s">
        <v>1586</v>
      </c>
      <c r="J349" s="16" t="s">
        <v>1587</v>
      </c>
      <c r="K349" s="16" t="s">
        <v>1588</v>
      </c>
    </row>
    <row r="350" spans="1:11" ht="300" hidden="1" x14ac:dyDescent="0.25">
      <c r="A350" s="22">
        <v>347</v>
      </c>
      <c r="B350" s="16" t="s">
        <v>1589</v>
      </c>
      <c r="C350" s="16" t="s">
        <v>1590</v>
      </c>
      <c r="D350" s="16">
        <v>23800000</v>
      </c>
      <c r="E350" s="16">
        <v>2</v>
      </c>
      <c r="F350" s="16">
        <v>5</v>
      </c>
      <c r="G350" s="20" t="s">
        <v>1443</v>
      </c>
      <c r="H350" s="16"/>
      <c r="I350" s="16" t="s">
        <v>140</v>
      </c>
      <c r="J350" s="16" t="s">
        <v>1591</v>
      </c>
      <c r="K350" s="16" t="s">
        <v>142</v>
      </c>
    </row>
    <row r="351" spans="1:11" ht="409.5" hidden="1" x14ac:dyDescent="0.25">
      <c r="A351" s="22">
        <v>348</v>
      </c>
      <c r="B351" s="16" t="s">
        <v>1592</v>
      </c>
      <c r="C351" s="16" t="s">
        <v>1593</v>
      </c>
      <c r="D351" s="16">
        <v>26885000</v>
      </c>
      <c r="E351" s="16">
        <v>3</v>
      </c>
      <c r="F351" s="16">
        <v>2</v>
      </c>
      <c r="G351" s="20" t="s">
        <v>1443</v>
      </c>
      <c r="H351" s="16"/>
      <c r="I351" s="16" t="s">
        <v>1594</v>
      </c>
      <c r="J351" s="16" t="s">
        <v>1595</v>
      </c>
      <c r="K351" s="16" t="s">
        <v>1596</v>
      </c>
    </row>
    <row r="352" spans="1:11" ht="165" hidden="1" x14ac:dyDescent="0.25">
      <c r="A352" s="22">
        <v>349</v>
      </c>
      <c r="B352" s="16" t="s">
        <v>1597</v>
      </c>
      <c r="C352" s="16" t="s">
        <v>1598</v>
      </c>
      <c r="D352" s="16">
        <v>3655000</v>
      </c>
      <c r="E352" s="16">
        <v>2</v>
      </c>
      <c r="F352" s="16">
        <v>3</v>
      </c>
      <c r="G352" s="20" t="s">
        <v>1443</v>
      </c>
      <c r="H352" s="16"/>
      <c r="I352" s="16" t="s">
        <v>1599</v>
      </c>
      <c r="J352" s="16" t="s">
        <v>1600</v>
      </c>
      <c r="K352" s="16" t="s">
        <v>1601</v>
      </c>
    </row>
    <row r="353" spans="1:11" ht="360" hidden="1" x14ac:dyDescent="0.25">
      <c r="A353" s="22">
        <v>350</v>
      </c>
      <c r="B353" s="16" t="s">
        <v>1602</v>
      </c>
      <c r="C353" s="16" t="s">
        <v>1603</v>
      </c>
      <c r="D353" s="16">
        <v>8289000</v>
      </c>
      <c r="E353" s="16">
        <v>3</v>
      </c>
      <c r="F353" s="16">
        <v>2</v>
      </c>
      <c r="G353" s="20" t="s">
        <v>1443</v>
      </c>
      <c r="H353" s="16"/>
      <c r="I353" s="16" t="s">
        <v>714</v>
      </c>
      <c r="J353" s="16" t="s">
        <v>1604</v>
      </c>
      <c r="K353" s="16" t="s">
        <v>1605</v>
      </c>
    </row>
    <row r="354" spans="1:11" ht="180" hidden="1" x14ac:dyDescent="0.25">
      <c r="A354" s="22">
        <v>351</v>
      </c>
      <c r="B354" s="16" t="s">
        <v>1606</v>
      </c>
      <c r="C354" s="16" t="s">
        <v>1607</v>
      </c>
      <c r="D354" s="16">
        <v>13299000</v>
      </c>
      <c r="E354" s="16">
        <v>2</v>
      </c>
      <c r="F354" s="16">
        <v>3</v>
      </c>
      <c r="G354" s="20" t="s">
        <v>1443</v>
      </c>
      <c r="H354" s="16"/>
      <c r="I354" s="16" t="s">
        <v>1608</v>
      </c>
      <c r="J354" s="16" t="s">
        <v>1609</v>
      </c>
      <c r="K354" s="16" t="s">
        <v>1610</v>
      </c>
    </row>
    <row r="355" spans="1:11" ht="240" hidden="1" x14ac:dyDescent="0.25">
      <c r="A355" s="22">
        <v>352</v>
      </c>
      <c r="B355" s="16" t="s">
        <v>1611</v>
      </c>
      <c r="C355" s="16" t="s">
        <v>1612</v>
      </c>
      <c r="D355" s="16">
        <v>36975000</v>
      </c>
      <c r="E355" s="16">
        <v>2</v>
      </c>
      <c r="F355" s="16">
        <v>3</v>
      </c>
      <c r="G355" s="20" t="s">
        <v>1443</v>
      </c>
      <c r="H355" s="16"/>
      <c r="I355" s="16" t="s">
        <v>1613</v>
      </c>
      <c r="J355" s="16" t="s">
        <v>1614</v>
      </c>
      <c r="K355" s="16" t="s">
        <v>1615</v>
      </c>
    </row>
    <row r="356" spans="1:11" ht="225" hidden="1" x14ac:dyDescent="0.25">
      <c r="A356" s="22">
        <v>353</v>
      </c>
      <c r="B356" s="16" t="s">
        <v>1616</v>
      </c>
      <c r="C356" s="16" t="s">
        <v>1617</v>
      </c>
      <c r="D356" s="16">
        <v>7932500</v>
      </c>
      <c r="E356" s="16">
        <v>3</v>
      </c>
      <c r="F356" s="16">
        <v>3</v>
      </c>
      <c r="G356" s="20" t="s">
        <v>1443</v>
      </c>
      <c r="H356" s="16"/>
      <c r="I356" s="16" t="s">
        <v>1618</v>
      </c>
      <c r="J356" s="16" t="s">
        <v>1619</v>
      </c>
      <c r="K356" s="16" t="s">
        <v>1620</v>
      </c>
    </row>
    <row r="357" spans="1:11" ht="225" hidden="1" x14ac:dyDescent="0.25">
      <c r="A357" s="22">
        <v>354</v>
      </c>
      <c r="B357" s="16" t="s">
        <v>1621</v>
      </c>
      <c r="C357" s="16" t="s">
        <v>1622</v>
      </c>
      <c r="D357" s="16">
        <v>10415000</v>
      </c>
      <c r="E357" s="16">
        <v>3</v>
      </c>
      <c r="F357" s="16">
        <v>2</v>
      </c>
      <c r="G357" s="20" t="s">
        <v>1443</v>
      </c>
      <c r="H357" s="16"/>
      <c r="I357" s="16" t="s">
        <v>1623</v>
      </c>
      <c r="J357" s="16" t="s">
        <v>1624</v>
      </c>
      <c r="K357" s="16" t="s">
        <v>1625</v>
      </c>
    </row>
    <row r="358" spans="1:11" ht="270" hidden="1" x14ac:dyDescent="0.25">
      <c r="A358" s="22">
        <v>355</v>
      </c>
      <c r="B358" s="16" t="s">
        <v>1626</v>
      </c>
      <c r="C358" s="16" t="s">
        <v>1627</v>
      </c>
      <c r="D358" s="16">
        <v>35224000</v>
      </c>
      <c r="E358" s="16">
        <v>2</v>
      </c>
      <c r="F358" s="16">
        <v>4</v>
      </c>
      <c r="G358" s="20" t="s">
        <v>1443</v>
      </c>
      <c r="H358" s="16"/>
      <c r="I358" s="16" t="s">
        <v>1628</v>
      </c>
      <c r="J358" s="16" t="s">
        <v>1629</v>
      </c>
      <c r="K358" s="16" t="s">
        <v>1630</v>
      </c>
    </row>
    <row r="359" spans="1:11" ht="315" hidden="1" x14ac:dyDescent="0.25">
      <c r="A359" s="22">
        <v>356</v>
      </c>
      <c r="B359" s="16" t="s">
        <v>1631</v>
      </c>
      <c r="C359" s="16" t="s">
        <v>1632</v>
      </c>
      <c r="D359" s="16">
        <v>13400000</v>
      </c>
      <c r="E359" s="16">
        <v>2</v>
      </c>
      <c r="F359" s="16">
        <v>3</v>
      </c>
      <c r="G359" s="20" t="s">
        <v>1443</v>
      </c>
      <c r="H359" s="16"/>
      <c r="I359" s="16" t="s">
        <v>1633</v>
      </c>
      <c r="J359" s="16" t="s">
        <v>1634</v>
      </c>
      <c r="K359" s="16" t="s">
        <v>1635</v>
      </c>
    </row>
    <row r="360" spans="1:11" ht="255" hidden="1" x14ac:dyDescent="0.25">
      <c r="A360" s="22">
        <v>357</v>
      </c>
      <c r="B360" s="16" t="s">
        <v>1636</v>
      </c>
      <c r="C360" s="16" t="s">
        <v>1637</v>
      </c>
      <c r="D360" s="16">
        <v>13400000</v>
      </c>
      <c r="E360" s="16">
        <v>3</v>
      </c>
      <c r="F360" s="16">
        <v>3</v>
      </c>
      <c r="G360" s="20" t="s">
        <v>1443</v>
      </c>
      <c r="H360" s="16"/>
      <c r="I360" s="16" t="s">
        <v>1638</v>
      </c>
      <c r="J360" s="16" t="s">
        <v>1639</v>
      </c>
      <c r="K360" s="16" t="s">
        <v>1640</v>
      </c>
    </row>
    <row r="361" spans="1:11" ht="330" hidden="1" x14ac:dyDescent="0.25">
      <c r="A361" s="22">
        <v>358</v>
      </c>
      <c r="B361" s="16" t="s">
        <v>1641</v>
      </c>
      <c r="C361" s="16" t="s">
        <v>1642</v>
      </c>
      <c r="D361" s="16">
        <v>26289000</v>
      </c>
      <c r="E361" s="16">
        <v>4</v>
      </c>
      <c r="F361" s="16">
        <v>2</v>
      </c>
      <c r="G361" s="20" t="s">
        <v>1443</v>
      </c>
      <c r="H361" s="16"/>
      <c r="I361" s="16" t="s">
        <v>1643</v>
      </c>
      <c r="J361" s="16" t="s">
        <v>1644</v>
      </c>
      <c r="K361" s="16" t="s">
        <v>1645</v>
      </c>
    </row>
    <row r="362" spans="1:11" ht="240" hidden="1" x14ac:dyDescent="0.25">
      <c r="A362" s="22">
        <v>359</v>
      </c>
      <c r="B362" s="16" t="s">
        <v>1646</v>
      </c>
      <c r="C362" s="16" t="s">
        <v>1647</v>
      </c>
      <c r="D362" s="16">
        <v>49518484</v>
      </c>
      <c r="E362" s="16">
        <v>3</v>
      </c>
      <c r="F362" s="16">
        <v>3</v>
      </c>
      <c r="G362" s="20" t="s">
        <v>1443</v>
      </c>
      <c r="H362" s="16"/>
      <c r="I362" s="16" t="s">
        <v>1648</v>
      </c>
      <c r="J362" s="16" t="s">
        <v>1649</v>
      </c>
      <c r="K362" s="16" t="s">
        <v>1650</v>
      </c>
    </row>
    <row r="363" spans="1:11" ht="285" hidden="1" x14ac:dyDescent="0.25">
      <c r="A363" s="22">
        <v>360</v>
      </c>
      <c r="B363" s="16" t="s">
        <v>1651</v>
      </c>
      <c r="C363" s="16" t="s">
        <v>1652</v>
      </c>
      <c r="D363" s="16">
        <v>10684000</v>
      </c>
      <c r="E363" s="16">
        <v>3</v>
      </c>
      <c r="F363" s="16">
        <v>2</v>
      </c>
      <c r="G363" s="20" t="s">
        <v>1443</v>
      </c>
      <c r="H363" s="16"/>
      <c r="I363" s="16" t="s">
        <v>1653</v>
      </c>
      <c r="J363" s="16" t="s">
        <v>1654</v>
      </c>
      <c r="K363" s="16" t="s">
        <v>1655</v>
      </c>
    </row>
    <row r="364" spans="1:11" ht="409.5" hidden="1" x14ac:dyDescent="0.25">
      <c r="A364" s="22">
        <v>361</v>
      </c>
      <c r="B364" s="16" t="s">
        <v>1656</v>
      </c>
      <c r="C364" s="16" t="s">
        <v>1657</v>
      </c>
      <c r="D364" s="16">
        <v>16265000</v>
      </c>
      <c r="E364" s="16">
        <v>2</v>
      </c>
      <c r="F364" s="16">
        <v>3</v>
      </c>
      <c r="G364" s="20" t="s">
        <v>1443</v>
      </c>
      <c r="H364" s="16"/>
      <c r="I364" s="16" t="s">
        <v>1658</v>
      </c>
      <c r="J364" s="16" t="s">
        <v>1659</v>
      </c>
      <c r="K364" s="16" t="s">
        <v>1660</v>
      </c>
    </row>
    <row r="365" spans="1:11" ht="375" hidden="1" x14ac:dyDescent="0.25">
      <c r="A365" s="22">
        <v>362</v>
      </c>
      <c r="B365" s="16" t="s">
        <v>1661</v>
      </c>
      <c r="C365" s="16" t="s">
        <v>1662</v>
      </c>
      <c r="D365" s="16">
        <v>7686000</v>
      </c>
      <c r="E365" s="16">
        <v>4</v>
      </c>
      <c r="F365" s="16">
        <v>2</v>
      </c>
      <c r="G365" s="20" t="s">
        <v>1443</v>
      </c>
      <c r="H365" s="16"/>
      <c r="I365" s="16" t="s">
        <v>1663</v>
      </c>
      <c r="J365" s="16" t="s">
        <v>1664</v>
      </c>
      <c r="K365" s="16" t="s">
        <v>1665</v>
      </c>
    </row>
    <row r="366" spans="1:11" ht="375" hidden="1" x14ac:dyDescent="0.25">
      <c r="A366" s="22">
        <v>363</v>
      </c>
      <c r="B366" s="16" t="s">
        <v>1666</v>
      </c>
      <c r="C366" s="16" t="s">
        <v>1667</v>
      </c>
      <c r="D366" s="16">
        <v>10365000</v>
      </c>
      <c r="E366" s="16">
        <v>4</v>
      </c>
      <c r="F366" s="16">
        <v>2</v>
      </c>
      <c r="G366" s="20" t="s">
        <v>1443</v>
      </c>
      <c r="H366" s="16"/>
      <c r="I366" s="16" t="s">
        <v>1663</v>
      </c>
      <c r="J366" s="16" t="s">
        <v>1668</v>
      </c>
      <c r="K366" s="16" t="s">
        <v>1665</v>
      </c>
    </row>
    <row r="367" spans="1:11" ht="330" hidden="1" x14ac:dyDescent="0.25">
      <c r="A367" s="22">
        <v>364</v>
      </c>
      <c r="B367" s="16" t="s">
        <v>1669</v>
      </c>
      <c r="C367" s="16" t="s">
        <v>1670</v>
      </c>
      <c r="D367" s="16">
        <v>17553000</v>
      </c>
      <c r="E367" s="16">
        <v>2</v>
      </c>
      <c r="F367" s="16">
        <v>3</v>
      </c>
      <c r="G367" s="20" t="s">
        <v>1443</v>
      </c>
      <c r="H367" s="16"/>
      <c r="I367" s="16" t="s">
        <v>1671</v>
      </c>
      <c r="J367" s="16" t="s">
        <v>1672</v>
      </c>
      <c r="K367" s="16" t="s">
        <v>1673</v>
      </c>
    </row>
    <row r="368" spans="1:11" ht="240" hidden="1" x14ac:dyDescent="0.25">
      <c r="A368" s="22">
        <v>365</v>
      </c>
      <c r="B368" s="16" t="s">
        <v>1674</v>
      </c>
      <c r="C368" s="16" t="s">
        <v>1675</v>
      </c>
      <c r="D368" s="16">
        <v>50000000</v>
      </c>
      <c r="E368" s="16">
        <v>2</v>
      </c>
      <c r="F368" s="16">
        <v>4</v>
      </c>
      <c r="G368" s="20" t="s">
        <v>1443</v>
      </c>
      <c r="H368" s="16"/>
      <c r="I368" s="16" t="s">
        <v>1676</v>
      </c>
      <c r="J368" s="16" t="s">
        <v>1677</v>
      </c>
      <c r="K368" s="16" t="s">
        <v>1678</v>
      </c>
    </row>
    <row r="369" spans="1:11" ht="255" hidden="1" x14ac:dyDescent="0.25">
      <c r="A369" s="22">
        <v>366</v>
      </c>
      <c r="B369" s="16" t="s">
        <v>1679</v>
      </c>
      <c r="C369" s="16" t="s">
        <v>1680</v>
      </c>
      <c r="D369" s="16">
        <v>45000000</v>
      </c>
      <c r="E369" s="16">
        <v>2</v>
      </c>
      <c r="F369" s="16">
        <v>4</v>
      </c>
      <c r="G369" s="20" t="s">
        <v>1443</v>
      </c>
      <c r="H369" s="16"/>
      <c r="I369" s="16" t="s">
        <v>1681</v>
      </c>
      <c r="J369" s="16" t="s">
        <v>1682</v>
      </c>
      <c r="K369" s="16" t="s">
        <v>1683</v>
      </c>
    </row>
    <row r="370" spans="1:11" ht="225" hidden="1" x14ac:dyDescent="0.25">
      <c r="A370" s="22">
        <v>367</v>
      </c>
      <c r="B370" s="16" t="s">
        <v>1684</v>
      </c>
      <c r="C370" s="16" t="s">
        <v>1685</v>
      </c>
      <c r="D370" s="16">
        <v>16400000</v>
      </c>
      <c r="E370" s="16">
        <v>2</v>
      </c>
      <c r="F370" s="16">
        <v>4</v>
      </c>
      <c r="G370" s="20" t="s">
        <v>1443</v>
      </c>
      <c r="H370" s="16"/>
      <c r="I370" s="16" t="s">
        <v>1686</v>
      </c>
      <c r="J370" s="16" t="s">
        <v>1687</v>
      </c>
      <c r="K370" s="16" t="s">
        <v>1688</v>
      </c>
    </row>
    <row r="371" spans="1:11" ht="225" hidden="1" x14ac:dyDescent="0.25">
      <c r="A371" s="22">
        <v>368</v>
      </c>
      <c r="B371" s="16" t="s">
        <v>1689</v>
      </c>
      <c r="C371" s="16" t="s">
        <v>1690</v>
      </c>
      <c r="D371" s="16">
        <v>8740000</v>
      </c>
      <c r="E371" s="16">
        <v>2</v>
      </c>
      <c r="F371" s="16">
        <v>4</v>
      </c>
      <c r="G371" s="20" t="s">
        <v>1443</v>
      </c>
      <c r="H371" s="16"/>
      <c r="I371" s="16" t="s">
        <v>1691</v>
      </c>
      <c r="J371" s="16" t="s">
        <v>1692</v>
      </c>
      <c r="K371" s="16" t="s">
        <v>1693</v>
      </c>
    </row>
    <row r="372" spans="1:11" ht="240" hidden="1" x14ac:dyDescent="0.25">
      <c r="A372" s="22">
        <v>369</v>
      </c>
      <c r="B372" s="16" t="s">
        <v>1694</v>
      </c>
      <c r="C372" s="16" t="s">
        <v>1695</v>
      </c>
      <c r="D372" s="16">
        <v>16010000</v>
      </c>
      <c r="E372" s="16">
        <v>2</v>
      </c>
      <c r="F372" s="16">
        <v>4</v>
      </c>
      <c r="G372" s="20" t="s">
        <v>1443</v>
      </c>
      <c r="H372" s="16"/>
      <c r="I372" s="16" t="s">
        <v>1696</v>
      </c>
      <c r="J372" s="16" t="s">
        <v>130</v>
      </c>
      <c r="K372" s="16" t="s">
        <v>1697</v>
      </c>
    </row>
    <row r="373" spans="1:11" ht="240" hidden="1" x14ac:dyDescent="0.25">
      <c r="A373" s="22">
        <v>370</v>
      </c>
      <c r="B373" s="16" t="s">
        <v>1698</v>
      </c>
      <c r="C373" s="16" t="s">
        <v>1699</v>
      </c>
      <c r="D373" s="16">
        <v>13146000</v>
      </c>
      <c r="E373" s="16">
        <v>2</v>
      </c>
      <c r="F373" s="16">
        <v>4</v>
      </c>
      <c r="G373" s="20" t="s">
        <v>1443</v>
      </c>
      <c r="H373" s="16"/>
      <c r="I373" s="16" t="s">
        <v>1696</v>
      </c>
      <c r="J373" s="16" t="s">
        <v>130</v>
      </c>
      <c r="K373" s="16" t="s">
        <v>1700</v>
      </c>
    </row>
    <row r="374" spans="1:11" ht="285" hidden="1" x14ac:dyDescent="0.25">
      <c r="A374" s="22">
        <v>371</v>
      </c>
      <c r="B374" s="16" t="s">
        <v>1701</v>
      </c>
      <c r="C374" s="16" t="s">
        <v>1702</v>
      </c>
      <c r="D374" s="16">
        <v>50000000</v>
      </c>
      <c r="E374" s="16">
        <v>2</v>
      </c>
      <c r="F374" s="16">
        <v>4</v>
      </c>
      <c r="G374" s="20" t="s">
        <v>1443</v>
      </c>
      <c r="H374" s="16"/>
      <c r="I374" s="16" t="s">
        <v>1676</v>
      </c>
      <c r="J374" s="16" t="s">
        <v>1703</v>
      </c>
      <c r="K374" s="16" t="s">
        <v>1678</v>
      </c>
    </row>
    <row r="375" spans="1:11" ht="255" hidden="1" x14ac:dyDescent="0.25">
      <c r="A375" s="22">
        <v>372</v>
      </c>
      <c r="B375" s="16" t="s">
        <v>1704</v>
      </c>
      <c r="C375" s="16" t="s">
        <v>1705</v>
      </c>
      <c r="D375" s="16">
        <v>50000000</v>
      </c>
      <c r="E375" s="16">
        <v>2</v>
      </c>
      <c r="F375" s="16">
        <v>4</v>
      </c>
      <c r="G375" s="20" t="s">
        <v>1443</v>
      </c>
      <c r="H375" s="16"/>
      <c r="I375" s="16" t="s">
        <v>1681</v>
      </c>
      <c r="J375" s="16" t="s">
        <v>1682</v>
      </c>
      <c r="K375" s="16" t="s">
        <v>1683</v>
      </c>
    </row>
    <row r="376" spans="1:11" ht="240" hidden="1" x14ac:dyDescent="0.25">
      <c r="A376" s="22">
        <v>373</v>
      </c>
      <c r="B376" s="16" t="s">
        <v>1706</v>
      </c>
      <c r="C376" s="16" t="s">
        <v>1707</v>
      </c>
      <c r="D376" s="16">
        <v>8130000</v>
      </c>
      <c r="E376" s="16">
        <v>2</v>
      </c>
      <c r="F376" s="16">
        <v>4</v>
      </c>
      <c r="G376" s="20" t="s">
        <v>1443</v>
      </c>
      <c r="H376" s="16"/>
      <c r="I376" s="16" t="s">
        <v>1708</v>
      </c>
      <c r="J376" s="16" t="s">
        <v>1046</v>
      </c>
      <c r="K376" s="16" t="s">
        <v>1709</v>
      </c>
    </row>
    <row r="377" spans="1:11" ht="225" hidden="1" x14ac:dyDescent="0.25">
      <c r="A377" s="22">
        <v>374</v>
      </c>
      <c r="B377" s="16" t="s">
        <v>1710</v>
      </c>
      <c r="C377" s="16" t="s">
        <v>1711</v>
      </c>
      <c r="D377" s="16">
        <v>9920000</v>
      </c>
      <c r="E377" s="16">
        <v>2</v>
      </c>
      <c r="F377" s="16">
        <v>4</v>
      </c>
      <c r="G377" s="20" t="s">
        <v>1443</v>
      </c>
      <c r="H377" s="16"/>
      <c r="I377" s="16" t="s">
        <v>1686</v>
      </c>
      <c r="J377" s="16" t="s">
        <v>1687</v>
      </c>
      <c r="K377" s="16" t="s">
        <v>1688</v>
      </c>
    </row>
    <row r="378" spans="1:11" ht="270" hidden="1" x14ac:dyDescent="0.25">
      <c r="A378" s="22">
        <v>375</v>
      </c>
      <c r="B378" s="16" t="s">
        <v>1712</v>
      </c>
      <c r="C378" s="16" t="s">
        <v>1713</v>
      </c>
      <c r="D378" s="16">
        <v>6660000</v>
      </c>
      <c r="E378" s="16">
        <v>2</v>
      </c>
      <c r="F378" s="16">
        <v>4</v>
      </c>
      <c r="G378" s="20" t="s">
        <v>1443</v>
      </c>
      <c r="H378" s="16"/>
      <c r="I378" s="16" t="s">
        <v>1691</v>
      </c>
      <c r="J378" s="16" t="s">
        <v>1714</v>
      </c>
      <c r="K378" s="16" t="s">
        <v>1693</v>
      </c>
    </row>
    <row r="379" spans="1:11" ht="285" hidden="1" x14ac:dyDescent="0.25">
      <c r="A379" s="22">
        <v>376</v>
      </c>
      <c r="B379" s="16" t="s">
        <v>1715</v>
      </c>
      <c r="C379" s="16" t="s">
        <v>1716</v>
      </c>
      <c r="D379" s="16">
        <v>21600000</v>
      </c>
      <c r="E379" s="16">
        <v>2</v>
      </c>
      <c r="F379" s="16">
        <v>4</v>
      </c>
      <c r="G379" s="20" t="s">
        <v>1443</v>
      </c>
      <c r="H379" s="16"/>
      <c r="I379" s="16" t="s">
        <v>1717</v>
      </c>
      <c r="J379" s="16" t="s">
        <v>1718</v>
      </c>
      <c r="K379" s="16" t="s">
        <v>1719</v>
      </c>
    </row>
    <row r="380" spans="1:11" ht="240" hidden="1" x14ac:dyDescent="0.25">
      <c r="A380" s="22">
        <v>377</v>
      </c>
      <c r="B380" s="16" t="s">
        <v>1720</v>
      </c>
      <c r="C380" s="16" t="s">
        <v>1721</v>
      </c>
      <c r="D380" s="16">
        <v>35000000</v>
      </c>
      <c r="E380" s="16">
        <v>2</v>
      </c>
      <c r="F380" s="16">
        <v>4</v>
      </c>
      <c r="G380" s="20" t="s">
        <v>1443</v>
      </c>
      <c r="H380" s="16"/>
      <c r="I380" s="16" t="s">
        <v>1676</v>
      </c>
      <c r="J380" s="16" t="s">
        <v>1722</v>
      </c>
      <c r="K380" s="16" t="s">
        <v>1723</v>
      </c>
    </row>
    <row r="381" spans="1:11" ht="255" hidden="1" x14ac:dyDescent="0.25">
      <c r="A381" s="22">
        <v>378</v>
      </c>
      <c r="B381" s="16" t="s">
        <v>1724</v>
      </c>
      <c r="C381" s="16" t="s">
        <v>1725</v>
      </c>
      <c r="D381" s="16">
        <v>33159100</v>
      </c>
      <c r="E381" s="16">
        <v>2</v>
      </c>
      <c r="F381" s="16">
        <v>4</v>
      </c>
      <c r="G381" s="20" t="s">
        <v>1443</v>
      </c>
      <c r="H381" s="16"/>
      <c r="I381" s="16" t="s">
        <v>1681</v>
      </c>
      <c r="J381" s="16" t="s">
        <v>1682</v>
      </c>
      <c r="K381" s="16" t="s">
        <v>1683</v>
      </c>
    </row>
    <row r="382" spans="1:11" ht="225" hidden="1" x14ac:dyDescent="0.25">
      <c r="A382" s="22">
        <v>379</v>
      </c>
      <c r="B382" s="16" t="s">
        <v>1726</v>
      </c>
      <c r="C382" s="16" t="s">
        <v>1727</v>
      </c>
      <c r="D382" s="16">
        <v>6680000</v>
      </c>
      <c r="E382" s="16">
        <v>2</v>
      </c>
      <c r="F382" s="16">
        <v>4</v>
      </c>
      <c r="G382" s="20" t="s">
        <v>1443</v>
      </c>
      <c r="H382" s="16"/>
      <c r="I382" s="16" t="s">
        <v>1686</v>
      </c>
      <c r="J382" s="16" t="s">
        <v>1687</v>
      </c>
      <c r="K382" s="16" t="s">
        <v>1688</v>
      </c>
    </row>
    <row r="383" spans="1:11" ht="240" hidden="1" x14ac:dyDescent="0.25">
      <c r="A383" s="22">
        <v>380</v>
      </c>
      <c r="B383" s="16" t="s">
        <v>1728</v>
      </c>
      <c r="C383" s="16" t="s">
        <v>1729</v>
      </c>
      <c r="D383" s="16">
        <v>10371000</v>
      </c>
      <c r="E383" s="16">
        <v>2</v>
      </c>
      <c r="F383" s="16">
        <v>4</v>
      </c>
      <c r="G383" s="20" t="s">
        <v>1443</v>
      </c>
      <c r="H383" s="16"/>
      <c r="I383" s="16" t="s">
        <v>1730</v>
      </c>
      <c r="J383" s="16" t="s">
        <v>130</v>
      </c>
      <c r="K383" s="16" t="s">
        <v>1731</v>
      </c>
    </row>
    <row r="384" spans="1:11" ht="285" hidden="1" x14ac:dyDescent="0.25">
      <c r="A384" s="22">
        <v>381</v>
      </c>
      <c r="B384" s="16" t="s">
        <v>1732</v>
      </c>
      <c r="C384" s="16" t="s">
        <v>1733</v>
      </c>
      <c r="D384" s="16">
        <v>20052000</v>
      </c>
      <c r="E384" s="16">
        <v>2</v>
      </c>
      <c r="F384" s="16">
        <v>4</v>
      </c>
      <c r="G384" s="20" t="s">
        <v>1443</v>
      </c>
      <c r="H384" s="16"/>
      <c r="I384" s="16" t="s">
        <v>1734</v>
      </c>
      <c r="J384" s="16" t="s">
        <v>1735</v>
      </c>
      <c r="K384" s="16" t="s">
        <v>1736</v>
      </c>
    </row>
    <row r="385" spans="1:11" ht="240" hidden="1" x14ac:dyDescent="0.25">
      <c r="A385" s="22">
        <v>382</v>
      </c>
      <c r="B385" s="16" t="s">
        <v>1737</v>
      </c>
      <c r="C385" s="16" t="s">
        <v>1738</v>
      </c>
      <c r="D385" s="16">
        <v>7360000</v>
      </c>
      <c r="E385" s="16">
        <v>2</v>
      </c>
      <c r="F385" s="16">
        <v>4</v>
      </c>
      <c r="G385" s="20" t="s">
        <v>1443</v>
      </c>
      <c r="H385" s="16"/>
      <c r="I385" s="16" t="s">
        <v>1691</v>
      </c>
      <c r="J385" s="16" t="s">
        <v>1739</v>
      </c>
      <c r="K385" s="16" t="s">
        <v>1740</v>
      </c>
    </row>
    <row r="386" spans="1:11" ht="300" hidden="1" x14ac:dyDescent="0.25">
      <c r="A386" s="22">
        <v>383</v>
      </c>
      <c r="B386" s="16" t="s">
        <v>1741</v>
      </c>
      <c r="C386" s="16" t="s">
        <v>1742</v>
      </c>
      <c r="D386" s="16">
        <v>24267000</v>
      </c>
      <c r="E386" s="16">
        <v>2</v>
      </c>
      <c r="F386" s="16">
        <v>3</v>
      </c>
      <c r="G386" s="20" t="s">
        <v>1443</v>
      </c>
      <c r="H386" s="16"/>
      <c r="I386" s="16" t="s">
        <v>1663</v>
      </c>
      <c r="J386" s="16" t="s">
        <v>1743</v>
      </c>
      <c r="K386" s="16" t="s">
        <v>1744</v>
      </c>
    </row>
    <row r="387" spans="1:11" ht="360" hidden="1" x14ac:dyDescent="0.25">
      <c r="A387" s="22">
        <v>384</v>
      </c>
      <c r="B387" s="16" t="s">
        <v>1745</v>
      </c>
      <c r="C387" s="16" t="s">
        <v>1746</v>
      </c>
      <c r="D387" s="16">
        <v>12219000</v>
      </c>
      <c r="E387" s="16">
        <v>2</v>
      </c>
      <c r="F387" s="16">
        <v>3</v>
      </c>
      <c r="G387" s="20" t="s">
        <v>1443</v>
      </c>
      <c r="H387" s="16"/>
      <c r="I387" s="16" t="s">
        <v>714</v>
      </c>
      <c r="J387" s="16" t="s">
        <v>1604</v>
      </c>
      <c r="K387" s="16" t="s">
        <v>1747</v>
      </c>
    </row>
    <row r="388" spans="1:11" ht="409.5" hidden="1" x14ac:dyDescent="0.25">
      <c r="A388" s="22">
        <v>385</v>
      </c>
      <c r="B388" s="16" t="s">
        <v>1748</v>
      </c>
      <c r="C388" s="16" t="s">
        <v>1749</v>
      </c>
      <c r="D388" s="16">
        <v>23959000</v>
      </c>
      <c r="E388" s="16">
        <v>2</v>
      </c>
      <c r="F388" s="16">
        <v>4</v>
      </c>
      <c r="G388" s="20" t="s">
        <v>1443</v>
      </c>
      <c r="H388" s="16"/>
      <c r="I388" s="16" t="s">
        <v>1750</v>
      </c>
      <c r="J388" s="16" t="s">
        <v>1751</v>
      </c>
      <c r="K388" s="16" t="s">
        <v>1752</v>
      </c>
    </row>
    <row r="389" spans="1:11" ht="405" hidden="1" x14ac:dyDescent="0.25">
      <c r="A389" s="22">
        <v>386</v>
      </c>
      <c r="B389" s="16" t="s">
        <v>1753</v>
      </c>
      <c r="C389" s="16" t="s">
        <v>1754</v>
      </c>
      <c r="D389" s="16">
        <v>19200000</v>
      </c>
      <c r="E389" s="16">
        <v>3</v>
      </c>
      <c r="F389" s="16">
        <v>3</v>
      </c>
      <c r="G389" s="20" t="s">
        <v>1443</v>
      </c>
      <c r="H389" s="16"/>
      <c r="I389" s="16" t="s">
        <v>1663</v>
      </c>
      <c r="J389" s="16" t="s">
        <v>1755</v>
      </c>
      <c r="K389" s="16" t="s">
        <v>1756</v>
      </c>
    </row>
    <row r="390" spans="1:11" ht="285" hidden="1" x14ac:dyDescent="0.25">
      <c r="A390" s="22">
        <v>387</v>
      </c>
      <c r="B390" s="16" t="s">
        <v>1757</v>
      </c>
      <c r="C390" s="16" t="s">
        <v>1758</v>
      </c>
      <c r="D390" s="16">
        <v>18120000</v>
      </c>
      <c r="E390" s="16">
        <v>2</v>
      </c>
      <c r="F390" s="16">
        <v>5</v>
      </c>
      <c r="G390" s="20" t="s">
        <v>1443</v>
      </c>
      <c r="H390" s="16"/>
      <c r="I390" s="16" t="s">
        <v>1759</v>
      </c>
      <c r="J390" s="16" t="s">
        <v>1760</v>
      </c>
      <c r="K390" s="16" t="s">
        <v>1761</v>
      </c>
    </row>
    <row r="391" spans="1:11" ht="300" hidden="1" x14ac:dyDescent="0.25">
      <c r="A391" s="22">
        <v>388</v>
      </c>
      <c r="B391" s="16" t="s">
        <v>1762</v>
      </c>
      <c r="C391" s="16" t="s">
        <v>1763</v>
      </c>
      <c r="D391" s="16">
        <v>18990000</v>
      </c>
      <c r="E391" s="16">
        <v>3</v>
      </c>
      <c r="F391" s="16">
        <v>3</v>
      </c>
      <c r="G391" s="20" t="s">
        <v>1443</v>
      </c>
      <c r="H391" s="16"/>
      <c r="I391" s="16" t="s">
        <v>1764</v>
      </c>
      <c r="J391" s="16" t="s">
        <v>1765</v>
      </c>
      <c r="K391" s="16" t="s">
        <v>1766</v>
      </c>
    </row>
    <row r="392" spans="1:11" ht="409.5" hidden="1" x14ac:dyDescent="0.25">
      <c r="A392" s="22">
        <v>389</v>
      </c>
      <c r="B392" s="16" t="s">
        <v>1767</v>
      </c>
      <c r="C392" s="16" t="s">
        <v>1768</v>
      </c>
      <c r="D392" s="16">
        <v>17475000</v>
      </c>
      <c r="E392" s="16">
        <v>3</v>
      </c>
      <c r="F392" s="16">
        <v>3</v>
      </c>
      <c r="G392" s="20" t="s">
        <v>1443</v>
      </c>
      <c r="H392" s="16"/>
      <c r="I392" s="16" t="s">
        <v>1769</v>
      </c>
      <c r="J392" s="16" t="s">
        <v>1770</v>
      </c>
      <c r="K392" s="16" t="s">
        <v>1771</v>
      </c>
    </row>
    <row r="393" spans="1:11" ht="409.5" hidden="1" x14ac:dyDescent="0.25">
      <c r="A393" s="22">
        <v>390</v>
      </c>
      <c r="B393" s="16" t="s">
        <v>1772</v>
      </c>
      <c r="C393" s="16" t="s">
        <v>1773</v>
      </c>
      <c r="D393" s="16">
        <v>15150000</v>
      </c>
      <c r="E393" s="16">
        <v>3</v>
      </c>
      <c r="F393" s="16">
        <v>3</v>
      </c>
      <c r="G393" s="20" t="s">
        <v>1443</v>
      </c>
      <c r="H393" s="16"/>
      <c r="I393" s="16" t="s">
        <v>1774</v>
      </c>
      <c r="J393" s="16" t="s">
        <v>1775</v>
      </c>
      <c r="K393" s="16" t="s">
        <v>1776</v>
      </c>
    </row>
    <row r="394" spans="1:11" ht="409.5" hidden="1" x14ac:dyDescent="0.25">
      <c r="A394" s="22">
        <v>391</v>
      </c>
      <c r="B394" s="16" t="s">
        <v>1777</v>
      </c>
      <c r="C394" s="16" t="s">
        <v>1778</v>
      </c>
      <c r="D394" s="16">
        <v>32010000</v>
      </c>
      <c r="E394" s="16">
        <v>3</v>
      </c>
      <c r="F394" s="16">
        <v>3</v>
      </c>
      <c r="G394" s="20" t="s">
        <v>1443</v>
      </c>
      <c r="H394" s="16"/>
      <c r="I394" s="16" t="s">
        <v>1779</v>
      </c>
      <c r="J394" s="16" t="s">
        <v>1780</v>
      </c>
      <c r="K394" s="16" t="s">
        <v>1781</v>
      </c>
    </row>
    <row r="395" spans="1:11" ht="330" hidden="1" x14ac:dyDescent="0.25">
      <c r="A395" s="22">
        <v>392</v>
      </c>
      <c r="B395" s="16" t="s">
        <v>1782</v>
      </c>
      <c r="C395" s="16" t="s">
        <v>1783</v>
      </c>
      <c r="D395" s="16">
        <v>92687645</v>
      </c>
      <c r="E395" s="16">
        <v>2</v>
      </c>
      <c r="F395" s="16">
        <v>5</v>
      </c>
      <c r="G395" s="20" t="s">
        <v>1443</v>
      </c>
      <c r="H395" s="16"/>
      <c r="I395" s="16" t="s">
        <v>140</v>
      </c>
      <c r="J395" s="16" t="s">
        <v>1784</v>
      </c>
      <c r="K395" s="16" t="s">
        <v>142</v>
      </c>
    </row>
    <row r="396" spans="1:11" ht="360" hidden="1" x14ac:dyDescent="0.25">
      <c r="A396" s="22">
        <v>393</v>
      </c>
      <c r="B396" s="16" t="s">
        <v>1785</v>
      </c>
      <c r="C396" s="16" t="s">
        <v>1786</v>
      </c>
      <c r="D396" s="16">
        <v>17455000</v>
      </c>
      <c r="E396" s="16">
        <v>2</v>
      </c>
      <c r="F396" s="16">
        <v>5</v>
      </c>
      <c r="G396" s="20" t="s">
        <v>1443</v>
      </c>
      <c r="H396" s="16"/>
      <c r="I396" s="16" t="s">
        <v>1787</v>
      </c>
      <c r="J396" s="16" t="s">
        <v>1788</v>
      </c>
      <c r="K396" s="16" t="s">
        <v>1789</v>
      </c>
    </row>
    <row r="397" spans="1:11" ht="300" hidden="1" x14ac:dyDescent="0.25">
      <c r="A397" s="22">
        <v>394</v>
      </c>
      <c r="B397" s="16" t="s">
        <v>1790</v>
      </c>
      <c r="C397" s="16" t="s">
        <v>1791</v>
      </c>
      <c r="D397" s="16">
        <v>10652000</v>
      </c>
      <c r="E397" s="16">
        <v>2</v>
      </c>
      <c r="F397" s="16">
        <v>3</v>
      </c>
      <c r="G397" s="20" t="s">
        <v>1443</v>
      </c>
      <c r="H397" s="16"/>
      <c r="I397" s="16" t="s">
        <v>1663</v>
      </c>
      <c r="J397" s="16" t="s">
        <v>1792</v>
      </c>
      <c r="K397" s="16" t="s">
        <v>1793</v>
      </c>
    </row>
    <row r="398" spans="1:11" ht="409.5" hidden="1" x14ac:dyDescent="0.25">
      <c r="A398" s="22">
        <v>395</v>
      </c>
      <c r="B398" s="16" t="s">
        <v>1794</v>
      </c>
      <c r="C398" s="16" t="s">
        <v>1795</v>
      </c>
      <c r="D398" s="16">
        <v>11158500</v>
      </c>
      <c r="E398" s="16">
        <v>2</v>
      </c>
      <c r="F398" s="16">
        <v>5</v>
      </c>
      <c r="G398" s="20" t="s">
        <v>1443</v>
      </c>
      <c r="H398" s="16"/>
      <c r="I398" s="16" t="s">
        <v>1594</v>
      </c>
      <c r="J398" s="16" t="s">
        <v>1796</v>
      </c>
      <c r="K398" s="16" t="s">
        <v>1797</v>
      </c>
    </row>
    <row r="399" spans="1:11" ht="405" hidden="1" x14ac:dyDescent="0.25">
      <c r="A399" s="22">
        <v>396</v>
      </c>
      <c r="B399" s="16" t="s">
        <v>1798</v>
      </c>
      <c r="C399" s="16" t="s">
        <v>1799</v>
      </c>
      <c r="D399" s="16">
        <v>13147000</v>
      </c>
      <c r="E399" s="16">
        <v>2</v>
      </c>
      <c r="F399" s="16">
        <v>3</v>
      </c>
      <c r="G399" s="20" t="s">
        <v>1443</v>
      </c>
      <c r="H399" s="16"/>
      <c r="I399" s="16" t="s">
        <v>1800</v>
      </c>
      <c r="J399" s="16" t="s">
        <v>1801</v>
      </c>
      <c r="K399" s="16" t="s">
        <v>1802</v>
      </c>
    </row>
    <row r="400" spans="1:11" ht="270" hidden="1" x14ac:dyDescent="0.25">
      <c r="A400" s="22">
        <v>397</v>
      </c>
      <c r="B400" s="16" t="s">
        <v>1803</v>
      </c>
      <c r="C400" s="16" t="s">
        <v>1804</v>
      </c>
      <c r="D400" s="16">
        <v>18106000</v>
      </c>
      <c r="E400" s="16">
        <v>2</v>
      </c>
      <c r="F400" s="16">
        <v>5</v>
      </c>
      <c r="G400" s="20" t="s">
        <v>1443</v>
      </c>
      <c r="H400" s="16"/>
      <c r="I400" s="16" t="s">
        <v>1805</v>
      </c>
      <c r="J400" s="16" t="s">
        <v>1806</v>
      </c>
      <c r="K400" s="16" t="s">
        <v>1807</v>
      </c>
    </row>
    <row r="401" spans="1:11" ht="300" hidden="1" x14ac:dyDescent="0.25">
      <c r="A401" s="22">
        <v>398</v>
      </c>
      <c r="B401" s="16" t="s">
        <v>1808</v>
      </c>
      <c r="C401" s="16" t="s">
        <v>1809</v>
      </c>
      <c r="D401" s="16">
        <v>21700089</v>
      </c>
      <c r="E401" s="16">
        <v>2</v>
      </c>
      <c r="F401" s="16">
        <v>5</v>
      </c>
      <c r="G401" s="20" t="s">
        <v>1443</v>
      </c>
      <c r="H401" s="16"/>
      <c r="I401" s="16" t="s">
        <v>1810</v>
      </c>
      <c r="J401" s="16" t="s">
        <v>1811</v>
      </c>
      <c r="K401" s="16" t="s">
        <v>1812</v>
      </c>
    </row>
    <row r="402" spans="1:11" ht="90" hidden="1" x14ac:dyDescent="0.25">
      <c r="A402" s="22">
        <v>399</v>
      </c>
      <c r="B402" s="16" t="s">
        <v>1813</v>
      </c>
      <c r="C402" s="16" t="s">
        <v>1814</v>
      </c>
      <c r="D402" s="16">
        <v>1965000</v>
      </c>
      <c r="E402" s="16">
        <v>2</v>
      </c>
      <c r="F402" s="16">
        <v>3</v>
      </c>
      <c r="G402" s="20" t="s">
        <v>1443</v>
      </c>
      <c r="H402" s="16"/>
      <c r="I402" s="16" t="s">
        <v>1815</v>
      </c>
      <c r="J402" s="16" t="s">
        <v>1816</v>
      </c>
      <c r="K402" s="16" t="s">
        <v>1817</v>
      </c>
    </row>
    <row r="403" spans="1:11" ht="240" hidden="1" x14ac:dyDescent="0.25">
      <c r="A403" s="22">
        <v>400</v>
      </c>
      <c r="B403" s="16" t="s">
        <v>1818</v>
      </c>
      <c r="C403" s="16" t="s">
        <v>1819</v>
      </c>
      <c r="D403" s="16">
        <v>5715000</v>
      </c>
      <c r="E403" s="16">
        <v>2</v>
      </c>
      <c r="F403" s="16">
        <v>3</v>
      </c>
      <c r="G403" s="20" t="s">
        <v>1443</v>
      </c>
      <c r="H403" s="16"/>
      <c r="I403" s="16" t="s">
        <v>1820</v>
      </c>
      <c r="J403" s="16" t="s">
        <v>1821</v>
      </c>
      <c r="K403" s="16" t="s">
        <v>1822</v>
      </c>
    </row>
    <row r="404" spans="1:11" ht="255" hidden="1" x14ac:dyDescent="0.25">
      <c r="A404" s="22">
        <v>401</v>
      </c>
      <c r="B404" s="16" t="s">
        <v>1823</v>
      </c>
      <c r="C404" s="16" t="s">
        <v>1824</v>
      </c>
      <c r="D404" s="16">
        <v>11340000</v>
      </c>
      <c r="E404" s="16">
        <v>3</v>
      </c>
      <c r="F404" s="16">
        <v>3</v>
      </c>
      <c r="G404" s="20" t="s">
        <v>1443</v>
      </c>
      <c r="H404" s="16"/>
      <c r="I404" s="16" t="s">
        <v>1825</v>
      </c>
      <c r="J404" s="16" t="s">
        <v>1826</v>
      </c>
      <c r="K404" s="16" t="s">
        <v>1827</v>
      </c>
    </row>
    <row r="405" spans="1:11" ht="300" hidden="1" x14ac:dyDescent="0.25">
      <c r="A405" s="22">
        <v>402</v>
      </c>
      <c r="B405" s="16" t="s">
        <v>1828</v>
      </c>
      <c r="C405" s="16" t="s">
        <v>1829</v>
      </c>
      <c r="D405" s="16">
        <v>38395000</v>
      </c>
      <c r="E405" s="16">
        <v>2</v>
      </c>
      <c r="F405" s="16">
        <v>4</v>
      </c>
      <c r="G405" s="20" t="s">
        <v>1443</v>
      </c>
      <c r="H405" s="16"/>
      <c r="I405" s="16" t="s">
        <v>1830</v>
      </c>
      <c r="J405" s="16" t="s">
        <v>1831</v>
      </c>
      <c r="K405" s="16" t="s">
        <v>1832</v>
      </c>
    </row>
    <row r="406" spans="1:11" ht="270" hidden="1" x14ac:dyDescent="0.25">
      <c r="A406" s="22">
        <v>403</v>
      </c>
      <c r="B406" s="16" t="s">
        <v>1833</v>
      </c>
      <c r="C406" s="16" t="s">
        <v>1834</v>
      </c>
      <c r="D406" s="16">
        <v>105864510</v>
      </c>
      <c r="E406" s="16">
        <v>2</v>
      </c>
      <c r="F406" s="16">
        <v>4</v>
      </c>
      <c r="G406" s="20" t="s">
        <v>1443</v>
      </c>
      <c r="H406" s="16"/>
      <c r="I406" s="16" t="s">
        <v>1676</v>
      </c>
      <c r="J406" s="16" t="s">
        <v>1835</v>
      </c>
      <c r="K406" s="16" t="s">
        <v>1678</v>
      </c>
    </row>
    <row r="407" spans="1:11" ht="225" hidden="1" x14ac:dyDescent="0.25">
      <c r="A407" s="22">
        <v>404</v>
      </c>
      <c r="B407" s="16" t="s">
        <v>1836</v>
      </c>
      <c r="C407" s="16" t="s">
        <v>1837</v>
      </c>
      <c r="D407" s="16">
        <v>11360000</v>
      </c>
      <c r="E407" s="16">
        <v>2</v>
      </c>
      <c r="F407" s="16">
        <v>4</v>
      </c>
      <c r="G407" s="20" t="s">
        <v>1443</v>
      </c>
      <c r="H407" s="16"/>
      <c r="I407" s="16" t="s">
        <v>1691</v>
      </c>
      <c r="J407" s="16" t="s">
        <v>1838</v>
      </c>
      <c r="K407" s="16" t="s">
        <v>1839</v>
      </c>
    </row>
    <row r="408" spans="1:11" ht="255" hidden="1" x14ac:dyDescent="0.25">
      <c r="A408" s="22">
        <v>405</v>
      </c>
      <c r="B408" s="16" t="s">
        <v>1840</v>
      </c>
      <c r="C408" s="16" t="s">
        <v>1841</v>
      </c>
      <c r="D408" s="16">
        <v>22710900</v>
      </c>
      <c r="E408" s="16">
        <v>2</v>
      </c>
      <c r="F408" s="16">
        <v>4</v>
      </c>
      <c r="G408" s="20" t="s">
        <v>1443</v>
      </c>
      <c r="H408" s="16"/>
      <c r="I408" s="16" t="s">
        <v>1681</v>
      </c>
      <c r="J408" s="16" t="s">
        <v>1682</v>
      </c>
      <c r="K408" s="16" t="s">
        <v>1683</v>
      </c>
    </row>
    <row r="409" spans="1:11" ht="240" hidden="1" x14ac:dyDescent="0.25">
      <c r="A409" s="22">
        <v>406</v>
      </c>
      <c r="B409" s="16" t="s">
        <v>1842</v>
      </c>
      <c r="C409" s="16" t="s">
        <v>1843</v>
      </c>
      <c r="D409" s="16">
        <v>9115000</v>
      </c>
      <c r="E409" s="16">
        <v>2</v>
      </c>
      <c r="F409" s="16">
        <v>4</v>
      </c>
      <c r="G409" s="20" t="s">
        <v>1443</v>
      </c>
      <c r="H409" s="16"/>
      <c r="I409" s="16" t="s">
        <v>1844</v>
      </c>
      <c r="J409" s="16" t="s">
        <v>1845</v>
      </c>
      <c r="K409" s="16" t="s">
        <v>1846</v>
      </c>
    </row>
    <row r="410" spans="1:11" ht="300" hidden="1" x14ac:dyDescent="0.25">
      <c r="A410" s="22">
        <v>407</v>
      </c>
      <c r="B410" s="16" t="s">
        <v>1847</v>
      </c>
      <c r="C410" s="16" t="s">
        <v>1848</v>
      </c>
      <c r="D410" s="16">
        <v>28940000</v>
      </c>
      <c r="E410" s="16">
        <v>2</v>
      </c>
      <c r="F410" s="16">
        <v>4</v>
      </c>
      <c r="G410" s="20" t="s">
        <v>1443</v>
      </c>
      <c r="H410" s="16"/>
      <c r="I410" s="16" t="s">
        <v>1849</v>
      </c>
      <c r="J410" s="16" t="s">
        <v>1850</v>
      </c>
      <c r="K410" s="16" t="s">
        <v>1851</v>
      </c>
    </row>
    <row r="411" spans="1:11" ht="225" hidden="1" x14ac:dyDescent="0.25">
      <c r="A411" s="22">
        <v>408</v>
      </c>
      <c r="B411" s="16" t="s">
        <v>1852</v>
      </c>
      <c r="C411" s="16" t="s">
        <v>1853</v>
      </c>
      <c r="D411" s="16">
        <v>8300000</v>
      </c>
      <c r="E411" s="16">
        <v>2</v>
      </c>
      <c r="F411" s="16">
        <v>4</v>
      </c>
      <c r="G411" s="20" t="s">
        <v>1443</v>
      </c>
      <c r="H411" s="16"/>
      <c r="I411" s="16" t="s">
        <v>1686</v>
      </c>
      <c r="J411" s="16" t="s">
        <v>1687</v>
      </c>
      <c r="K411" s="16" t="s">
        <v>1688</v>
      </c>
    </row>
    <row r="412" spans="1:11" ht="165" hidden="1" x14ac:dyDescent="0.25">
      <c r="A412" s="22">
        <v>409</v>
      </c>
      <c r="B412" s="16" t="s">
        <v>1854</v>
      </c>
      <c r="C412" s="16" t="s">
        <v>1855</v>
      </c>
      <c r="D412" s="16">
        <v>10625000</v>
      </c>
      <c r="E412" s="16">
        <v>3</v>
      </c>
      <c r="F412" s="16">
        <v>3</v>
      </c>
      <c r="G412" s="20" t="s">
        <v>1443</v>
      </c>
      <c r="H412" s="16"/>
      <c r="I412" s="16" t="s">
        <v>1856</v>
      </c>
      <c r="J412" s="16" t="s">
        <v>1857</v>
      </c>
      <c r="K412" s="16" t="s">
        <v>1858</v>
      </c>
    </row>
    <row r="413" spans="1:11" ht="225" hidden="1" x14ac:dyDescent="0.25">
      <c r="A413" s="22">
        <v>410</v>
      </c>
      <c r="B413" s="16" t="s">
        <v>1859</v>
      </c>
      <c r="C413" s="16" t="s">
        <v>1860</v>
      </c>
      <c r="D413" s="16">
        <v>12259000</v>
      </c>
      <c r="E413" s="16">
        <v>2</v>
      </c>
      <c r="F413" s="16">
        <v>3</v>
      </c>
      <c r="G413" s="20" t="s">
        <v>1443</v>
      </c>
      <c r="H413" s="16"/>
      <c r="I413" s="16" t="s">
        <v>1861</v>
      </c>
      <c r="J413" s="16" t="s">
        <v>1862</v>
      </c>
      <c r="K413" s="16" t="s">
        <v>1863</v>
      </c>
    </row>
    <row r="414" spans="1:11" ht="240" hidden="1" x14ac:dyDescent="0.25">
      <c r="A414" s="22">
        <v>411</v>
      </c>
      <c r="B414" s="16" t="s">
        <v>1864</v>
      </c>
      <c r="C414" s="16" t="s">
        <v>1865</v>
      </c>
      <c r="D414" s="16">
        <v>46800000</v>
      </c>
      <c r="E414" s="16">
        <v>2</v>
      </c>
      <c r="F414" s="16">
        <v>3</v>
      </c>
      <c r="G414" s="20" t="s">
        <v>1443</v>
      </c>
      <c r="H414" s="16"/>
      <c r="I414" s="16" t="s">
        <v>1866</v>
      </c>
      <c r="J414" s="16" t="s">
        <v>1867</v>
      </c>
      <c r="K414" s="16" t="s">
        <v>142</v>
      </c>
    </row>
    <row r="415" spans="1:11" ht="270" hidden="1" x14ac:dyDescent="0.25">
      <c r="A415" s="22">
        <v>412</v>
      </c>
      <c r="B415" s="16" t="s">
        <v>1868</v>
      </c>
      <c r="C415" s="16" t="s">
        <v>1869</v>
      </c>
      <c r="D415" s="16">
        <v>285248955</v>
      </c>
      <c r="E415" s="16">
        <v>2</v>
      </c>
      <c r="F415" s="16">
        <v>5</v>
      </c>
      <c r="G415" s="20" t="s">
        <v>1443</v>
      </c>
      <c r="H415" s="16"/>
      <c r="I415" s="16" t="s">
        <v>140</v>
      </c>
      <c r="J415" s="16" t="s">
        <v>1870</v>
      </c>
      <c r="K415" s="16" t="s">
        <v>142</v>
      </c>
    </row>
    <row r="416" spans="1:11" ht="225" hidden="1" x14ac:dyDescent="0.25">
      <c r="A416" s="22">
        <v>413</v>
      </c>
      <c r="B416" s="16" t="s">
        <v>1871</v>
      </c>
      <c r="C416" s="16" t="s">
        <v>1872</v>
      </c>
      <c r="D416" s="16">
        <v>49835457</v>
      </c>
      <c r="E416" s="16">
        <v>2</v>
      </c>
      <c r="F416" s="16">
        <v>3</v>
      </c>
      <c r="G416" s="20" t="s">
        <v>1443</v>
      </c>
      <c r="H416" s="16"/>
      <c r="I416" s="16" t="s">
        <v>380</v>
      </c>
      <c r="J416" s="16" t="s">
        <v>1873</v>
      </c>
      <c r="K416" s="16" t="s">
        <v>1563</v>
      </c>
    </row>
    <row r="417" spans="1:11" ht="195" hidden="1" x14ac:dyDescent="0.25">
      <c r="A417" s="22">
        <v>414</v>
      </c>
      <c r="B417" s="16" t="s">
        <v>1874</v>
      </c>
      <c r="C417" s="16" t="s">
        <v>1875</v>
      </c>
      <c r="D417" s="16">
        <v>7485000</v>
      </c>
      <c r="E417" s="16">
        <v>2</v>
      </c>
      <c r="F417" s="16">
        <v>5</v>
      </c>
      <c r="G417" s="20" t="s">
        <v>1443</v>
      </c>
      <c r="H417" s="16"/>
      <c r="I417" s="16" t="s">
        <v>1876</v>
      </c>
      <c r="J417" s="16" t="s">
        <v>1877</v>
      </c>
      <c r="K417" s="16" t="s">
        <v>1878</v>
      </c>
    </row>
    <row r="418" spans="1:11" ht="240" hidden="1" x14ac:dyDescent="0.25">
      <c r="A418" s="22">
        <v>415</v>
      </c>
      <c r="B418" s="16" t="s">
        <v>1879</v>
      </c>
      <c r="C418" s="16" t="s">
        <v>1880</v>
      </c>
      <c r="D418" s="16">
        <v>24208000</v>
      </c>
      <c r="E418" s="16">
        <v>2</v>
      </c>
      <c r="F418" s="16">
        <v>5</v>
      </c>
      <c r="G418" s="20" t="s">
        <v>1443</v>
      </c>
      <c r="H418" s="16"/>
      <c r="I418" s="16" t="s">
        <v>1881</v>
      </c>
      <c r="J418" s="16" t="s">
        <v>130</v>
      </c>
      <c r="K418" s="16" t="s">
        <v>131</v>
      </c>
    </row>
    <row r="419" spans="1:11" ht="360" hidden="1" x14ac:dyDescent="0.25">
      <c r="A419" s="22">
        <v>416</v>
      </c>
      <c r="B419" s="16" t="s">
        <v>1882</v>
      </c>
      <c r="C419" s="16" t="s">
        <v>1883</v>
      </c>
      <c r="D419" s="16">
        <v>157950910</v>
      </c>
      <c r="E419" s="16">
        <v>2</v>
      </c>
      <c r="F419" s="16">
        <v>5</v>
      </c>
      <c r="G419" s="20" t="s">
        <v>1443</v>
      </c>
      <c r="H419" s="16"/>
      <c r="I419" s="16" t="s">
        <v>1884</v>
      </c>
      <c r="J419" s="16" t="s">
        <v>1885</v>
      </c>
      <c r="K419" s="16" t="s">
        <v>1886</v>
      </c>
    </row>
    <row r="420" spans="1:11" ht="360" hidden="1" x14ac:dyDescent="0.25">
      <c r="A420" s="22">
        <v>417</v>
      </c>
      <c r="B420" s="16" t="s">
        <v>1887</v>
      </c>
      <c r="C420" s="16" t="s">
        <v>1888</v>
      </c>
      <c r="D420" s="16">
        <v>98527444</v>
      </c>
      <c r="E420" s="16">
        <v>2</v>
      </c>
      <c r="F420" s="16">
        <v>5</v>
      </c>
      <c r="G420" s="20" t="s">
        <v>1443</v>
      </c>
      <c r="H420" s="16"/>
      <c r="I420" s="16" t="s">
        <v>1884</v>
      </c>
      <c r="J420" s="16" t="s">
        <v>1885</v>
      </c>
      <c r="K420" s="16" t="s">
        <v>1886</v>
      </c>
    </row>
    <row r="421" spans="1:11" ht="285" hidden="1" x14ac:dyDescent="0.25">
      <c r="A421" s="22">
        <v>418</v>
      </c>
      <c r="B421" s="16" t="s">
        <v>1889</v>
      </c>
      <c r="C421" s="16" t="s">
        <v>1890</v>
      </c>
      <c r="D421" s="16">
        <v>199898830</v>
      </c>
      <c r="E421" s="16">
        <v>3</v>
      </c>
      <c r="F421" s="16">
        <v>3</v>
      </c>
      <c r="G421" s="20" t="s">
        <v>1443</v>
      </c>
      <c r="H421" s="16"/>
      <c r="I421" s="16" t="s">
        <v>1891</v>
      </c>
      <c r="J421" s="16" t="s">
        <v>1892</v>
      </c>
      <c r="K421" s="16" t="s">
        <v>142</v>
      </c>
    </row>
    <row r="422" spans="1:11" ht="210" hidden="1" x14ac:dyDescent="0.25">
      <c r="A422" s="22">
        <v>419</v>
      </c>
      <c r="B422" s="16" t="s">
        <v>1893</v>
      </c>
      <c r="C422" s="16" t="s">
        <v>1894</v>
      </c>
      <c r="D422" s="16">
        <v>3320000</v>
      </c>
      <c r="E422" s="16">
        <v>2</v>
      </c>
      <c r="F422" s="16">
        <v>5</v>
      </c>
      <c r="G422" s="20" t="s">
        <v>1443</v>
      </c>
      <c r="H422" s="16"/>
      <c r="I422" s="16" t="s">
        <v>1895</v>
      </c>
      <c r="J422" s="16" t="s">
        <v>1896</v>
      </c>
      <c r="K422" s="16" t="s">
        <v>1897</v>
      </c>
    </row>
    <row r="423" spans="1:11" ht="225" hidden="1" x14ac:dyDescent="0.25">
      <c r="A423" s="22">
        <v>420</v>
      </c>
      <c r="B423" s="16" t="s">
        <v>1898</v>
      </c>
      <c r="C423" s="16" t="s">
        <v>1899</v>
      </c>
      <c r="D423" s="16">
        <v>49950000</v>
      </c>
      <c r="E423" s="16">
        <v>2</v>
      </c>
      <c r="F423" s="16">
        <v>3</v>
      </c>
      <c r="G423" s="20" t="s">
        <v>1443</v>
      </c>
      <c r="H423" s="16"/>
      <c r="I423" s="16" t="s">
        <v>380</v>
      </c>
      <c r="J423" s="16" t="s">
        <v>1900</v>
      </c>
      <c r="K423" s="16" t="s">
        <v>1563</v>
      </c>
    </row>
    <row r="424" spans="1:11" ht="240" hidden="1" x14ac:dyDescent="0.25">
      <c r="A424" s="22">
        <v>421</v>
      </c>
      <c r="B424" s="16" t="s">
        <v>1901</v>
      </c>
      <c r="C424" s="16" t="s">
        <v>1902</v>
      </c>
      <c r="D424" s="16">
        <v>3300000</v>
      </c>
      <c r="E424" s="16">
        <v>3</v>
      </c>
      <c r="F424" s="16">
        <v>3</v>
      </c>
      <c r="G424" s="20" t="s">
        <v>1443</v>
      </c>
      <c r="H424" s="16"/>
      <c r="I424" s="16" t="s">
        <v>1903</v>
      </c>
      <c r="J424" s="16" t="s">
        <v>1904</v>
      </c>
      <c r="K424" s="16" t="s">
        <v>1905</v>
      </c>
    </row>
    <row r="425" spans="1:11" ht="210" hidden="1" x14ac:dyDescent="0.25">
      <c r="A425" s="22">
        <v>422</v>
      </c>
      <c r="B425" s="16" t="s">
        <v>1906</v>
      </c>
      <c r="C425" s="16" t="s">
        <v>1907</v>
      </c>
      <c r="D425" s="16">
        <v>4073000</v>
      </c>
      <c r="E425" s="16">
        <v>3</v>
      </c>
      <c r="F425" s="16">
        <v>3</v>
      </c>
      <c r="G425" s="20" t="s">
        <v>1443</v>
      </c>
      <c r="H425" s="16"/>
      <c r="I425" s="16" t="s">
        <v>1908</v>
      </c>
      <c r="J425" s="16" t="s">
        <v>1909</v>
      </c>
      <c r="K425" s="16" t="s">
        <v>1910</v>
      </c>
    </row>
    <row r="426" spans="1:11" ht="210" hidden="1" x14ac:dyDescent="0.25">
      <c r="A426" s="22">
        <v>423</v>
      </c>
      <c r="B426" s="16" t="s">
        <v>1911</v>
      </c>
      <c r="C426" s="16" t="s">
        <v>1912</v>
      </c>
      <c r="D426" s="16">
        <v>4592000</v>
      </c>
      <c r="E426" s="16">
        <v>3</v>
      </c>
      <c r="F426" s="16">
        <v>3</v>
      </c>
      <c r="G426" s="20" t="s">
        <v>1443</v>
      </c>
      <c r="H426" s="16"/>
      <c r="I426" s="16" t="s">
        <v>1913</v>
      </c>
      <c r="J426" s="16" t="s">
        <v>1914</v>
      </c>
      <c r="K426" s="16" t="s">
        <v>1915</v>
      </c>
    </row>
    <row r="427" spans="1:11" ht="225" hidden="1" x14ac:dyDescent="0.25">
      <c r="A427" s="22">
        <v>424</v>
      </c>
      <c r="B427" s="16" t="s">
        <v>1916</v>
      </c>
      <c r="C427" s="16" t="s">
        <v>1917</v>
      </c>
      <c r="D427" s="16">
        <v>6523000</v>
      </c>
      <c r="E427" s="16">
        <v>2</v>
      </c>
      <c r="F427" s="16">
        <v>4</v>
      </c>
      <c r="G427" s="20" t="s">
        <v>1443</v>
      </c>
      <c r="H427" s="16"/>
      <c r="I427" s="16" t="s">
        <v>1918</v>
      </c>
      <c r="J427" s="16" t="s">
        <v>1919</v>
      </c>
      <c r="K427" s="16" t="s">
        <v>1920</v>
      </c>
    </row>
    <row r="428" spans="1:11" ht="210" hidden="1" x14ac:dyDescent="0.25">
      <c r="A428" s="22">
        <v>425</v>
      </c>
      <c r="B428" s="16" t="s">
        <v>1921</v>
      </c>
      <c r="C428" s="16" t="s">
        <v>1922</v>
      </c>
      <c r="D428" s="16">
        <v>75211600</v>
      </c>
      <c r="E428" s="16">
        <v>3</v>
      </c>
      <c r="F428" s="16">
        <v>3</v>
      </c>
      <c r="G428" s="20" t="s">
        <v>1443</v>
      </c>
      <c r="H428" s="16"/>
      <c r="I428" s="16" t="s">
        <v>1923</v>
      </c>
      <c r="J428" s="16" t="s">
        <v>1924</v>
      </c>
      <c r="K428" s="16" t="s">
        <v>1925</v>
      </c>
    </row>
    <row r="429" spans="1:11" ht="285" hidden="1" x14ac:dyDescent="0.25">
      <c r="A429" s="22">
        <v>426</v>
      </c>
      <c r="B429" s="16" t="s">
        <v>1926</v>
      </c>
      <c r="C429" s="16" t="s">
        <v>1927</v>
      </c>
      <c r="D429" s="16">
        <v>11200000</v>
      </c>
      <c r="E429" s="16">
        <v>3</v>
      </c>
      <c r="F429" s="16">
        <v>3</v>
      </c>
      <c r="G429" s="20" t="s">
        <v>1443</v>
      </c>
      <c r="H429" s="16"/>
      <c r="I429" s="16" t="s">
        <v>1928</v>
      </c>
      <c r="J429" s="16" t="s">
        <v>1929</v>
      </c>
      <c r="K429" s="16" t="s">
        <v>1930</v>
      </c>
    </row>
    <row r="430" spans="1:11" ht="195" hidden="1" x14ac:dyDescent="0.25">
      <c r="A430" s="22">
        <v>427</v>
      </c>
      <c r="B430" s="16" t="s">
        <v>1931</v>
      </c>
      <c r="C430" s="16" t="s">
        <v>1932</v>
      </c>
      <c r="D430" s="16">
        <v>4965000</v>
      </c>
      <c r="E430" s="16">
        <v>2</v>
      </c>
      <c r="F430" s="16">
        <v>3</v>
      </c>
      <c r="G430" s="20" t="s">
        <v>1443</v>
      </c>
      <c r="H430" s="16"/>
      <c r="I430" s="16" t="s">
        <v>1613</v>
      </c>
      <c r="J430" s="16" t="s">
        <v>1933</v>
      </c>
      <c r="K430" s="16" t="s">
        <v>1615</v>
      </c>
    </row>
    <row r="431" spans="1:11" ht="210" hidden="1" x14ac:dyDescent="0.25">
      <c r="A431" s="22">
        <v>428</v>
      </c>
      <c r="B431" s="16" t="s">
        <v>1934</v>
      </c>
      <c r="C431" s="16" t="s">
        <v>1935</v>
      </c>
      <c r="D431" s="16">
        <v>6965000</v>
      </c>
      <c r="E431" s="16">
        <v>3</v>
      </c>
      <c r="F431" s="16">
        <v>3</v>
      </c>
      <c r="G431" s="20" t="s">
        <v>1443</v>
      </c>
      <c r="H431" s="16"/>
      <c r="I431" s="16" t="s">
        <v>1936</v>
      </c>
      <c r="J431" s="16" t="s">
        <v>1937</v>
      </c>
      <c r="K431" s="16" t="s">
        <v>1938</v>
      </c>
    </row>
    <row r="432" spans="1:11" ht="360" hidden="1" x14ac:dyDescent="0.25">
      <c r="A432" s="22">
        <v>429</v>
      </c>
      <c r="B432" s="16" t="s">
        <v>1939</v>
      </c>
      <c r="C432" s="16" t="s">
        <v>1940</v>
      </c>
      <c r="D432" s="16">
        <v>144902000</v>
      </c>
      <c r="E432" s="16">
        <v>3</v>
      </c>
      <c r="F432" s="16">
        <v>2</v>
      </c>
      <c r="G432" s="20" t="s">
        <v>1443</v>
      </c>
      <c r="H432" s="16"/>
      <c r="I432" s="16" t="s">
        <v>1941</v>
      </c>
      <c r="J432" s="16" t="s">
        <v>1942</v>
      </c>
      <c r="K432" s="16" t="s">
        <v>1943</v>
      </c>
    </row>
    <row r="433" spans="1:11" ht="210" hidden="1" x14ac:dyDescent="0.25">
      <c r="A433" s="22">
        <v>430</v>
      </c>
      <c r="B433" s="16" t="s">
        <v>1944</v>
      </c>
      <c r="C433" s="16" t="s">
        <v>1945</v>
      </c>
      <c r="D433" s="16">
        <v>12907000</v>
      </c>
      <c r="E433" s="16">
        <v>2</v>
      </c>
      <c r="F433" s="16">
        <v>3</v>
      </c>
      <c r="G433" s="20" t="s">
        <v>1443</v>
      </c>
      <c r="H433" s="16"/>
      <c r="I433" s="16" t="s">
        <v>1946</v>
      </c>
      <c r="J433" s="16" t="s">
        <v>1947</v>
      </c>
      <c r="K433" s="16" t="s">
        <v>1948</v>
      </c>
    </row>
    <row r="434" spans="1:11" ht="330" hidden="1" x14ac:dyDescent="0.25">
      <c r="A434" s="22">
        <v>431</v>
      </c>
      <c r="B434" s="16" t="s">
        <v>1949</v>
      </c>
      <c r="C434" s="16" t="s">
        <v>1950</v>
      </c>
      <c r="D434" s="16">
        <v>14975000</v>
      </c>
      <c r="E434" s="16">
        <v>3</v>
      </c>
      <c r="F434" s="16">
        <v>3</v>
      </c>
      <c r="G434" s="20" t="s">
        <v>1443</v>
      </c>
      <c r="H434" s="16"/>
      <c r="I434" s="16" t="s">
        <v>642</v>
      </c>
      <c r="J434" s="16" t="s">
        <v>1951</v>
      </c>
      <c r="K434" s="16" t="s">
        <v>1952</v>
      </c>
    </row>
    <row r="435" spans="1:11" ht="375" hidden="1" x14ac:dyDescent="0.25">
      <c r="A435" s="22">
        <v>432</v>
      </c>
      <c r="B435" s="16" t="s">
        <v>1953</v>
      </c>
      <c r="C435" s="16" t="s">
        <v>1954</v>
      </c>
      <c r="D435" s="16">
        <v>47870000</v>
      </c>
      <c r="E435" s="16">
        <v>3</v>
      </c>
      <c r="F435" s="16">
        <v>3</v>
      </c>
      <c r="G435" s="20" t="s">
        <v>1443</v>
      </c>
      <c r="H435" s="16"/>
      <c r="I435" s="16" t="s">
        <v>1581</v>
      </c>
      <c r="J435" s="16" t="s">
        <v>1582</v>
      </c>
      <c r="K435" s="16" t="s">
        <v>1955</v>
      </c>
    </row>
    <row r="436" spans="1:11" ht="390" hidden="1" x14ac:dyDescent="0.25">
      <c r="A436" s="22">
        <v>433</v>
      </c>
      <c r="B436" s="16" t="s">
        <v>1956</v>
      </c>
      <c r="C436" s="16" t="s">
        <v>1957</v>
      </c>
      <c r="D436" s="16">
        <v>27085000</v>
      </c>
      <c r="E436" s="16">
        <v>3</v>
      </c>
      <c r="F436" s="16">
        <v>3</v>
      </c>
      <c r="G436" s="20" t="s">
        <v>1443</v>
      </c>
      <c r="H436" s="16"/>
      <c r="I436" s="16" t="s">
        <v>642</v>
      </c>
      <c r="J436" s="16" t="s">
        <v>1958</v>
      </c>
      <c r="K436" s="16" t="s">
        <v>1959</v>
      </c>
    </row>
    <row r="437" spans="1:11" ht="375" hidden="1" x14ac:dyDescent="0.25">
      <c r="A437" s="22">
        <v>434</v>
      </c>
      <c r="B437" s="16" t="s">
        <v>1960</v>
      </c>
      <c r="C437" s="16" t="s">
        <v>1961</v>
      </c>
      <c r="D437" s="16">
        <v>8665000</v>
      </c>
      <c r="E437" s="16">
        <v>3</v>
      </c>
      <c r="F437" s="16">
        <v>3</v>
      </c>
      <c r="G437" s="20" t="s">
        <v>1443</v>
      </c>
      <c r="H437" s="16"/>
      <c r="I437" s="16" t="s">
        <v>1962</v>
      </c>
      <c r="J437" s="16" t="s">
        <v>1963</v>
      </c>
      <c r="K437" s="16" t="s">
        <v>1964</v>
      </c>
    </row>
    <row r="438" spans="1:11" ht="390" hidden="1" x14ac:dyDescent="0.25">
      <c r="A438" s="22">
        <v>435</v>
      </c>
      <c r="B438" s="16" t="s">
        <v>1965</v>
      </c>
      <c r="C438" s="16" t="s">
        <v>1966</v>
      </c>
      <c r="D438" s="16">
        <v>18790000</v>
      </c>
      <c r="E438" s="16">
        <v>3</v>
      </c>
      <c r="F438" s="16">
        <v>3</v>
      </c>
      <c r="G438" s="20" t="s">
        <v>1443</v>
      </c>
      <c r="H438" s="16"/>
      <c r="I438" s="16" t="s">
        <v>1663</v>
      </c>
      <c r="J438" s="16" t="s">
        <v>1967</v>
      </c>
      <c r="K438" s="16" t="s">
        <v>1968</v>
      </c>
    </row>
    <row r="439" spans="1:11" ht="255" hidden="1" x14ac:dyDescent="0.25">
      <c r="A439" s="22">
        <v>436</v>
      </c>
      <c r="B439" s="16" t="s">
        <v>1969</v>
      </c>
      <c r="C439" s="16" t="s">
        <v>1970</v>
      </c>
      <c r="D439" s="16">
        <v>6980000</v>
      </c>
      <c r="E439" s="16">
        <v>3</v>
      </c>
      <c r="F439" s="16">
        <v>3</v>
      </c>
      <c r="G439" s="20" t="s">
        <v>1443</v>
      </c>
      <c r="H439" s="16"/>
      <c r="I439" s="16" t="s">
        <v>1663</v>
      </c>
      <c r="J439" s="16" t="s">
        <v>1971</v>
      </c>
      <c r="K439" s="16" t="s">
        <v>1971</v>
      </c>
    </row>
    <row r="440" spans="1:11" ht="270" hidden="1" x14ac:dyDescent="0.25">
      <c r="A440" s="22">
        <v>437</v>
      </c>
      <c r="B440" s="16" t="s">
        <v>1972</v>
      </c>
      <c r="C440" s="16" t="s">
        <v>1973</v>
      </c>
      <c r="D440" s="16">
        <v>7690000</v>
      </c>
      <c r="E440" s="16">
        <v>3</v>
      </c>
      <c r="F440" s="16">
        <v>3</v>
      </c>
      <c r="G440" s="20" t="s">
        <v>1443</v>
      </c>
      <c r="H440" s="16"/>
      <c r="I440" s="16" t="s">
        <v>1663</v>
      </c>
      <c r="J440" s="16" t="s">
        <v>1974</v>
      </c>
      <c r="K440" s="16" t="s">
        <v>1975</v>
      </c>
    </row>
    <row r="441" spans="1:11" ht="409.5" hidden="1" x14ac:dyDescent="0.25">
      <c r="A441" s="22">
        <v>438</v>
      </c>
      <c r="B441" s="16" t="s">
        <v>1976</v>
      </c>
      <c r="C441" s="16" t="s">
        <v>1977</v>
      </c>
      <c r="D441" s="16">
        <v>21545000</v>
      </c>
      <c r="E441" s="16">
        <v>3</v>
      </c>
      <c r="F441" s="16">
        <v>3</v>
      </c>
      <c r="G441" s="20" t="s">
        <v>1443</v>
      </c>
      <c r="H441" s="16"/>
      <c r="I441" s="16" t="s">
        <v>1663</v>
      </c>
      <c r="J441" s="16" t="s">
        <v>1978</v>
      </c>
      <c r="K441" s="16" t="s">
        <v>1979</v>
      </c>
    </row>
    <row r="442" spans="1:11" ht="255" hidden="1" x14ac:dyDescent="0.25">
      <c r="A442" s="22">
        <v>439</v>
      </c>
      <c r="B442" s="16" t="s">
        <v>1980</v>
      </c>
      <c r="C442" s="16" t="s">
        <v>1981</v>
      </c>
      <c r="D442" s="16">
        <v>36820200</v>
      </c>
      <c r="E442" s="16">
        <v>2</v>
      </c>
      <c r="F442" s="16">
        <v>4</v>
      </c>
      <c r="G442" s="20" t="s">
        <v>1443</v>
      </c>
      <c r="H442" s="16"/>
      <c r="I442" s="16" t="s">
        <v>1982</v>
      </c>
      <c r="J442" s="16" t="s">
        <v>1682</v>
      </c>
      <c r="K442" s="16" t="s">
        <v>1683</v>
      </c>
    </row>
    <row r="443" spans="1:11" ht="225" hidden="1" x14ac:dyDescent="0.25">
      <c r="A443" s="22">
        <v>440</v>
      </c>
      <c r="B443" s="16" t="s">
        <v>1983</v>
      </c>
      <c r="C443" s="16" t="s">
        <v>1984</v>
      </c>
      <c r="D443" s="16">
        <v>20385000</v>
      </c>
      <c r="E443" s="16">
        <v>2</v>
      </c>
      <c r="F443" s="16">
        <v>4</v>
      </c>
      <c r="G443" s="20" t="s">
        <v>1443</v>
      </c>
      <c r="H443" s="16"/>
      <c r="I443" s="16" t="s">
        <v>1985</v>
      </c>
      <c r="J443" s="16" t="s">
        <v>1687</v>
      </c>
      <c r="K443" s="16" t="s">
        <v>1688</v>
      </c>
    </row>
    <row r="444" spans="1:11" ht="255" hidden="1" x14ac:dyDescent="0.25">
      <c r="A444" s="22">
        <v>441</v>
      </c>
      <c r="B444" s="16" t="s">
        <v>1986</v>
      </c>
      <c r="C444" s="16" t="s">
        <v>1987</v>
      </c>
      <c r="D444" s="16">
        <v>7020000</v>
      </c>
      <c r="E444" s="16">
        <v>2</v>
      </c>
      <c r="F444" s="16">
        <v>4</v>
      </c>
      <c r="G444" s="20" t="s">
        <v>1443</v>
      </c>
      <c r="H444" s="16"/>
      <c r="I444" s="16" t="s">
        <v>1691</v>
      </c>
      <c r="J444" s="16" t="s">
        <v>1988</v>
      </c>
      <c r="K444" s="16" t="s">
        <v>1693</v>
      </c>
    </row>
    <row r="445" spans="1:11" ht="240" hidden="1" x14ac:dyDescent="0.25">
      <c r="A445" s="22">
        <v>442</v>
      </c>
      <c r="B445" s="16" t="s">
        <v>1989</v>
      </c>
      <c r="C445" s="16" t="s">
        <v>1990</v>
      </c>
      <c r="D445" s="16">
        <v>15155000</v>
      </c>
      <c r="E445" s="16">
        <v>2</v>
      </c>
      <c r="F445" s="16">
        <v>4</v>
      </c>
      <c r="G445" s="20" t="s">
        <v>1443</v>
      </c>
      <c r="H445" s="16"/>
      <c r="I445" s="16" t="s">
        <v>1991</v>
      </c>
      <c r="J445" s="16" t="s">
        <v>130</v>
      </c>
      <c r="K445" s="16" t="s">
        <v>1992</v>
      </c>
    </row>
    <row r="446" spans="1:11" ht="270" hidden="1" x14ac:dyDescent="0.25">
      <c r="A446" s="22">
        <v>443</v>
      </c>
      <c r="B446" s="16" t="s">
        <v>1993</v>
      </c>
      <c r="C446" s="16" t="s">
        <v>1994</v>
      </c>
      <c r="D446" s="16">
        <v>15150000</v>
      </c>
      <c r="E446" s="16">
        <v>2</v>
      </c>
      <c r="F446" s="16">
        <v>4</v>
      </c>
      <c r="G446" s="20" t="s">
        <v>1443</v>
      </c>
      <c r="H446" s="16"/>
      <c r="I446" s="16" t="s">
        <v>1995</v>
      </c>
      <c r="J446" s="16" t="s">
        <v>1996</v>
      </c>
      <c r="K446" s="16" t="s">
        <v>137</v>
      </c>
    </row>
    <row r="447" spans="1:11" ht="270" hidden="1" x14ac:dyDescent="0.25">
      <c r="A447" s="22">
        <v>444</v>
      </c>
      <c r="B447" s="16" t="s">
        <v>1997</v>
      </c>
      <c r="C447" s="16" t="s">
        <v>1998</v>
      </c>
      <c r="D447" s="16">
        <v>50000000</v>
      </c>
      <c r="E447" s="16">
        <v>2</v>
      </c>
      <c r="F447" s="16">
        <v>4</v>
      </c>
      <c r="G447" s="20" t="s">
        <v>1443</v>
      </c>
      <c r="H447" s="16"/>
      <c r="I447" s="16" t="s">
        <v>1999</v>
      </c>
      <c r="J447" s="16" t="s">
        <v>2000</v>
      </c>
      <c r="K447" s="16" t="s">
        <v>1678</v>
      </c>
    </row>
    <row r="448" spans="1:11" ht="360" hidden="1" x14ac:dyDescent="0.25">
      <c r="A448" s="22">
        <v>445</v>
      </c>
      <c r="B448" s="16" t="s">
        <v>2001</v>
      </c>
      <c r="C448" s="16" t="s">
        <v>2002</v>
      </c>
      <c r="D448" s="16">
        <v>36595000</v>
      </c>
      <c r="E448" s="16">
        <v>3</v>
      </c>
      <c r="F448" s="16">
        <v>3</v>
      </c>
      <c r="G448" s="20" t="s">
        <v>1443</v>
      </c>
      <c r="H448" s="16"/>
      <c r="I448" s="16" t="s">
        <v>2003</v>
      </c>
      <c r="J448" s="16" t="s">
        <v>2004</v>
      </c>
      <c r="K448" s="16" t="s">
        <v>2005</v>
      </c>
    </row>
    <row r="449" spans="1:11" ht="409.5" hidden="1" x14ac:dyDescent="0.25">
      <c r="A449" s="22">
        <v>446</v>
      </c>
      <c r="B449" s="16" t="s">
        <v>2006</v>
      </c>
      <c r="C449" s="16" t="s">
        <v>2007</v>
      </c>
      <c r="D449" s="16">
        <v>39919000</v>
      </c>
      <c r="E449" s="16">
        <v>2</v>
      </c>
      <c r="F449" s="16">
        <v>5</v>
      </c>
      <c r="G449" s="20" t="s">
        <v>1443</v>
      </c>
      <c r="H449" s="16"/>
      <c r="I449" s="16" t="s">
        <v>2008</v>
      </c>
      <c r="J449" s="16" t="s">
        <v>1097</v>
      </c>
      <c r="K449" s="16" t="s">
        <v>1098</v>
      </c>
    </row>
    <row r="450" spans="1:11" ht="409.5" hidden="1" x14ac:dyDescent="0.25">
      <c r="A450" s="22">
        <v>447</v>
      </c>
      <c r="B450" s="16" t="s">
        <v>2009</v>
      </c>
      <c r="C450" s="16" t="s">
        <v>2010</v>
      </c>
      <c r="D450" s="16">
        <v>39919000</v>
      </c>
      <c r="E450" s="16">
        <v>2</v>
      </c>
      <c r="F450" s="16">
        <v>4</v>
      </c>
      <c r="G450" s="20" t="s">
        <v>1443</v>
      </c>
      <c r="H450" s="16"/>
      <c r="I450" s="16" t="s">
        <v>2008</v>
      </c>
      <c r="J450" s="16" t="s">
        <v>1097</v>
      </c>
      <c r="K450" s="16" t="s">
        <v>1098</v>
      </c>
    </row>
    <row r="451" spans="1:11" ht="375" hidden="1" x14ac:dyDescent="0.25">
      <c r="A451" s="22">
        <v>448</v>
      </c>
      <c r="B451" s="16" t="s">
        <v>2011</v>
      </c>
      <c r="C451" s="16" t="s">
        <v>2012</v>
      </c>
      <c r="D451" s="16">
        <v>2500000</v>
      </c>
      <c r="E451" s="16">
        <v>2</v>
      </c>
      <c r="F451" s="16">
        <v>5</v>
      </c>
      <c r="G451" s="20" t="s">
        <v>1443</v>
      </c>
      <c r="H451" s="16"/>
      <c r="I451" s="16" t="s">
        <v>1101</v>
      </c>
      <c r="J451" s="16" t="s">
        <v>1102</v>
      </c>
      <c r="K451" s="16" t="s">
        <v>1103</v>
      </c>
    </row>
    <row r="452" spans="1:11" ht="375" hidden="1" x14ac:dyDescent="0.25">
      <c r="A452" s="22">
        <v>449</v>
      </c>
      <c r="B452" s="16" t="s">
        <v>2013</v>
      </c>
      <c r="C452" s="16" t="s">
        <v>2014</v>
      </c>
      <c r="D452" s="16">
        <v>2500000</v>
      </c>
      <c r="E452" s="16">
        <v>2</v>
      </c>
      <c r="F452" s="16">
        <v>4</v>
      </c>
      <c r="G452" s="20" t="s">
        <v>1443</v>
      </c>
      <c r="H452" s="16"/>
      <c r="I452" s="16" t="s">
        <v>1101</v>
      </c>
      <c r="J452" s="16" t="s">
        <v>1102</v>
      </c>
      <c r="K452" s="16" t="s">
        <v>1103</v>
      </c>
    </row>
    <row r="453" spans="1:11" ht="375" hidden="1" x14ac:dyDescent="0.25">
      <c r="A453" s="22">
        <v>450</v>
      </c>
      <c r="B453" s="16" t="s">
        <v>2015</v>
      </c>
      <c r="C453" s="16" t="s">
        <v>2016</v>
      </c>
      <c r="D453" s="16">
        <v>2500000</v>
      </c>
      <c r="E453" s="16">
        <v>2</v>
      </c>
      <c r="F453" s="16">
        <v>4</v>
      </c>
      <c r="G453" s="20" t="s">
        <v>1443</v>
      </c>
      <c r="H453" s="16"/>
      <c r="I453" s="16" t="s">
        <v>1101</v>
      </c>
      <c r="J453" s="16" t="s">
        <v>1102</v>
      </c>
      <c r="K453" s="16" t="s">
        <v>1103</v>
      </c>
    </row>
    <row r="454" spans="1:11" ht="375" hidden="1" x14ac:dyDescent="0.25">
      <c r="A454" s="22">
        <v>451</v>
      </c>
      <c r="B454" s="16" t="s">
        <v>2017</v>
      </c>
      <c r="C454" s="16" t="s">
        <v>2018</v>
      </c>
      <c r="D454" s="16">
        <v>2500000</v>
      </c>
      <c r="E454" s="16">
        <v>2</v>
      </c>
      <c r="F454" s="16">
        <v>4</v>
      </c>
      <c r="G454" s="20" t="s">
        <v>1443</v>
      </c>
      <c r="H454" s="16"/>
      <c r="I454" s="16" t="s">
        <v>1101</v>
      </c>
      <c r="J454" s="16" t="s">
        <v>1102</v>
      </c>
      <c r="K454" s="16" t="s">
        <v>1103</v>
      </c>
    </row>
    <row r="455" spans="1:11" ht="375" hidden="1" x14ac:dyDescent="0.25">
      <c r="A455" s="22">
        <v>452</v>
      </c>
      <c r="B455" s="16" t="s">
        <v>2019</v>
      </c>
      <c r="C455" s="16" t="s">
        <v>2020</v>
      </c>
      <c r="D455" s="16">
        <v>2500000</v>
      </c>
      <c r="E455" s="16">
        <v>2</v>
      </c>
      <c r="F455" s="16">
        <v>4</v>
      </c>
      <c r="G455" s="20" t="s">
        <v>1443</v>
      </c>
      <c r="H455" s="16"/>
      <c r="I455" s="16" t="s">
        <v>1101</v>
      </c>
      <c r="J455" s="16" t="s">
        <v>1102</v>
      </c>
      <c r="K455" s="16" t="s">
        <v>1103</v>
      </c>
    </row>
    <row r="456" spans="1:11" ht="375" hidden="1" x14ac:dyDescent="0.25">
      <c r="A456" s="22">
        <v>453</v>
      </c>
      <c r="B456" s="16" t="s">
        <v>2021</v>
      </c>
      <c r="C456" s="16" t="s">
        <v>2022</v>
      </c>
      <c r="D456" s="16">
        <v>2500000</v>
      </c>
      <c r="E456" s="16">
        <v>2</v>
      </c>
      <c r="F456" s="16">
        <v>4</v>
      </c>
      <c r="G456" s="20" t="s">
        <v>1443</v>
      </c>
      <c r="H456" s="16"/>
      <c r="I456" s="16" t="s">
        <v>1101</v>
      </c>
      <c r="J456" s="16" t="s">
        <v>1102</v>
      </c>
      <c r="K456" s="16" t="s">
        <v>1103</v>
      </c>
    </row>
    <row r="457" spans="1:11" ht="375" hidden="1" x14ac:dyDescent="0.25">
      <c r="A457" s="22">
        <v>454</v>
      </c>
      <c r="B457" s="16" t="s">
        <v>2023</v>
      </c>
      <c r="C457" s="16" t="s">
        <v>2024</v>
      </c>
      <c r="D457" s="16">
        <v>74782500</v>
      </c>
      <c r="E457" s="16">
        <v>2</v>
      </c>
      <c r="F457" s="16">
        <v>4</v>
      </c>
      <c r="G457" s="20" t="s">
        <v>1443</v>
      </c>
      <c r="H457" s="16"/>
      <c r="I457" s="16" t="s">
        <v>1101</v>
      </c>
      <c r="J457" s="16" t="s">
        <v>1102</v>
      </c>
      <c r="K457" s="16" t="s">
        <v>1103</v>
      </c>
    </row>
    <row r="458" spans="1:11" ht="375" hidden="1" x14ac:dyDescent="0.25">
      <c r="A458" s="22">
        <v>455</v>
      </c>
      <c r="B458" s="16" t="s">
        <v>2025</v>
      </c>
      <c r="C458" s="16" t="s">
        <v>2026</v>
      </c>
      <c r="D458" s="16">
        <v>79814200</v>
      </c>
      <c r="E458" s="16">
        <v>2</v>
      </c>
      <c r="F458" s="16">
        <v>4</v>
      </c>
      <c r="G458" s="20" t="s">
        <v>1443</v>
      </c>
      <c r="H458" s="16"/>
      <c r="I458" s="16" t="s">
        <v>1101</v>
      </c>
      <c r="J458" s="16" t="s">
        <v>1102</v>
      </c>
      <c r="K458" s="16" t="s">
        <v>1103</v>
      </c>
    </row>
    <row r="459" spans="1:11" ht="375" hidden="1" x14ac:dyDescent="0.25">
      <c r="A459" s="22">
        <v>456</v>
      </c>
      <c r="B459" s="16" t="s">
        <v>2027</v>
      </c>
      <c r="C459" s="16" t="s">
        <v>2028</v>
      </c>
      <c r="D459" s="16">
        <v>22757300</v>
      </c>
      <c r="E459" s="16">
        <v>2</v>
      </c>
      <c r="F459" s="16">
        <v>4</v>
      </c>
      <c r="G459" s="20" t="s">
        <v>1443</v>
      </c>
      <c r="H459" s="16"/>
      <c r="I459" s="16" t="s">
        <v>1101</v>
      </c>
      <c r="J459" s="16" t="s">
        <v>2029</v>
      </c>
      <c r="K459" s="16" t="s">
        <v>1103</v>
      </c>
    </row>
    <row r="460" spans="1:11" ht="180" hidden="1" x14ac:dyDescent="0.25">
      <c r="A460" s="22">
        <v>457</v>
      </c>
      <c r="B460" s="16" t="s">
        <v>2030</v>
      </c>
      <c r="C460" s="16" t="s">
        <v>2031</v>
      </c>
      <c r="D460" s="16">
        <v>43854550</v>
      </c>
      <c r="E460" s="16">
        <v>3</v>
      </c>
      <c r="F460" s="16">
        <v>3</v>
      </c>
      <c r="G460" s="20" t="s">
        <v>1443</v>
      </c>
      <c r="H460" s="16"/>
      <c r="I460" s="16" t="s">
        <v>2032</v>
      </c>
      <c r="J460" s="16" t="s">
        <v>2033</v>
      </c>
      <c r="K460" s="16" t="s">
        <v>2034</v>
      </c>
    </row>
    <row r="461" spans="1:11" ht="315" hidden="1" x14ac:dyDescent="0.25">
      <c r="A461" s="22">
        <v>458</v>
      </c>
      <c r="B461" s="16" t="s">
        <v>2035</v>
      </c>
      <c r="C461" s="16" t="s">
        <v>2036</v>
      </c>
      <c r="D461" s="16">
        <v>63100000</v>
      </c>
      <c r="E461" s="16">
        <v>3</v>
      </c>
      <c r="F461" s="16">
        <v>2</v>
      </c>
      <c r="G461" s="20" t="s">
        <v>1443</v>
      </c>
      <c r="H461" s="16"/>
      <c r="I461" s="16" t="s">
        <v>2037</v>
      </c>
      <c r="J461" s="16" t="s">
        <v>2038</v>
      </c>
      <c r="K461" s="16" t="s">
        <v>2039</v>
      </c>
    </row>
    <row r="462" spans="1:11" ht="300" hidden="1" x14ac:dyDescent="0.25">
      <c r="A462" s="22">
        <v>459</v>
      </c>
      <c r="B462" s="16" t="s">
        <v>2040</v>
      </c>
      <c r="C462" s="16" t="s">
        <v>2041</v>
      </c>
      <c r="D462" s="16">
        <v>57100000</v>
      </c>
      <c r="E462" s="16">
        <v>3</v>
      </c>
      <c r="F462" s="16">
        <v>2</v>
      </c>
      <c r="G462" s="20" t="s">
        <v>1443</v>
      </c>
      <c r="H462" s="16"/>
      <c r="I462" s="16" t="s">
        <v>2042</v>
      </c>
      <c r="J462" s="16" t="s">
        <v>2043</v>
      </c>
      <c r="K462" s="16" t="s">
        <v>2044</v>
      </c>
    </row>
    <row r="463" spans="1:11" ht="240" hidden="1" x14ac:dyDescent="0.25">
      <c r="A463" s="22">
        <v>460</v>
      </c>
      <c r="B463" s="16" t="s">
        <v>2045</v>
      </c>
      <c r="C463" s="16" t="s">
        <v>2046</v>
      </c>
      <c r="D463" s="16">
        <v>44225000</v>
      </c>
      <c r="E463" s="16">
        <v>3</v>
      </c>
      <c r="F463" s="16">
        <v>3</v>
      </c>
      <c r="G463" s="20" t="s">
        <v>1443</v>
      </c>
      <c r="H463" s="16"/>
      <c r="I463" s="16" t="s">
        <v>2047</v>
      </c>
      <c r="J463" s="16" t="s">
        <v>2048</v>
      </c>
      <c r="K463" s="16" t="s">
        <v>2049</v>
      </c>
    </row>
    <row r="464" spans="1:11" ht="300" hidden="1" x14ac:dyDescent="0.25">
      <c r="A464" s="22">
        <v>461</v>
      </c>
      <c r="B464" s="16" t="s">
        <v>2050</v>
      </c>
      <c r="C464" s="16" t="s">
        <v>2051</v>
      </c>
      <c r="D464" s="16">
        <v>45000000</v>
      </c>
      <c r="E464" s="16">
        <v>3</v>
      </c>
      <c r="F464" s="16">
        <v>3</v>
      </c>
      <c r="G464" s="20" t="s">
        <v>1443</v>
      </c>
      <c r="H464" s="16"/>
      <c r="I464" s="16" t="s">
        <v>1663</v>
      </c>
      <c r="J464" s="16" t="s">
        <v>2052</v>
      </c>
      <c r="K464" s="16" t="s">
        <v>2053</v>
      </c>
    </row>
    <row r="465" spans="1:11" ht="409.5" hidden="1" x14ac:dyDescent="0.25">
      <c r="A465" s="22">
        <v>462</v>
      </c>
      <c r="B465" s="16" t="s">
        <v>2054</v>
      </c>
      <c r="C465" s="16" t="s">
        <v>2055</v>
      </c>
      <c r="D465" s="16">
        <v>9358790</v>
      </c>
      <c r="E465" s="16">
        <v>3</v>
      </c>
      <c r="F465" s="16">
        <v>3</v>
      </c>
      <c r="G465" s="20" t="s">
        <v>1443</v>
      </c>
      <c r="H465" s="16"/>
      <c r="I465" s="16" t="s">
        <v>2056</v>
      </c>
      <c r="J465" s="16" t="s">
        <v>2057</v>
      </c>
      <c r="K465" s="16" t="s">
        <v>2058</v>
      </c>
    </row>
    <row r="466" spans="1:11" ht="409.5" hidden="1" x14ac:dyDescent="0.25">
      <c r="A466" s="22">
        <v>463</v>
      </c>
      <c r="B466" s="16" t="s">
        <v>2059</v>
      </c>
      <c r="C466" s="16" t="s">
        <v>2060</v>
      </c>
      <c r="D466" s="16">
        <v>19466000</v>
      </c>
      <c r="E466" s="16">
        <v>2</v>
      </c>
      <c r="F466" s="16">
        <v>4</v>
      </c>
      <c r="G466" s="20" t="s">
        <v>1443</v>
      </c>
      <c r="H466" s="16"/>
      <c r="I466" s="16" t="s">
        <v>2061</v>
      </c>
      <c r="J466" s="16" t="s">
        <v>2062</v>
      </c>
      <c r="K466" s="16" t="s">
        <v>2063</v>
      </c>
    </row>
    <row r="467" spans="1:11" ht="409.5" hidden="1" x14ac:dyDescent="0.25">
      <c r="A467" s="22">
        <v>464</v>
      </c>
      <c r="B467" s="16" t="s">
        <v>2064</v>
      </c>
      <c r="C467" s="16" t="s">
        <v>2065</v>
      </c>
      <c r="D467" s="16">
        <v>20675000</v>
      </c>
      <c r="E467" s="16">
        <v>2</v>
      </c>
      <c r="F467" s="16">
        <v>3</v>
      </c>
      <c r="G467" s="20" t="s">
        <v>1443</v>
      </c>
      <c r="H467" s="16"/>
      <c r="I467" s="16" t="s">
        <v>2066</v>
      </c>
      <c r="J467" s="16" t="s">
        <v>2067</v>
      </c>
      <c r="K467" s="16" t="s">
        <v>2068</v>
      </c>
    </row>
    <row r="468" spans="1:11" ht="409.5" hidden="1" x14ac:dyDescent="0.25">
      <c r="A468" s="22">
        <v>465</v>
      </c>
      <c r="B468" s="16" t="s">
        <v>2069</v>
      </c>
      <c r="C468" s="16" t="s">
        <v>2070</v>
      </c>
      <c r="D468" s="16">
        <v>20475000</v>
      </c>
      <c r="E468" s="16">
        <v>2</v>
      </c>
      <c r="F468" s="16">
        <v>5</v>
      </c>
      <c r="G468" s="20" t="s">
        <v>1443</v>
      </c>
      <c r="H468" s="16"/>
      <c r="I468" s="16" t="s">
        <v>2071</v>
      </c>
      <c r="J468" s="16" t="s">
        <v>2072</v>
      </c>
      <c r="K468" s="16" t="s">
        <v>2073</v>
      </c>
    </row>
    <row r="469" spans="1:11" ht="409.5" hidden="1" x14ac:dyDescent="0.25">
      <c r="A469" s="22">
        <v>466</v>
      </c>
      <c r="B469" s="16" t="s">
        <v>2074</v>
      </c>
      <c r="C469" s="16" t="s">
        <v>2075</v>
      </c>
      <c r="D469" s="16">
        <v>20475000</v>
      </c>
      <c r="E469" s="16">
        <v>2</v>
      </c>
      <c r="F469" s="16">
        <v>3</v>
      </c>
      <c r="G469" s="20" t="s">
        <v>1443</v>
      </c>
      <c r="H469" s="16"/>
      <c r="I469" s="16" t="s">
        <v>2076</v>
      </c>
      <c r="J469" s="16" t="s">
        <v>2077</v>
      </c>
      <c r="K469" s="16" t="s">
        <v>2078</v>
      </c>
    </row>
    <row r="470" spans="1:11" ht="180" hidden="1" x14ac:dyDescent="0.25">
      <c r="A470" s="22">
        <v>467</v>
      </c>
      <c r="B470" s="16" t="s">
        <v>2079</v>
      </c>
      <c r="C470" s="16" t="s">
        <v>2080</v>
      </c>
      <c r="D470" s="16">
        <v>7466000</v>
      </c>
      <c r="E470" s="16">
        <v>2</v>
      </c>
      <c r="F470" s="16">
        <v>3</v>
      </c>
      <c r="G470" s="20" t="s">
        <v>1443</v>
      </c>
      <c r="H470" s="16"/>
      <c r="I470" s="16" t="s">
        <v>1599</v>
      </c>
      <c r="J470" s="16" t="s">
        <v>2081</v>
      </c>
      <c r="K470" s="16" t="s">
        <v>2082</v>
      </c>
    </row>
    <row r="471" spans="1:11" ht="409.5" hidden="1" x14ac:dyDescent="0.25">
      <c r="A471" s="22">
        <v>468</v>
      </c>
      <c r="B471" s="16" t="s">
        <v>2083</v>
      </c>
      <c r="C471" s="16" t="s">
        <v>2084</v>
      </c>
      <c r="D471" s="16">
        <v>22875000</v>
      </c>
      <c r="E471" s="16">
        <v>2</v>
      </c>
      <c r="F471" s="16">
        <v>5</v>
      </c>
      <c r="G471" s="20" t="s">
        <v>1443</v>
      </c>
      <c r="H471" s="16"/>
      <c r="I471" s="16" t="s">
        <v>2085</v>
      </c>
      <c r="J471" s="16" t="s">
        <v>2086</v>
      </c>
      <c r="K471" s="16" t="s">
        <v>2087</v>
      </c>
    </row>
    <row r="472" spans="1:11" ht="165" hidden="1" x14ac:dyDescent="0.25">
      <c r="A472" s="22">
        <v>469</v>
      </c>
      <c r="B472" s="16" t="s">
        <v>2088</v>
      </c>
      <c r="C472" s="16" t="s">
        <v>2089</v>
      </c>
      <c r="D472" s="16">
        <v>27575000</v>
      </c>
      <c r="E472" s="16">
        <v>2</v>
      </c>
      <c r="F472" s="16">
        <v>3</v>
      </c>
      <c r="G472" s="20" t="s">
        <v>1443</v>
      </c>
      <c r="H472" s="16"/>
      <c r="I472" s="16" t="s">
        <v>1599</v>
      </c>
      <c r="J472" s="16" t="s">
        <v>1600</v>
      </c>
      <c r="K472" s="16" t="s">
        <v>2090</v>
      </c>
    </row>
    <row r="473" spans="1:11" ht="360" hidden="1" x14ac:dyDescent="0.25">
      <c r="A473" s="22">
        <v>470</v>
      </c>
      <c r="B473" s="16" t="s">
        <v>2091</v>
      </c>
      <c r="C473" s="16" t="s">
        <v>2092</v>
      </c>
      <c r="D473" s="16">
        <v>13916000</v>
      </c>
      <c r="E473" s="16">
        <v>2</v>
      </c>
      <c r="F473" s="16">
        <v>5</v>
      </c>
      <c r="G473" s="20" t="s">
        <v>1443</v>
      </c>
      <c r="H473" s="16"/>
      <c r="I473" s="16" t="s">
        <v>1787</v>
      </c>
      <c r="J473" s="16" t="s">
        <v>1788</v>
      </c>
      <c r="K473" s="16" t="s">
        <v>1789</v>
      </c>
    </row>
    <row r="474" spans="1:11" ht="315" hidden="1" x14ac:dyDescent="0.25">
      <c r="A474" s="22">
        <v>471</v>
      </c>
      <c r="B474" s="16" t="s">
        <v>2093</v>
      </c>
      <c r="C474" s="16" t="s">
        <v>2094</v>
      </c>
      <c r="D474" s="16">
        <v>16275000</v>
      </c>
      <c r="E474" s="16">
        <v>2</v>
      </c>
      <c r="F474" s="16">
        <v>5</v>
      </c>
      <c r="G474" s="20" t="s">
        <v>1443</v>
      </c>
      <c r="H474" s="16"/>
      <c r="I474" s="16" t="s">
        <v>390</v>
      </c>
      <c r="J474" s="16" t="s">
        <v>2095</v>
      </c>
      <c r="K474" s="16" t="s">
        <v>392</v>
      </c>
    </row>
    <row r="475" spans="1:11" ht="240" hidden="1" x14ac:dyDescent="0.25">
      <c r="A475" s="22">
        <v>472</v>
      </c>
      <c r="B475" s="16" t="s">
        <v>2096</v>
      </c>
      <c r="C475" s="16" t="s">
        <v>2097</v>
      </c>
      <c r="D475" s="16">
        <v>19145000</v>
      </c>
      <c r="E475" s="16">
        <v>2</v>
      </c>
      <c r="F475" s="16">
        <v>5</v>
      </c>
      <c r="G475" s="20" t="s">
        <v>1443</v>
      </c>
      <c r="H475" s="16"/>
      <c r="I475" s="16" t="s">
        <v>2098</v>
      </c>
      <c r="J475" s="16" t="s">
        <v>2099</v>
      </c>
      <c r="K475" s="16" t="s">
        <v>2100</v>
      </c>
    </row>
    <row r="476" spans="1:11" ht="210" hidden="1" x14ac:dyDescent="0.25">
      <c r="A476" s="22">
        <v>473</v>
      </c>
      <c r="B476" s="16" t="s">
        <v>2101</v>
      </c>
      <c r="C476" s="16" t="s">
        <v>2102</v>
      </c>
      <c r="D476" s="16">
        <v>20000000</v>
      </c>
      <c r="E476" s="16">
        <v>2</v>
      </c>
      <c r="F476" s="16">
        <v>5</v>
      </c>
      <c r="G476" s="20" t="s">
        <v>1443</v>
      </c>
      <c r="H476" s="16"/>
      <c r="I476" s="16" t="s">
        <v>2103</v>
      </c>
      <c r="J476" s="16" t="s">
        <v>2104</v>
      </c>
      <c r="K476" s="16" t="s">
        <v>2105</v>
      </c>
    </row>
    <row r="477" spans="1:11" ht="240" hidden="1" x14ac:dyDescent="0.25">
      <c r="A477" s="22">
        <v>474</v>
      </c>
      <c r="B477" s="16" t="s">
        <v>2106</v>
      </c>
      <c r="C477" s="16" t="s">
        <v>2107</v>
      </c>
      <c r="D477" s="16">
        <v>28193000</v>
      </c>
      <c r="E477" s="16">
        <v>2</v>
      </c>
      <c r="F477" s="16">
        <v>4</v>
      </c>
      <c r="G477" s="20" t="s">
        <v>1443</v>
      </c>
      <c r="H477" s="16"/>
      <c r="I477" s="16" t="s">
        <v>2108</v>
      </c>
      <c r="J477" s="16" t="s">
        <v>2109</v>
      </c>
      <c r="K477" s="16" t="s">
        <v>2110</v>
      </c>
    </row>
    <row r="478" spans="1:11" ht="210" hidden="1" x14ac:dyDescent="0.25">
      <c r="A478" s="22">
        <v>475</v>
      </c>
      <c r="B478" s="16" t="s">
        <v>2111</v>
      </c>
      <c r="C478" s="16" t="s">
        <v>2112</v>
      </c>
      <c r="D478" s="16">
        <v>8929000</v>
      </c>
      <c r="E478" s="16">
        <v>3</v>
      </c>
      <c r="F478" s="16">
        <v>2</v>
      </c>
      <c r="G478" s="20" t="s">
        <v>1443</v>
      </c>
      <c r="H478" s="16"/>
      <c r="I478" s="16" t="s">
        <v>2113</v>
      </c>
      <c r="J478" s="16" t="s">
        <v>2114</v>
      </c>
      <c r="K478" s="16" t="s">
        <v>936</v>
      </c>
    </row>
    <row r="479" spans="1:11" ht="180" hidden="1" x14ac:dyDescent="0.25">
      <c r="A479" s="22">
        <v>476</v>
      </c>
      <c r="B479" s="16" t="s">
        <v>2115</v>
      </c>
      <c r="C479" s="16" t="s">
        <v>2116</v>
      </c>
      <c r="D479" s="16">
        <v>34386000</v>
      </c>
      <c r="E479" s="16">
        <v>2</v>
      </c>
      <c r="F479" s="16">
        <v>4</v>
      </c>
      <c r="G479" s="20" t="s">
        <v>1443</v>
      </c>
      <c r="H479" s="16"/>
      <c r="I479" s="16" t="s">
        <v>2117</v>
      </c>
      <c r="J479" s="16" t="s">
        <v>2118</v>
      </c>
      <c r="K479" s="16" t="s">
        <v>2119</v>
      </c>
    </row>
    <row r="480" spans="1:11" ht="150" hidden="1" x14ac:dyDescent="0.25">
      <c r="A480" s="22">
        <v>477</v>
      </c>
      <c r="B480" s="16" t="s">
        <v>2120</v>
      </c>
      <c r="C480" s="16" t="s">
        <v>2121</v>
      </c>
      <c r="D480" s="16">
        <v>29282000</v>
      </c>
      <c r="E480" s="16">
        <v>3</v>
      </c>
      <c r="F480" s="16">
        <v>3</v>
      </c>
      <c r="G480" s="20" t="s">
        <v>1443</v>
      </c>
      <c r="H480" s="16"/>
      <c r="I480" s="16" t="s">
        <v>2122</v>
      </c>
      <c r="J480" s="16" t="s">
        <v>2123</v>
      </c>
      <c r="K480" s="16" t="s">
        <v>2124</v>
      </c>
    </row>
    <row r="481" spans="1:11" ht="210" hidden="1" x14ac:dyDescent="0.25">
      <c r="A481" s="22">
        <v>478</v>
      </c>
      <c r="B481" s="16" t="s">
        <v>2125</v>
      </c>
      <c r="C481" s="16" t="s">
        <v>2126</v>
      </c>
      <c r="D481" s="16">
        <v>36750000</v>
      </c>
      <c r="E481" s="16">
        <v>2</v>
      </c>
      <c r="F481" s="16">
        <v>3</v>
      </c>
      <c r="G481" s="20" t="s">
        <v>1443</v>
      </c>
      <c r="H481" s="16"/>
      <c r="I481" s="16" t="s">
        <v>2127</v>
      </c>
      <c r="J481" s="16" t="s">
        <v>2128</v>
      </c>
      <c r="K481" s="16" t="s">
        <v>2129</v>
      </c>
    </row>
    <row r="482" spans="1:11" ht="180" hidden="1" x14ac:dyDescent="0.25">
      <c r="A482" s="22">
        <v>479</v>
      </c>
      <c r="B482" s="16" t="s">
        <v>2130</v>
      </c>
      <c r="C482" s="16" t="s">
        <v>2131</v>
      </c>
      <c r="D482" s="16">
        <v>36272000</v>
      </c>
      <c r="E482" s="16">
        <v>3</v>
      </c>
      <c r="F482" s="16">
        <v>3</v>
      </c>
      <c r="G482" s="20" t="s">
        <v>1443</v>
      </c>
      <c r="H482" s="16"/>
      <c r="I482" s="16" t="s">
        <v>2132</v>
      </c>
      <c r="J482" s="16" t="s">
        <v>2133</v>
      </c>
      <c r="K482" s="16" t="s">
        <v>2134</v>
      </c>
    </row>
    <row r="483" spans="1:11" ht="270" hidden="1" x14ac:dyDescent="0.25">
      <c r="A483" s="22">
        <v>480</v>
      </c>
      <c r="B483" s="16" t="s">
        <v>2135</v>
      </c>
      <c r="C483" s="16" t="s">
        <v>2136</v>
      </c>
      <c r="D483" s="16">
        <v>40314000</v>
      </c>
      <c r="E483" s="16">
        <v>2</v>
      </c>
      <c r="F483" s="16">
        <v>3</v>
      </c>
      <c r="G483" s="20" t="s">
        <v>1443</v>
      </c>
      <c r="H483" s="16"/>
      <c r="I483" s="16" t="s">
        <v>2137</v>
      </c>
      <c r="J483" s="16" t="s">
        <v>2138</v>
      </c>
      <c r="K483" s="16" t="s">
        <v>2139</v>
      </c>
    </row>
    <row r="484" spans="1:11" ht="225" hidden="1" x14ac:dyDescent="0.25">
      <c r="A484" s="22">
        <v>481</v>
      </c>
      <c r="B484" s="16" t="s">
        <v>2140</v>
      </c>
      <c r="C484" s="16" t="s">
        <v>2141</v>
      </c>
      <c r="D484" s="16">
        <v>72330000</v>
      </c>
      <c r="E484" s="16">
        <v>2</v>
      </c>
      <c r="F484" s="16">
        <v>4</v>
      </c>
      <c r="G484" s="20" t="s">
        <v>1443</v>
      </c>
      <c r="H484" s="16"/>
      <c r="I484" s="16" t="s">
        <v>2142</v>
      </c>
      <c r="J484" s="16" t="s">
        <v>2143</v>
      </c>
      <c r="K484" s="16" t="s">
        <v>2144</v>
      </c>
    </row>
    <row r="485" spans="1:11" ht="150" hidden="1" x14ac:dyDescent="0.25">
      <c r="A485" s="22">
        <v>482</v>
      </c>
      <c r="B485" s="16" t="s">
        <v>2145</v>
      </c>
      <c r="C485" s="16" t="s">
        <v>2146</v>
      </c>
      <c r="D485" s="16">
        <v>48170000</v>
      </c>
      <c r="E485" s="16">
        <v>3</v>
      </c>
      <c r="F485" s="16">
        <v>3</v>
      </c>
      <c r="G485" s="20" t="s">
        <v>1443</v>
      </c>
      <c r="H485" s="16"/>
      <c r="I485" s="16" t="s">
        <v>2147</v>
      </c>
      <c r="J485" s="16" t="s">
        <v>2148</v>
      </c>
      <c r="K485" s="16" t="s">
        <v>2149</v>
      </c>
    </row>
    <row r="486" spans="1:11" ht="225" hidden="1" x14ac:dyDescent="0.25">
      <c r="A486" s="22">
        <v>483</v>
      </c>
      <c r="B486" s="16" t="s">
        <v>2150</v>
      </c>
      <c r="C486" s="16" t="s">
        <v>2151</v>
      </c>
      <c r="D486" s="16">
        <v>32750000</v>
      </c>
      <c r="E486" s="16">
        <v>2</v>
      </c>
      <c r="F486" s="16">
        <v>3</v>
      </c>
      <c r="G486" s="20" t="s">
        <v>1443</v>
      </c>
      <c r="H486" s="16"/>
      <c r="I486" s="16" t="s">
        <v>2127</v>
      </c>
      <c r="J486" s="16" t="s">
        <v>2152</v>
      </c>
      <c r="K486" s="16" t="s">
        <v>2129</v>
      </c>
    </row>
    <row r="487" spans="1:11" ht="345" hidden="1" x14ac:dyDescent="0.25">
      <c r="A487" s="22">
        <v>484</v>
      </c>
      <c r="B487" s="16" t="s">
        <v>2153</v>
      </c>
      <c r="C487" s="16" t="s">
        <v>2154</v>
      </c>
      <c r="D487" s="16">
        <v>29206000</v>
      </c>
      <c r="E487" s="16">
        <v>2</v>
      </c>
      <c r="F487" s="16">
        <v>4</v>
      </c>
      <c r="G487" s="20" t="s">
        <v>1443</v>
      </c>
      <c r="H487" s="16"/>
      <c r="I487" s="16" t="s">
        <v>2155</v>
      </c>
      <c r="J487" s="16" t="s">
        <v>2156</v>
      </c>
      <c r="K487" s="16" t="s">
        <v>2157</v>
      </c>
    </row>
    <row r="488" spans="1:11" ht="240" hidden="1" x14ac:dyDescent="0.25">
      <c r="A488" s="22">
        <v>485</v>
      </c>
      <c r="B488" s="16" t="s">
        <v>2158</v>
      </c>
      <c r="C488" s="16" t="s">
        <v>2159</v>
      </c>
      <c r="D488" s="16">
        <v>45720000</v>
      </c>
      <c r="E488" s="16">
        <v>2</v>
      </c>
      <c r="F488" s="16">
        <v>4</v>
      </c>
      <c r="G488" s="20" t="s">
        <v>1443</v>
      </c>
      <c r="H488" s="16"/>
      <c r="I488" s="16" t="s">
        <v>2160</v>
      </c>
      <c r="J488" s="16" t="s">
        <v>2161</v>
      </c>
      <c r="K488" s="16" t="s">
        <v>2162</v>
      </c>
    </row>
    <row r="489" spans="1:11" ht="255" hidden="1" x14ac:dyDescent="0.25">
      <c r="A489" s="22">
        <v>486</v>
      </c>
      <c r="B489" s="16" t="s">
        <v>2163</v>
      </c>
      <c r="C489" s="16" t="s">
        <v>2164</v>
      </c>
      <c r="D489" s="16">
        <v>128146000</v>
      </c>
      <c r="E489" s="16">
        <v>2</v>
      </c>
      <c r="F489" s="16">
        <v>4</v>
      </c>
      <c r="G489" s="20" t="s">
        <v>1443</v>
      </c>
      <c r="H489" s="16"/>
      <c r="I489" s="16" t="s">
        <v>2165</v>
      </c>
      <c r="J489" s="16" t="s">
        <v>2166</v>
      </c>
      <c r="K489" s="16" t="s">
        <v>2167</v>
      </c>
    </row>
    <row r="490" spans="1:11" ht="255" hidden="1" x14ac:dyDescent="0.25">
      <c r="A490" s="22">
        <v>487</v>
      </c>
      <c r="B490" s="16" t="s">
        <v>2168</v>
      </c>
      <c r="C490" s="16" t="s">
        <v>2169</v>
      </c>
      <c r="D490" s="16">
        <v>66097000</v>
      </c>
      <c r="E490" s="16">
        <v>2</v>
      </c>
      <c r="F490" s="16">
        <v>4</v>
      </c>
      <c r="G490" s="20" t="s">
        <v>1443</v>
      </c>
      <c r="H490" s="16"/>
      <c r="I490" s="16" t="s">
        <v>2170</v>
      </c>
      <c r="J490" s="16" t="s">
        <v>1996</v>
      </c>
      <c r="K490" s="16" t="s">
        <v>137</v>
      </c>
    </row>
    <row r="491" spans="1:11" ht="225" hidden="1" x14ac:dyDescent="0.25">
      <c r="A491" s="22">
        <v>488</v>
      </c>
      <c r="B491" s="16" t="s">
        <v>2171</v>
      </c>
      <c r="C491" s="16" t="s">
        <v>2172</v>
      </c>
      <c r="D491" s="16">
        <v>162691300</v>
      </c>
      <c r="E491" s="16">
        <v>2</v>
      </c>
      <c r="F491" s="16">
        <v>4</v>
      </c>
      <c r="G491" s="20" t="s">
        <v>1443</v>
      </c>
      <c r="H491" s="16"/>
      <c r="I491" s="16" t="s">
        <v>1676</v>
      </c>
      <c r="J491" s="16" t="s">
        <v>2173</v>
      </c>
      <c r="K491" s="16" t="s">
        <v>2174</v>
      </c>
    </row>
    <row r="492" spans="1:11" ht="240" hidden="1" x14ac:dyDescent="0.25">
      <c r="A492" s="22">
        <v>489</v>
      </c>
      <c r="B492" s="16" t="s">
        <v>2175</v>
      </c>
      <c r="C492" s="16" t="s">
        <v>2176</v>
      </c>
      <c r="D492" s="16">
        <v>65612990</v>
      </c>
      <c r="E492" s="16">
        <v>2</v>
      </c>
      <c r="F492" s="16">
        <v>4</v>
      </c>
      <c r="G492" s="20" t="s">
        <v>1443</v>
      </c>
      <c r="H492" s="16"/>
      <c r="I492" s="16" t="s">
        <v>2177</v>
      </c>
      <c r="J492" s="16" t="s">
        <v>120</v>
      </c>
      <c r="K492" s="16" t="s">
        <v>137</v>
      </c>
    </row>
    <row r="493" spans="1:11" ht="270" hidden="1" x14ac:dyDescent="0.25">
      <c r="A493" s="22">
        <v>490</v>
      </c>
      <c r="B493" s="16" t="s">
        <v>2178</v>
      </c>
      <c r="C493" s="16" t="s">
        <v>2179</v>
      </c>
      <c r="D493" s="16">
        <v>49946000</v>
      </c>
      <c r="E493" s="16">
        <v>2</v>
      </c>
      <c r="F493" s="16">
        <v>4</v>
      </c>
      <c r="G493" s="20" t="s">
        <v>1443</v>
      </c>
      <c r="H493" s="16"/>
      <c r="I493" s="16" t="s">
        <v>2180</v>
      </c>
      <c r="J493" s="16" t="s">
        <v>2181</v>
      </c>
      <c r="K493" s="16" t="s">
        <v>2182</v>
      </c>
    </row>
    <row r="494" spans="1:11" ht="240" hidden="1" x14ac:dyDescent="0.25">
      <c r="A494" s="22">
        <v>491</v>
      </c>
      <c r="B494" s="16" t="s">
        <v>2183</v>
      </c>
      <c r="C494" s="16" t="s">
        <v>2184</v>
      </c>
      <c r="D494" s="16">
        <v>50000000</v>
      </c>
      <c r="E494" s="16">
        <v>2</v>
      </c>
      <c r="F494" s="16">
        <v>4</v>
      </c>
      <c r="G494" s="20" t="s">
        <v>1443</v>
      </c>
      <c r="H494" s="16"/>
      <c r="I494" s="16" t="s">
        <v>1681</v>
      </c>
      <c r="J494" s="16" t="s">
        <v>2185</v>
      </c>
      <c r="K494" s="16" t="s">
        <v>2186</v>
      </c>
    </row>
    <row r="495" spans="1:11" ht="210" hidden="1" x14ac:dyDescent="0.25">
      <c r="A495" s="22">
        <v>492</v>
      </c>
      <c r="B495" s="16" t="s">
        <v>2187</v>
      </c>
      <c r="C495" s="16" t="s">
        <v>2188</v>
      </c>
      <c r="D495" s="16">
        <v>13290000</v>
      </c>
      <c r="E495" s="16">
        <v>3</v>
      </c>
      <c r="F495" s="16">
        <v>3</v>
      </c>
      <c r="G495" s="20" t="s">
        <v>1443</v>
      </c>
      <c r="H495" s="16"/>
      <c r="I495" s="16" t="s">
        <v>2189</v>
      </c>
      <c r="J495" s="16" t="s">
        <v>2190</v>
      </c>
      <c r="K495" s="16" t="s">
        <v>2191</v>
      </c>
    </row>
    <row r="496" spans="1:11" ht="210" hidden="1" x14ac:dyDescent="0.25">
      <c r="A496" s="22">
        <v>493</v>
      </c>
      <c r="B496" s="16" t="s">
        <v>2192</v>
      </c>
      <c r="C496" s="16" t="s">
        <v>2193</v>
      </c>
      <c r="D496" s="16">
        <v>113686000</v>
      </c>
      <c r="E496" s="16">
        <v>2</v>
      </c>
      <c r="F496" s="16">
        <v>3</v>
      </c>
      <c r="G496" s="20" t="s">
        <v>1443</v>
      </c>
      <c r="H496" s="16"/>
      <c r="I496" s="16" t="s">
        <v>2194</v>
      </c>
      <c r="J496" s="16" t="s">
        <v>2195</v>
      </c>
      <c r="K496" s="16" t="s">
        <v>2196</v>
      </c>
    </row>
    <row r="497" spans="1:11" ht="210" hidden="1" x14ac:dyDescent="0.25">
      <c r="A497" s="22">
        <v>494</v>
      </c>
      <c r="B497" s="16" t="s">
        <v>2197</v>
      </c>
      <c r="C497" s="16" t="s">
        <v>2198</v>
      </c>
      <c r="D497" s="16">
        <v>787456000</v>
      </c>
      <c r="E497" s="16">
        <v>2</v>
      </c>
      <c r="F497" s="16">
        <v>5</v>
      </c>
      <c r="G497" s="20" t="s">
        <v>1443</v>
      </c>
      <c r="H497" s="16"/>
      <c r="I497" s="16" t="s">
        <v>2199</v>
      </c>
      <c r="J497" s="16" t="s">
        <v>2200</v>
      </c>
      <c r="K497" s="16" t="s">
        <v>2201</v>
      </c>
    </row>
    <row r="498" spans="1:11" ht="330" hidden="1" x14ac:dyDescent="0.25">
      <c r="A498" s="22">
        <v>495</v>
      </c>
      <c r="B498" s="16" t="s">
        <v>2202</v>
      </c>
      <c r="C498" s="16" t="s">
        <v>2203</v>
      </c>
      <c r="D498" s="16">
        <v>30150000</v>
      </c>
      <c r="E498" s="16">
        <v>2</v>
      </c>
      <c r="F498" s="16">
        <v>3</v>
      </c>
      <c r="G498" s="20" t="s">
        <v>1443</v>
      </c>
      <c r="H498" s="16"/>
      <c r="I498" s="16" t="s">
        <v>2204</v>
      </c>
      <c r="J498" s="16" t="s">
        <v>2205</v>
      </c>
      <c r="K498" s="16" t="s">
        <v>2206</v>
      </c>
    </row>
    <row r="499" spans="1:11" ht="345" hidden="1" x14ac:dyDescent="0.25">
      <c r="A499" s="22">
        <v>496</v>
      </c>
      <c r="B499" s="16" t="s">
        <v>2207</v>
      </c>
      <c r="C499" s="16" t="s">
        <v>2208</v>
      </c>
      <c r="D499" s="16">
        <v>1646400000</v>
      </c>
      <c r="E499" s="16">
        <v>2</v>
      </c>
      <c r="F499" s="16">
        <v>4</v>
      </c>
      <c r="G499" s="20" t="s">
        <v>1443</v>
      </c>
      <c r="H499" s="16"/>
      <c r="I499" s="16" t="s">
        <v>2209</v>
      </c>
      <c r="J499" s="16" t="s">
        <v>2210</v>
      </c>
      <c r="K499" s="16" t="s">
        <v>2211</v>
      </c>
    </row>
    <row r="500" spans="1:11" ht="225" hidden="1" x14ac:dyDescent="0.25">
      <c r="A500" s="22">
        <v>497</v>
      </c>
      <c r="B500" s="16" t="s">
        <v>2212</v>
      </c>
      <c r="C500" s="16" t="s">
        <v>2213</v>
      </c>
      <c r="D500" s="16">
        <v>268425000</v>
      </c>
      <c r="E500" s="16">
        <v>2</v>
      </c>
      <c r="F500" s="16">
        <v>4</v>
      </c>
      <c r="G500" s="20" t="s">
        <v>1443</v>
      </c>
      <c r="H500" s="16"/>
      <c r="I500" s="16" t="s">
        <v>2214</v>
      </c>
      <c r="J500" s="16" t="s">
        <v>2215</v>
      </c>
      <c r="K500" s="16" t="s">
        <v>2216</v>
      </c>
    </row>
    <row r="501" spans="1:11" ht="210" hidden="1" x14ac:dyDescent="0.25">
      <c r="A501" s="22">
        <v>498</v>
      </c>
      <c r="B501" s="16" t="s">
        <v>2217</v>
      </c>
      <c r="C501" s="16" t="s">
        <v>2218</v>
      </c>
      <c r="D501" s="16">
        <v>9557500</v>
      </c>
      <c r="E501" s="16">
        <v>3</v>
      </c>
      <c r="F501" s="16">
        <v>3</v>
      </c>
      <c r="G501" s="20" t="s">
        <v>1443</v>
      </c>
      <c r="H501" s="16"/>
      <c r="I501" s="16" t="s">
        <v>2219</v>
      </c>
      <c r="J501" s="16" t="s">
        <v>2220</v>
      </c>
      <c r="K501" s="16" t="s">
        <v>2221</v>
      </c>
    </row>
    <row r="502" spans="1:11" ht="165" hidden="1" x14ac:dyDescent="0.25">
      <c r="A502" s="22">
        <v>499</v>
      </c>
      <c r="B502" s="16" t="s">
        <v>2222</v>
      </c>
      <c r="C502" s="16" t="s">
        <v>2223</v>
      </c>
      <c r="D502" s="16">
        <v>225066000</v>
      </c>
      <c r="E502" s="16">
        <v>2</v>
      </c>
      <c r="F502" s="16">
        <v>3</v>
      </c>
      <c r="G502" s="20" t="s">
        <v>1443</v>
      </c>
      <c r="H502" s="16"/>
      <c r="I502" s="16" t="s">
        <v>2224</v>
      </c>
      <c r="J502" s="16" t="s">
        <v>2225</v>
      </c>
      <c r="K502" s="16" t="s">
        <v>2226</v>
      </c>
    </row>
    <row r="503" spans="1:11" ht="210" hidden="1" x14ac:dyDescent="0.25">
      <c r="A503" s="22">
        <v>500</v>
      </c>
      <c r="B503" s="16" t="s">
        <v>2227</v>
      </c>
      <c r="C503" s="16" t="s">
        <v>2228</v>
      </c>
      <c r="D503" s="16">
        <v>88600000</v>
      </c>
      <c r="E503" s="16">
        <v>3</v>
      </c>
      <c r="F503" s="16">
        <v>3</v>
      </c>
      <c r="G503" s="20" t="s">
        <v>1443</v>
      </c>
      <c r="H503" s="16"/>
      <c r="I503" s="16" t="s">
        <v>2229</v>
      </c>
      <c r="J503" s="16" t="s">
        <v>2230</v>
      </c>
      <c r="K503" s="16" t="s">
        <v>2231</v>
      </c>
    </row>
    <row r="504" spans="1:11" ht="150" hidden="1" x14ac:dyDescent="0.25">
      <c r="A504" s="22">
        <v>501</v>
      </c>
      <c r="B504" s="16" t="s">
        <v>2232</v>
      </c>
      <c r="C504" s="16" t="s">
        <v>2233</v>
      </c>
      <c r="D504" s="16">
        <v>9071000</v>
      </c>
      <c r="E504" s="16">
        <v>2</v>
      </c>
      <c r="F504" s="16">
        <v>3</v>
      </c>
      <c r="G504" s="20" t="s">
        <v>1443</v>
      </c>
      <c r="H504" s="16"/>
      <c r="I504" s="16" t="s">
        <v>2234</v>
      </c>
      <c r="J504" s="16" t="s">
        <v>2235</v>
      </c>
      <c r="K504" s="16" t="s">
        <v>2236</v>
      </c>
    </row>
    <row r="505" spans="1:11" ht="225" hidden="1" x14ac:dyDescent="0.25">
      <c r="A505" s="22">
        <v>502</v>
      </c>
      <c r="B505" s="16" t="s">
        <v>2237</v>
      </c>
      <c r="C505" s="16" t="s">
        <v>2238</v>
      </c>
      <c r="D505" s="16">
        <v>131959548</v>
      </c>
      <c r="E505" s="16">
        <v>2</v>
      </c>
      <c r="F505" s="16">
        <v>4</v>
      </c>
      <c r="G505" s="20" t="s">
        <v>1443</v>
      </c>
      <c r="H505" s="16"/>
      <c r="I505" s="16" t="s">
        <v>2239</v>
      </c>
      <c r="J505" s="16" t="s">
        <v>2240</v>
      </c>
      <c r="K505" s="16" t="s">
        <v>2241</v>
      </c>
    </row>
    <row r="506" spans="1:11" ht="195" hidden="1" x14ac:dyDescent="0.25">
      <c r="A506" s="22">
        <v>503</v>
      </c>
      <c r="B506" s="16" t="s">
        <v>2242</v>
      </c>
      <c r="C506" s="16" t="s">
        <v>2243</v>
      </c>
      <c r="D506" s="16">
        <v>190264396</v>
      </c>
      <c r="E506" s="16">
        <v>2</v>
      </c>
      <c r="F506" s="16">
        <v>4</v>
      </c>
      <c r="G506" s="20" t="s">
        <v>1443</v>
      </c>
      <c r="H506" s="16"/>
      <c r="I506" s="16" t="s">
        <v>2239</v>
      </c>
      <c r="J506" s="16" t="s">
        <v>2244</v>
      </c>
      <c r="K506" s="16" t="s">
        <v>2241</v>
      </c>
    </row>
    <row r="507" spans="1:11" ht="210" hidden="1" x14ac:dyDescent="0.25">
      <c r="A507" s="22">
        <v>504</v>
      </c>
      <c r="B507" s="16" t="s">
        <v>2245</v>
      </c>
      <c r="C507" s="16" t="s">
        <v>2246</v>
      </c>
      <c r="D507" s="16">
        <v>150368400</v>
      </c>
      <c r="E507" s="16">
        <v>2</v>
      </c>
      <c r="F507" s="16">
        <v>4</v>
      </c>
      <c r="G507" s="20" t="s">
        <v>1443</v>
      </c>
      <c r="H507" s="16"/>
      <c r="I507" s="16" t="s">
        <v>2247</v>
      </c>
      <c r="J507" s="16" t="s">
        <v>2248</v>
      </c>
      <c r="K507" s="16" t="s">
        <v>2249</v>
      </c>
    </row>
    <row r="508" spans="1:11" ht="225" hidden="1" x14ac:dyDescent="0.25">
      <c r="A508" s="22">
        <v>505</v>
      </c>
      <c r="B508" s="16" t="s">
        <v>2250</v>
      </c>
      <c r="C508" s="16" t="s">
        <v>2251</v>
      </c>
      <c r="D508" s="16">
        <v>1946143150</v>
      </c>
      <c r="E508" s="16">
        <v>2</v>
      </c>
      <c r="F508" s="16">
        <v>4</v>
      </c>
      <c r="G508" s="20" t="s">
        <v>1443</v>
      </c>
      <c r="H508" s="16"/>
      <c r="I508" s="16" t="s">
        <v>2252</v>
      </c>
      <c r="J508" s="16" t="s">
        <v>2253</v>
      </c>
      <c r="K508" s="16" t="s">
        <v>2254</v>
      </c>
    </row>
    <row r="509" spans="1:11" ht="195" hidden="1" x14ac:dyDescent="0.25">
      <c r="A509" s="22">
        <v>506</v>
      </c>
      <c r="B509" s="16" t="s">
        <v>2255</v>
      </c>
      <c r="C509" s="16" t="s">
        <v>2256</v>
      </c>
      <c r="D509" s="16">
        <v>1292986606</v>
      </c>
      <c r="E509" s="16">
        <v>2</v>
      </c>
      <c r="F509" s="16">
        <v>4</v>
      </c>
      <c r="G509" s="20" t="s">
        <v>1443</v>
      </c>
      <c r="H509" s="16"/>
      <c r="I509" s="16" t="s">
        <v>2257</v>
      </c>
      <c r="J509" s="16" t="s">
        <v>2258</v>
      </c>
      <c r="K509" s="16" t="s">
        <v>2254</v>
      </c>
    </row>
    <row r="510" spans="1:11" ht="195" hidden="1" x14ac:dyDescent="0.25">
      <c r="A510" s="22">
        <v>507</v>
      </c>
      <c r="B510" s="16" t="s">
        <v>2259</v>
      </c>
      <c r="C510" s="16" t="s">
        <v>2260</v>
      </c>
      <c r="D510" s="16">
        <v>3698315264</v>
      </c>
      <c r="E510" s="16">
        <v>2</v>
      </c>
      <c r="F510" s="16">
        <v>4</v>
      </c>
      <c r="G510" s="20" t="s">
        <v>1443</v>
      </c>
      <c r="H510" s="16"/>
      <c r="I510" s="16" t="s">
        <v>2261</v>
      </c>
      <c r="J510" s="16" t="s">
        <v>2262</v>
      </c>
      <c r="K510" s="16" t="s">
        <v>2254</v>
      </c>
    </row>
    <row r="511" spans="1:11" ht="409.5" hidden="1" x14ac:dyDescent="0.25">
      <c r="A511" s="22">
        <v>508</v>
      </c>
      <c r="B511" s="16" t="s">
        <v>2263</v>
      </c>
      <c r="C511" s="16" t="s">
        <v>2264</v>
      </c>
      <c r="D511" s="16">
        <v>10000000</v>
      </c>
      <c r="E511" s="16">
        <v>2</v>
      </c>
      <c r="F511" s="16">
        <v>4</v>
      </c>
      <c r="G511" s="20" t="s">
        <v>1443</v>
      </c>
      <c r="H511" s="16"/>
      <c r="I511" s="16" t="s">
        <v>2265</v>
      </c>
      <c r="J511" s="16" t="s">
        <v>2266</v>
      </c>
      <c r="K511" s="16" t="s">
        <v>2267</v>
      </c>
    </row>
    <row r="512" spans="1:11" ht="409.5" hidden="1" x14ac:dyDescent="0.25">
      <c r="A512" s="22">
        <v>509</v>
      </c>
      <c r="B512" s="16" t="s">
        <v>2268</v>
      </c>
      <c r="C512" s="16" t="s">
        <v>2269</v>
      </c>
      <c r="D512" s="16">
        <v>381600000</v>
      </c>
      <c r="E512" s="16">
        <v>3</v>
      </c>
      <c r="F512" s="16">
        <v>3</v>
      </c>
      <c r="G512" s="20" t="s">
        <v>1443</v>
      </c>
      <c r="H512" s="16"/>
      <c r="I512" s="16" t="s">
        <v>2270</v>
      </c>
      <c r="J512" s="16" t="s">
        <v>2271</v>
      </c>
      <c r="K512" s="16" t="s">
        <v>2272</v>
      </c>
    </row>
    <row r="513" spans="1:11" ht="409.5" hidden="1" x14ac:dyDescent="0.25">
      <c r="A513" s="22">
        <v>510</v>
      </c>
      <c r="B513" s="16" t="s">
        <v>2273</v>
      </c>
      <c r="C513" s="16" t="s">
        <v>2274</v>
      </c>
      <c r="D513" s="16">
        <v>264000000</v>
      </c>
      <c r="E513" s="16">
        <v>3</v>
      </c>
      <c r="F513" s="16">
        <v>3</v>
      </c>
      <c r="G513" s="20" t="s">
        <v>1443</v>
      </c>
      <c r="H513" s="16"/>
      <c r="I513" s="16" t="s">
        <v>2275</v>
      </c>
      <c r="J513" s="16" t="s">
        <v>2276</v>
      </c>
      <c r="K513" s="16" t="s">
        <v>2277</v>
      </c>
    </row>
    <row r="514" spans="1:11" ht="409.5" hidden="1" x14ac:dyDescent="0.25">
      <c r="A514" s="22">
        <v>511</v>
      </c>
      <c r="B514" s="16" t="s">
        <v>2278</v>
      </c>
      <c r="C514" s="16" t="s">
        <v>2279</v>
      </c>
      <c r="D514" s="16">
        <v>1761377200</v>
      </c>
      <c r="E514" s="16">
        <v>2</v>
      </c>
      <c r="F514" s="16">
        <v>5</v>
      </c>
      <c r="G514" s="20" t="s">
        <v>1443</v>
      </c>
      <c r="H514" s="16"/>
      <c r="I514" s="16" t="s">
        <v>2280</v>
      </c>
      <c r="J514" s="16" t="s">
        <v>2281</v>
      </c>
      <c r="K514" s="16" t="s">
        <v>2282</v>
      </c>
    </row>
    <row r="515" spans="1:11" ht="409.5" hidden="1" x14ac:dyDescent="0.25">
      <c r="A515" s="22">
        <v>512</v>
      </c>
      <c r="B515" s="16" t="s">
        <v>2283</v>
      </c>
      <c r="C515" s="16" t="s">
        <v>2284</v>
      </c>
      <c r="D515" s="16">
        <v>20333000</v>
      </c>
      <c r="E515" s="16">
        <v>3</v>
      </c>
      <c r="F515" s="16">
        <v>3</v>
      </c>
      <c r="G515" s="20" t="s">
        <v>1443</v>
      </c>
      <c r="H515" s="16"/>
      <c r="I515" s="16" t="s">
        <v>2285</v>
      </c>
      <c r="J515" s="16" t="s">
        <v>2286</v>
      </c>
      <c r="K515" s="16" t="s">
        <v>2287</v>
      </c>
    </row>
    <row r="516" spans="1:11" ht="409.5" hidden="1" x14ac:dyDescent="0.25">
      <c r="A516" s="22">
        <v>513</v>
      </c>
      <c r="B516" s="16" t="s">
        <v>2288</v>
      </c>
      <c r="C516" s="16" t="s">
        <v>2289</v>
      </c>
      <c r="D516" s="16">
        <v>20000000</v>
      </c>
      <c r="E516" s="16">
        <v>2</v>
      </c>
      <c r="F516" s="16">
        <v>3</v>
      </c>
      <c r="G516" s="20" t="s">
        <v>1443</v>
      </c>
      <c r="H516" s="16"/>
      <c r="I516" s="16" t="s">
        <v>2290</v>
      </c>
      <c r="J516" s="16" t="s">
        <v>2291</v>
      </c>
      <c r="K516" s="16" t="s">
        <v>2292</v>
      </c>
    </row>
    <row r="517" spans="1:11" ht="409.5" hidden="1" x14ac:dyDescent="0.25">
      <c r="A517" s="22">
        <v>514</v>
      </c>
      <c r="B517" s="16" t="s">
        <v>2293</v>
      </c>
      <c r="C517" s="16" t="s">
        <v>2294</v>
      </c>
      <c r="D517" s="16">
        <v>5000000</v>
      </c>
      <c r="E517" s="16">
        <v>2</v>
      </c>
      <c r="F517" s="16">
        <v>3</v>
      </c>
      <c r="G517" s="20" t="s">
        <v>1443</v>
      </c>
      <c r="H517" s="16"/>
      <c r="I517" s="16" t="s">
        <v>2295</v>
      </c>
      <c r="J517" s="16" t="s">
        <v>2296</v>
      </c>
      <c r="K517" s="16" t="s">
        <v>2297</v>
      </c>
    </row>
    <row r="518" spans="1:11" ht="409.5" hidden="1" x14ac:dyDescent="0.25">
      <c r="A518" s="22">
        <v>515</v>
      </c>
      <c r="B518" s="16" t="s">
        <v>2298</v>
      </c>
      <c r="C518" s="16" t="s">
        <v>2299</v>
      </c>
      <c r="D518" s="16">
        <v>78780000</v>
      </c>
      <c r="E518" s="16">
        <v>3</v>
      </c>
      <c r="F518" s="16">
        <v>3</v>
      </c>
      <c r="G518" s="20" t="s">
        <v>1443</v>
      </c>
      <c r="H518" s="16"/>
      <c r="I518" s="16" t="s">
        <v>2300</v>
      </c>
      <c r="J518" s="16" t="s">
        <v>2301</v>
      </c>
      <c r="K518" s="16" t="s">
        <v>2302</v>
      </c>
    </row>
    <row r="519" spans="1:11" ht="409.5" hidden="1" x14ac:dyDescent="0.25">
      <c r="A519" s="22">
        <v>516</v>
      </c>
      <c r="B519" s="16" t="s">
        <v>2303</v>
      </c>
      <c r="C519" s="16" t="s">
        <v>2304</v>
      </c>
      <c r="D519" s="16">
        <v>75550000</v>
      </c>
      <c r="E519" s="16">
        <v>2</v>
      </c>
      <c r="F519" s="16">
        <v>3</v>
      </c>
      <c r="G519" s="20" t="s">
        <v>1443</v>
      </c>
      <c r="H519" s="16"/>
      <c r="I519" s="16" t="s">
        <v>2305</v>
      </c>
      <c r="J519" s="16" t="s">
        <v>2306</v>
      </c>
      <c r="K519" s="16" t="s">
        <v>2304</v>
      </c>
    </row>
    <row r="520" spans="1:11" ht="345" hidden="1" x14ac:dyDescent="0.25">
      <c r="A520" s="22">
        <v>517</v>
      </c>
      <c r="B520" s="16" t="s">
        <v>2307</v>
      </c>
      <c r="C520" s="16" t="s">
        <v>2308</v>
      </c>
      <c r="D520" s="16">
        <v>42594000</v>
      </c>
      <c r="E520" s="16">
        <v>2</v>
      </c>
      <c r="F520" s="16">
        <v>4</v>
      </c>
      <c r="G520" s="20" t="s">
        <v>1443</v>
      </c>
      <c r="H520" s="16"/>
      <c r="I520" s="16" t="s">
        <v>2309</v>
      </c>
      <c r="J520" s="16" t="s">
        <v>2310</v>
      </c>
      <c r="K520" s="16" t="s">
        <v>2311</v>
      </c>
    </row>
    <row r="521" spans="1:11" ht="360" hidden="1" x14ac:dyDescent="0.25">
      <c r="A521" s="22">
        <v>518</v>
      </c>
      <c r="B521" s="16" t="s">
        <v>2312</v>
      </c>
      <c r="C521" s="16" t="s">
        <v>2313</v>
      </c>
      <c r="D521" s="16">
        <v>24501000</v>
      </c>
      <c r="E521" s="16">
        <v>2</v>
      </c>
      <c r="F521" s="16">
        <v>4</v>
      </c>
      <c r="G521" s="20" t="s">
        <v>1443</v>
      </c>
      <c r="H521" s="16"/>
      <c r="I521" s="16" t="s">
        <v>2314</v>
      </c>
      <c r="J521" s="16" t="s">
        <v>2315</v>
      </c>
      <c r="K521" s="16" t="s">
        <v>2311</v>
      </c>
    </row>
    <row r="522" spans="1:11" ht="360" hidden="1" x14ac:dyDescent="0.25">
      <c r="A522" s="22">
        <v>519</v>
      </c>
      <c r="B522" s="16" t="s">
        <v>2316</v>
      </c>
      <c r="C522" s="16" t="s">
        <v>2317</v>
      </c>
      <c r="D522" s="16">
        <v>8212500</v>
      </c>
      <c r="E522" s="16">
        <v>2</v>
      </c>
      <c r="F522" s="16">
        <v>4</v>
      </c>
      <c r="G522" s="20" t="s">
        <v>1443</v>
      </c>
      <c r="H522" s="16"/>
      <c r="I522" s="16" t="s">
        <v>2318</v>
      </c>
      <c r="J522" s="16" t="s">
        <v>2319</v>
      </c>
      <c r="K522" s="16" t="s">
        <v>2320</v>
      </c>
    </row>
    <row r="523" spans="1:11" ht="315" hidden="1" x14ac:dyDescent="0.25">
      <c r="A523" s="22">
        <v>520</v>
      </c>
      <c r="B523" s="16" t="s">
        <v>2321</v>
      </c>
      <c r="C523" s="16" t="s">
        <v>2322</v>
      </c>
      <c r="D523" s="16">
        <v>40000000</v>
      </c>
      <c r="E523" s="16">
        <v>2</v>
      </c>
      <c r="F523" s="16">
        <v>4</v>
      </c>
      <c r="G523" s="20" t="s">
        <v>1443</v>
      </c>
      <c r="H523" s="16"/>
      <c r="I523" s="16" t="s">
        <v>2323</v>
      </c>
      <c r="J523" s="16" t="s">
        <v>2324</v>
      </c>
      <c r="K523" s="16" t="s">
        <v>2325</v>
      </c>
    </row>
    <row r="524" spans="1:11" ht="409.5" hidden="1" x14ac:dyDescent="0.25">
      <c r="A524" s="22">
        <v>521</v>
      </c>
      <c r="B524" s="16" t="s">
        <v>2326</v>
      </c>
      <c r="C524" s="16" t="s">
        <v>2327</v>
      </c>
      <c r="D524" s="16">
        <v>15000000</v>
      </c>
      <c r="E524" s="16">
        <v>2</v>
      </c>
      <c r="F524" s="16">
        <v>4</v>
      </c>
      <c r="G524" s="20" t="s">
        <v>1443</v>
      </c>
      <c r="H524" s="16"/>
      <c r="I524" s="16" t="s">
        <v>2328</v>
      </c>
      <c r="J524" s="16" t="s">
        <v>2329</v>
      </c>
      <c r="K524" s="16" t="s">
        <v>2330</v>
      </c>
    </row>
    <row r="525" spans="1:11" ht="409.5" hidden="1" x14ac:dyDescent="0.25">
      <c r="A525" s="22">
        <v>522</v>
      </c>
      <c r="B525" s="16" t="s">
        <v>2331</v>
      </c>
      <c r="C525" s="16" t="s">
        <v>2332</v>
      </c>
      <c r="D525" s="16">
        <v>5000000</v>
      </c>
      <c r="E525" s="16">
        <v>2</v>
      </c>
      <c r="F525" s="16">
        <v>4</v>
      </c>
      <c r="G525" s="20" t="s">
        <v>1443</v>
      </c>
      <c r="H525" s="16"/>
      <c r="I525" s="16" t="s">
        <v>2333</v>
      </c>
      <c r="J525" s="16" t="s">
        <v>2334</v>
      </c>
      <c r="K525" s="16" t="s">
        <v>2335</v>
      </c>
    </row>
    <row r="526" spans="1:11" ht="409.5" hidden="1" x14ac:dyDescent="0.25">
      <c r="A526" s="22">
        <v>523</v>
      </c>
      <c r="B526" s="16" t="s">
        <v>2336</v>
      </c>
      <c r="C526" s="16" t="s">
        <v>2337</v>
      </c>
      <c r="D526" s="16">
        <v>15740000</v>
      </c>
      <c r="E526" s="16">
        <v>2</v>
      </c>
      <c r="F526" s="16">
        <v>4</v>
      </c>
      <c r="G526" s="20" t="s">
        <v>1443</v>
      </c>
      <c r="H526" s="16"/>
      <c r="I526" s="16" t="s">
        <v>2338</v>
      </c>
      <c r="J526" s="16" t="s">
        <v>2339</v>
      </c>
      <c r="K526" s="16" t="s">
        <v>2340</v>
      </c>
    </row>
    <row r="527" spans="1:11" ht="225" hidden="1" x14ac:dyDescent="0.25">
      <c r="A527" s="22">
        <v>524</v>
      </c>
      <c r="B527" s="16" t="s">
        <v>2341</v>
      </c>
      <c r="C527" s="16" t="s">
        <v>2342</v>
      </c>
      <c r="D527" s="16">
        <v>6850000</v>
      </c>
      <c r="E527" s="16">
        <v>2</v>
      </c>
      <c r="F527" s="16">
        <v>4</v>
      </c>
      <c r="G527" s="20" t="s">
        <v>1443</v>
      </c>
      <c r="H527" s="16"/>
      <c r="I527" s="16" t="s">
        <v>2343</v>
      </c>
      <c r="J527" s="16" t="s">
        <v>2344</v>
      </c>
      <c r="K527" s="16" t="s">
        <v>2345</v>
      </c>
    </row>
    <row r="528" spans="1:11" ht="315" hidden="1" x14ac:dyDescent="0.25">
      <c r="A528" s="22">
        <v>525</v>
      </c>
      <c r="B528" s="16" t="s">
        <v>2346</v>
      </c>
      <c r="C528" s="16" t="s">
        <v>2347</v>
      </c>
      <c r="D528" s="16">
        <v>24150000</v>
      </c>
      <c r="E528" s="16">
        <v>2</v>
      </c>
      <c r="F528" s="16">
        <v>4</v>
      </c>
      <c r="G528" s="20" t="s">
        <v>1443</v>
      </c>
      <c r="H528" s="16"/>
      <c r="I528" s="16" t="s">
        <v>2348</v>
      </c>
      <c r="J528" s="16" t="s">
        <v>2349</v>
      </c>
      <c r="K528" s="16" t="s">
        <v>2350</v>
      </c>
    </row>
    <row r="529" spans="1:11" ht="315" hidden="1" x14ac:dyDescent="0.25">
      <c r="A529" s="22">
        <v>526</v>
      </c>
      <c r="B529" s="16" t="s">
        <v>2351</v>
      </c>
      <c r="C529" s="16" t="s">
        <v>2352</v>
      </c>
      <c r="D529" s="16">
        <v>49450000</v>
      </c>
      <c r="E529" s="16">
        <v>2</v>
      </c>
      <c r="F529" s="16">
        <v>3</v>
      </c>
      <c r="G529" s="20" t="s">
        <v>1443</v>
      </c>
      <c r="H529" s="16"/>
      <c r="I529" s="16" t="s">
        <v>2353</v>
      </c>
      <c r="J529" s="16" t="s">
        <v>2354</v>
      </c>
      <c r="K529" s="16" t="s">
        <v>2355</v>
      </c>
    </row>
    <row r="530" spans="1:11" ht="315" hidden="1" x14ac:dyDescent="0.25">
      <c r="A530" s="22">
        <v>527</v>
      </c>
      <c r="B530" s="16" t="s">
        <v>2356</v>
      </c>
      <c r="C530" s="16" t="s">
        <v>2357</v>
      </c>
      <c r="D530" s="16">
        <v>30000000</v>
      </c>
      <c r="E530" s="16">
        <v>2</v>
      </c>
      <c r="F530" s="16">
        <v>4</v>
      </c>
      <c r="G530" s="20" t="s">
        <v>1443</v>
      </c>
      <c r="H530" s="16"/>
      <c r="I530" s="16" t="s">
        <v>2358</v>
      </c>
      <c r="J530" s="16" t="s">
        <v>2359</v>
      </c>
      <c r="K530" s="16" t="s">
        <v>2360</v>
      </c>
    </row>
    <row r="531" spans="1:11" ht="315" hidden="1" x14ac:dyDescent="0.25">
      <c r="A531" s="22">
        <v>528</v>
      </c>
      <c r="B531" s="16" t="s">
        <v>2361</v>
      </c>
      <c r="C531" s="16" t="s">
        <v>2362</v>
      </c>
      <c r="D531" s="16">
        <v>6000000</v>
      </c>
      <c r="E531" s="16">
        <v>2</v>
      </c>
      <c r="F531" s="16">
        <v>4</v>
      </c>
      <c r="G531" s="20" t="s">
        <v>1443</v>
      </c>
      <c r="H531" s="16"/>
      <c r="I531" s="16" t="s">
        <v>2363</v>
      </c>
      <c r="J531" s="16" t="s">
        <v>2364</v>
      </c>
      <c r="K531" s="16" t="s">
        <v>2365</v>
      </c>
    </row>
    <row r="532" spans="1:11" ht="360" hidden="1" x14ac:dyDescent="0.25">
      <c r="A532" s="22">
        <v>529</v>
      </c>
      <c r="B532" s="16" t="s">
        <v>2366</v>
      </c>
      <c r="C532" s="16" t="s">
        <v>2367</v>
      </c>
      <c r="D532" s="16">
        <v>18000000</v>
      </c>
      <c r="E532" s="16">
        <v>2</v>
      </c>
      <c r="F532" s="16">
        <v>5</v>
      </c>
      <c r="G532" s="20" t="s">
        <v>1443</v>
      </c>
      <c r="H532" s="16"/>
      <c r="I532" s="16" t="s">
        <v>2368</v>
      </c>
      <c r="J532" s="16" t="s">
        <v>2369</v>
      </c>
      <c r="K532" s="16" t="s">
        <v>2370</v>
      </c>
    </row>
    <row r="533" spans="1:11" ht="315" hidden="1" x14ac:dyDescent="0.25">
      <c r="A533" s="22">
        <v>530</v>
      </c>
      <c r="B533" s="16" t="s">
        <v>2371</v>
      </c>
      <c r="C533" s="16" t="s">
        <v>2372</v>
      </c>
      <c r="D533" s="16">
        <v>27280000</v>
      </c>
      <c r="E533" s="16">
        <v>2</v>
      </c>
      <c r="F533" s="16">
        <v>4</v>
      </c>
      <c r="G533" s="20" t="s">
        <v>1443</v>
      </c>
      <c r="H533" s="16"/>
      <c r="I533" s="16" t="s">
        <v>2373</v>
      </c>
      <c r="J533" s="16" t="s">
        <v>2374</v>
      </c>
      <c r="K533" s="16" t="s">
        <v>2375</v>
      </c>
    </row>
    <row r="534" spans="1:11" ht="409.5" hidden="1" x14ac:dyDescent="0.25">
      <c r="A534" s="22">
        <v>531</v>
      </c>
      <c r="B534" s="16" t="s">
        <v>2376</v>
      </c>
      <c r="C534" s="16" t="s">
        <v>2377</v>
      </c>
      <c r="D534" s="16">
        <v>30000000</v>
      </c>
      <c r="E534" s="16">
        <v>2</v>
      </c>
      <c r="F534" s="16">
        <v>4</v>
      </c>
      <c r="G534" s="20" t="s">
        <v>1443</v>
      </c>
      <c r="H534" s="16"/>
      <c r="I534" s="16" t="s">
        <v>2328</v>
      </c>
      <c r="J534" s="16" t="s">
        <v>2329</v>
      </c>
      <c r="K534" s="16" t="s">
        <v>2330</v>
      </c>
    </row>
    <row r="535" spans="1:11" ht="270" hidden="1" x14ac:dyDescent="0.25">
      <c r="A535" s="22">
        <v>532</v>
      </c>
      <c r="B535" s="16" t="s">
        <v>2378</v>
      </c>
      <c r="C535" s="16" t="s">
        <v>2379</v>
      </c>
      <c r="D535" s="16">
        <v>0</v>
      </c>
      <c r="E535" s="16">
        <v>3</v>
      </c>
      <c r="F535" s="16">
        <v>3</v>
      </c>
      <c r="G535" s="20" t="s">
        <v>1443</v>
      </c>
      <c r="H535" s="16"/>
      <c r="I535" s="16" t="s">
        <v>2380</v>
      </c>
      <c r="J535" s="16" t="s">
        <v>2381</v>
      </c>
      <c r="K535" s="16" t="s">
        <v>2382</v>
      </c>
    </row>
    <row r="536" spans="1:11" ht="165" hidden="1" x14ac:dyDescent="0.25">
      <c r="A536" s="22">
        <v>533</v>
      </c>
      <c r="B536" s="16" t="s">
        <v>2383</v>
      </c>
      <c r="C536" s="16" t="s">
        <v>2384</v>
      </c>
      <c r="D536" s="16">
        <v>4000000</v>
      </c>
      <c r="E536" s="16">
        <v>3</v>
      </c>
      <c r="F536" s="16">
        <v>2</v>
      </c>
      <c r="G536" s="20" t="s">
        <v>1443</v>
      </c>
      <c r="H536" s="16"/>
      <c r="I536" s="16" t="s">
        <v>2385</v>
      </c>
      <c r="J536" s="16" t="s">
        <v>2386</v>
      </c>
      <c r="K536" s="16" t="s">
        <v>2387</v>
      </c>
    </row>
    <row r="537" spans="1:11" ht="210" hidden="1" x14ac:dyDescent="0.25">
      <c r="A537" s="22">
        <v>534</v>
      </c>
      <c r="B537" s="16" t="s">
        <v>2388</v>
      </c>
      <c r="C537" s="16" t="s">
        <v>2389</v>
      </c>
      <c r="D537" s="16">
        <v>22100000</v>
      </c>
      <c r="E537" s="16">
        <v>2</v>
      </c>
      <c r="F537" s="16">
        <v>4</v>
      </c>
      <c r="G537" s="20" t="s">
        <v>1443</v>
      </c>
      <c r="H537" s="16"/>
      <c r="I537" s="16" t="s">
        <v>2390</v>
      </c>
      <c r="J537" s="16" t="s">
        <v>2391</v>
      </c>
      <c r="K537" s="16" t="s">
        <v>2392</v>
      </c>
    </row>
    <row r="538" spans="1:11" ht="255" hidden="1" x14ac:dyDescent="0.25">
      <c r="A538" s="22">
        <v>535</v>
      </c>
      <c r="B538" s="16" t="s">
        <v>2393</v>
      </c>
      <c r="C538" s="16" t="s">
        <v>2394</v>
      </c>
      <c r="D538" s="16">
        <v>8375000</v>
      </c>
      <c r="E538" s="16">
        <v>3</v>
      </c>
      <c r="F538" s="16">
        <v>3</v>
      </c>
      <c r="G538" s="20" t="s">
        <v>1443</v>
      </c>
      <c r="H538" s="16"/>
      <c r="I538" s="16" t="s">
        <v>2395</v>
      </c>
      <c r="J538" s="16" t="s">
        <v>2396</v>
      </c>
      <c r="K538" s="16" t="s">
        <v>2397</v>
      </c>
    </row>
    <row r="539" spans="1:11" ht="390" hidden="1" x14ac:dyDescent="0.25">
      <c r="A539" s="22">
        <v>536</v>
      </c>
      <c r="B539" s="16" t="s">
        <v>2398</v>
      </c>
      <c r="C539" s="16" t="s">
        <v>2399</v>
      </c>
      <c r="D539" s="16">
        <v>19395000</v>
      </c>
      <c r="E539" s="16">
        <v>3</v>
      </c>
      <c r="F539" s="16">
        <v>3</v>
      </c>
      <c r="G539" s="20" t="s">
        <v>1443</v>
      </c>
      <c r="H539" s="16"/>
      <c r="I539" s="16" t="s">
        <v>642</v>
      </c>
      <c r="J539" s="16" t="s">
        <v>2400</v>
      </c>
      <c r="K539" s="16" t="s">
        <v>2401</v>
      </c>
    </row>
    <row r="540" spans="1:11" ht="180" hidden="1" x14ac:dyDescent="0.25">
      <c r="A540" s="22">
        <v>537</v>
      </c>
      <c r="B540" s="16" t="s">
        <v>2402</v>
      </c>
      <c r="C540" s="16" t="s">
        <v>2403</v>
      </c>
      <c r="D540" s="16">
        <v>47566500</v>
      </c>
      <c r="E540" s="16">
        <v>2</v>
      </c>
      <c r="F540" s="16">
        <v>3</v>
      </c>
      <c r="G540" s="20" t="s">
        <v>1443</v>
      </c>
      <c r="H540" s="16"/>
      <c r="I540" s="16" t="s">
        <v>2404</v>
      </c>
      <c r="J540" s="16" t="s">
        <v>2405</v>
      </c>
      <c r="K540" s="16" t="s">
        <v>2406</v>
      </c>
    </row>
    <row r="541" spans="1:11" ht="330" hidden="1" x14ac:dyDescent="0.25">
      <c r="A541" s="22">
        <v>538</v>
      </c>
      <c r="B541" s="16" t="s">
        <v>2407</v>
      </c>
      <c r="C541" s="16" t="s">
        <v>2408</v>
      </c>
      <c r="D541" s="16">
        <v>7755000</v>
      </c>
      <c r="E541" s="16">
        <v>3</v>
      </c>
      <c r="F541" s="16">
        <v>3</v>
      </c>
      <c r="G541" s="20" t="s">
        <v>1443</v>
      </c>
      <c r="H541" s="16"/>
      <c r="I541" s="16" t="s">
        <v>2409</v>
      </c>
      <c r="J541" s="16" t="s">
        <v>2410</v>
      </c>
      <c r="K541" s="16" t="s">
        <v>2411</v>
      </c>
    </row>
    <row r="542" spans="1:11" ht="195" hidden="1" x14ac:dyDescent="0.25">
      <c r="A542" s="22">
        <v>539</v>
      </c>
      <c r="B542" s="16" t="s">
        <v>2412</v>
      </c>
      <c r="C542" s="16" t="s">
        <v>2413</v>
      </c>
      <c r="D542" s="16">
        <v>15500000</v>
      </c>
      <c r="E542" s="16">
        <v>3</v>
      </c>
      <c r="F542" s="16">
        <v>3</v>
      </c>
      <c r="G542" s="20" t="s">
        <v>1443</v>
      </c>
      <c r="H542" s="16"/>
      <c r="I542" s="16" t="s">
        <v>1034</v>
      </c>
      <c r="J542" s="16" t="s">
        <v>2414</v>
      </c>
      <c r="K542" s="16"/>
    </row>
    <row r="543" spans="1:11" ht="240" hidden="1" x14ac:dyDescent="0.25">
      <c r="A543" s="22">
        <v>540</v>
      </c>
      <c r="B543" s="16" t="s">
        <v>2415</v>
      </c>
      <c r="C543" s="16" t="s">
        <v>2416</v>
      </c>
      <c r="D543" s="16">
        <v>22000000</v>
      </c>
      <c r="E543" s="16">
        <v>2</v>
      </c>
      <c r="F543" s="16">
        <v>3</v>
      </c>
      <c r="G543" s="20" t="s">
        <v>1443</v>
      </c>
      <c r="H543" s="16"/>
      <c r="I543" s="16" t="s">
        <v>899</v>
      </c>
      <c r="J543" s="16" t="s">
        <v>900</v>
      </c>
      <c r="K543" s="16" t="s">
        <v>901</v>
      </c>
    </row>
    <row r="544" spans="1:11" ht="409.5" hidden="1" x14ac:dyDescent="0.25">
      <c r="A544" s="22">
        <v>541</v>
      </c>
      <c r="B544" s="16" t="s">
        <v>2417</v>
      </c>
      <c r="C544" s="16" t="s">
        <v>2418</v>
      </c>
      <c r="D544" s="16">
        <v>20000000</v>
      </c>
      <c r="E544" s="16">
        <v>3</v>
      </c>
      <c r="F544" s="16">
        <v>3</v>
      </c>
      <c r="G544" s="20" t="s">
        <v>1443</v>
      </c>
      <c r="H544" s="16"/>
      <c r="I544" s="16" t="s">
        <v>2419</v>
      </c>
      <c r="J544" s="16" t="s">
        <v>2420</v>
      </c>
      <c r="K544" s="16" t="s">
        <v>2421</v>
      </c>
    </row>
    <row r="545" spans="1:11" ht="165" hidden="1" x14ac:dyDescent="0.25">
      <c r="A545" s="22">
        <v>542</v>
      </c>
      <c r="B545" s="16" t="s">
        <v>2422</v>
      </c>
      <c r="C545" s="16" t="s">
        <v>2423</v>
      </c>
      <c r="D545" s="16">
        <v>8996680</v>
      </c>
      <c r="E545" s="16">
        <v>2</v>
      </c>
      <c r="F545" s="16">
        <v>3</v>
      </c>
      <c r="G545" s="20" t="s">
        <v>1443</v>
      </c>
      <c r="H545" s="16"/>
      <c r="I545" s="16" t="s">
        <v>2424</v>
      </c>
      <c r="J545" s="16" t="s">
        <v>2425</v>
      </c>
      <c r="K545" s="16" t="s">
        <v>2426</v>
      </c>
    </row>
    <row r="546" spans="1:11" ht="255" hidden="1" x14ac:dyDescent="0.25">
      <c r="A546" s="22">
        <v>543</v>
      </c>
      <c r="B546" s="16" t="s">
        <v>2427</v>
      </c>
      <c r="C546" s="16" t="s">
        <v>2428</v>
      </c>
      <c r="D546" s="16">
        <v>35000000</v>
      </c>
      <c r="E546" s="16">
        <v>3</v>
      </c>
      <c r="F546" s="16">
        <v>3</v>
      </c>
      <c r="G546" s="20" t="s">
        <v>1443</v>
      </c>
      <c r="H546" s="16"/>
      <c r="I546" s="16" t="s">
        <v>2429</v>
      </c>
      <c r="J546" s="16" t="s">
        <v>2430</v>
      </c>
      <c r="K546" s="16" t="s">
        <v>2431</v>
      </c>
    </row>
    <row r="547" spans="1:11" ht="270" hidden="1" x14ac:dyDescent="0.25">
      <c r="A547" s="22">
        <v>544</v>
      </c>
      <c r="B547" s="16" t="s">
        <v>2432</v>
      </c>
      <c r="C547" s="16" t="s">
        <v>2433</v>
      </c>
      <c r="D547" s="16">
        <v>35000000</v>
      </c>
      <c r="E547" s="16">
        <v>3</v>
      </c>
      <c r="F547" s="16">
        <v>3</v>
      </c>
      <c r="G547" s="20" t="s">
        <v>1443</v>
      </c>
      <c r="H547" s="16"/>
      <c r="I547" s="16" t="s">
        <v>2434</v>
      </c>
      <c r="J547" s="16" t="s">
        <v>2435</v>
      </c>
      <c r="K547" s="16" t="s">
        <v>2436</v>
      </c>
    </row>
    <row r="548" spans="1:11" ht="270" hidden="1" x14ac:dyDescent="0.25">
      <c r="A548" s="22">
        <v>545</v>
      </c>
      <c r="B548" s="16" t="s">
        <v>2437</v>
      </c>
      <c r="C548" s="16" t="s">
        <v>2438</v>
      </c>
      <c r="D548" s="16">
        <v>35000000</v>
      </c>
      <c r="E548" s="16">
        <v>3</v>
      </c>
      <c r="F548" s="16">
        <v>3</v>
      </c>
      <c r="G548" s="20" t="s">
        <v>1443</v>
      </c>
      <c r="H548" s="16"/>
      <c r="I548" s="16" t="s">
        <v>2439</v>
      </c>
      <c r="J548" s="16" t="s">
        <v>2440</v>
      </c>
      <c r="K548" s="16" t="s">
        <v>2441</v>
      </c>
    </row>
    <row r="549" spans="1:11" ht="165" hidden="1" x14ac:dyDescent="0.25">
      <c r="A549" s="22">
        <v>546</v>
      </c>
      <c r="B549" s="16" t="s">
        <v>2442</v>
      </c>
      <c r="C549" s="16" t="s">
        <v>2443</v>
      </c>
      <c r="D549" s="16">
        <v>35000000</v>
      </c>
      <c r="E549" s="16">
        <v>2</v>
      </c>
      <c r="F549" s="16">
        <v>4</v>
      </c>
      <c r="G549" s="20" t="s">
        <v>1443</v>
      </c>
      <c r="H549" s="16"/>
      <c r="I549" s="16" t="s">
        <v>2444</v>
      </c>
      <c r="J549" s="16" t="s">
        <v>2445</v>
      </c>
      <c r="K549" s="16" t="s">
        <v>2446</v>
      </c>
    </row>
    <row r="550" spans="1:11" ht="270" hidden="1" x14ac:dyDescent="0.25">
      <c r="A550" s="22">
        <v>547</v>
      </c>
      <c r="B550" s="16" t="s">
        <v>2447</v>
      </c>
      <c r="C550" s="16" t="s">
        <v>2448</v>
      </c>
      <c r="D550" s="16">
        <v>35000000</v>
      </c>
      <c r="E550" s="16">
        <v>3</v>
      </c>
      <c r="F550" s="16">
        <v>3</v>
      </c>
      <c r="G550" s="20" t="s">
        <v>1443</v>
      </c>
      <c r="H550" s="16"/>
      <c r="I550" s="16" t="s">
        <v>2449</v>
      </c>
      <c r="J550" s="16" t="s">
        <v>2450</v>
      </c>
      <c r="K550" s="16" t="s">
        <v>2451</v>
      </c>
    </row>
    <row r="551" spans="1:11" ht="409.5" hidden="1" x14ac:dyDescent="0.25">
      <c r="A551" s="22">
        <v>548</v>
      </c>
      <c r="B551" s="16" t="s">
        <v>2452</v>
      </c>
      <c r="C551" s="16" t="s">
        <v>2453</v>
      </c>
      <c r="D551" s="16">
        <v>10007000</v>
      </c>
      <c r="E551" s="16">
        <v>3</v>
      </c>
      <c r="F551" s="16">
        <v>3</v>
      </c>
      <c r="G551" s="20" t="s">
        <v>1443</v>
      </c>
      <c r="H551" s="16"/>
      <c r="I551" s="16" t="s">
        <v>2454</v>
      </c>
      <c r="J551" s="16" t="s">
        <v>2455</v>
      </c>
      <c r="K551" s="16" t="s">
        <v>2456</v>
      </c>
    </row>
    <row r="552" spans="1:11" ht="409.5" hidden="1" x14ac:dyDescent="0.25">
      <c r="A552" s="22">
        <v>549</v>
      </c>
      <c r="B552" s="16" t="s">
        <v>2457</v>
      </c>
      <c r="C552" s="16" t="s">
        <v>2458</v>
      </c>
      <c r="D552" s="16">
        <v>9374000</v>
      </c>
      <c r="E552" s="16">
        <v>2</v>
      </c>
      <c r="F552" s="16">
        <v>4</v>
      </c>
      <c r="G552" s="20" t="s">
        <v>1443</v>
      </c>
      <c r="H552" s="16"/>
      <c r="I552" s="16" t="s">
        <v>2459</v>
      </c>
      <c r="J552" s="16" t="s">
        <v>2460</v>
      </c>
      <c r="K552" s="16" t="s">
        <v>2461</v>
      </c>
    </row>
    <row r="553" spans="1:11" ht="285" hidden="1" x14ac:dyDescent="0.25">
      <c r="A553" s="22">
        <v>550</v>
      </c>
      <c r="B553" s="16" t="s">
        <v>2462</v>
      </c>
      <c r="C553" s="16" t="s">
        <v>2463</v>
      </c>
      <c r="D553" s="16">
        <v>28495280</v>
      </c>
      <c r="E553" s="16">
        <v>2</v>
      </c>
      <c r="F553" s="16">
        <v>3</v>
      </c>
      <c r="G553" s="20" t="s">
        <v>1443</v>
      </c>
      <c r="H553" s="16"/>
      <c r="I553" s="16" t="s">
        <v>642</v>
      </c>
      <c r="J553" s="16" t="s">
        <v>2464</v>
      </c>
      <c r="K553" s="16" t="s">
        <v>2465</v>
      </c>
    </row>
    <row r="554" spans="1:11" ht="409.5" hidden="1" x14ac:dyDescent="0.25">
      <c r="A554" s="22">
        <v>551</v>
      </c>
      <c r="B554" s="16" t="s">
        <v>2466</v>
      </c>
      <c r="C554" s="16" t="s">
        <v>2467</v>
      </c>
      <c r="D554" s="16">
        <v>44620000</v>
      </c>
      <c r="E554" s="16">
        <v>2</v>
      </c>
      <c r="F554" s="16">
        <v>3</v>
      </c>
      <c r="G554" s="20" t="s">
        <v>1443</v>
      </c>
      <c r="H554" s="16"/>
      <c r="I554" s="16" t="s">
        <v>642</v>
      </c>
      <c r="J554" s="16" t="s">
        <v>2468</v>
      </c>
      <c r="K554" s="16" t="s">
        <v>2469</v>
      </c>
    </row>
    <row r="555" spans="1:11" ht="345" hidden="1" x14ac:dyDescent="0.25">
      <c r="A555" s="22">
        <v>552</v>
      </c>
      <c r="B555" s="16" t="s">
        <v>2470</v>
      </c>
      <c r="C555" s="16" t="s">
        <v>2471</v>
      </c>
      <c r="D555" s="16">
        <v>29348000</v>
      </c>
      <c r="E555" s="16">
        <v>2</v>
      </c>
      <c r="F555" s="16">
        <v>3</v>
      </c>
      <c r="G555" s="20" t="s">
        <v>1443</v>
      </c>
      <c r="H555" s="16"/>
      <c r="I555" s="16" t="s">
        <v>2472</v>
      </c>
      <c r="J555" s="16" t="s">
        <v>2473</v>
      </c>
      <c r="K555" s="16" t="s">
        <v>2474</v>
      </c>
    </row>
    <row r="556" spans="1:11" ht="405" hidden="1" x14ac:dyDescent="0.25">
      <c r="A556" s="22">
        <v>553</v>
      </c>
      <c r="B556" s="16" t="s">
        <v>2475</v>
      </c>
      <c r="C556" s="16" t="s">
        <v>2476</v>
      </c>
      <c r="D556" s="16">
        <v>1506265000</v>
      </c>
      <c r="E556" s="16">
        <v>2</v>
      </c>
      <c r="F556" s="16">
        <v>5</v>
      </c>
      <c r="G556" s="20" t="s">
        <v>1443</v>
      </c>
      <c r="H556" s="16"/>
      <c r="I556" s="16" t="s">
        <v>642</v>
      </c>
      <c r="J556" s="16" t="s">
        <v>2477</v>
      </c>
      <c r="K556" s="16" t="s">
        <v>2478</v>
      </c>
    </row>
    <row r="557" spans="1:11" ht="315" hidden="1" x14ac:dyDescent="0.25">
      <c r="A557" s="22">
        <v>554</v>
      </c>
      <c r="B557" s="16" t="s">
        <v>2479</v>
      </c>
      <c r="C557" s="16" t="s">
        <v>2480</v>
      </c>
      <c r="D557" s="16">
        <v>42200000</v>
      </c>
      <c r="E557" s="16">
        <v>2</v>
      </c>
      <c r="F557" s="16">
        <v>3</v>
      </c>
      <c r="G557" s="20" t="s">
        <v>1443</v>
      </c>
      <c r="H557" s="16"/>
      <c r="I557" s="16" t="s">
        <v>642</v>
      </c>
      <c r="J557" s="16" t="s">
        <v>2481</v>
      </c>
      <c r="K557" s="16" t="s">
        <v>2482</v>
      </c>
    </row>
    <row r="558" spans="1:11" ht="409.5" hidden="1" x14ac:dyDescent="0.25">
      <c r="A558" s="22">
        <v>555</v>
      </c>
      <c r="B558" s="16" t="s">
        <v>2483</v>
      </c>
      <c r="C558" s="16" t="s">
        <v>2484</v>
      </c>
      <c r="D558" s="16">
        <v>27208000</v>
      </c>
      <c r="E558" s="16">
        <v>2</v>
      </c>
      <c r="F558" s="16">
        <v>3</v>
      </c>
      <c r="G558" s="20" t="s">
        <v>1443</v>
      </c>
      <c r="H558" s="16"/>
      <c r="I558" s="16" t="s">
        <v>642</v>
      </c>
      <c r="J558" s="16" t="s">
        <v>2485</v>
      </c>
      <c r="K558" s="16" t="s">
        <v>2486</v>
      </c>
    </row>
    <row r="559" spans="1:11" ht="120" hidden="1" x14ac:dyDescent="0.25">
      <c r="A559" s="22">
        <v>556</v>
      </c>
      <c r="B559" s="16" t="s">
        <v>2487</v>
      </c>
      <c r="C559" s="16" t="s">
        <v>2488</v>
      </c>
      <c r="D559" s="16">
        <v>115100500</v>
      </c>
      <c r="E559" s="16">
        <v>2</v>
      </c>
      <c r="F559" s="16">
        <v>5</v>
      </c>
      <c r="G559" s="20" t="s">
        <v>1443</v>
      </c>
      <c r="H559" s="16"/>
      <c r="I559" s="16" t="s">
        <v>2489</v>
      </c>
      <c r="J559" s="16" t="s">
        <v>2490</v>
      </c>
      <c r="K559" s="16" t="s">
        <v>2491</v>
      </c>
    </row>
    <row r="560" spans="1:11" ht="345" hidden="1" x14ac:dyDescent="0.25">
      <c r="A560" s="22">
        <v>557</v>
      </c>
      <c r="B560" s="16" t="s">
        <v>2492</v>
      </c>
      <c r="C560" s="16" t="s">
        <v>2493</v>
      </c>
      <c r="D560" s="16">
        <v>137146920</v>
      </c>
      <c r="E560" s="16">
        <v>2</v>
      </c>
      <c r="F560" s="16">
        <v>5</v>
      </c>
      <c r="G560" s="20" t="s">
        <v>1443</v>
      </c>
      <c r="H560" s="16"/>
      <c r="I560" s="16" t="s">
        <v>2494</v>
      </c>
      <c r="J560" s="16" t="s">
        <v>2495</v>
      </c>
      <c r="K560" s="16" t="s">
        <v>2491</v>
      </c>
    </row>
    <row r="561" spans="1:11" ht="375" hidden="1" x14ac:dyDescent="0.25">
      <c r="A561" s="22">
        <v>558</v>
      </c>
      <c r="B561" s="16" t="s">
        <v>2496</v>
      </c>
      <c r="C561" s="16" t="s">
        <v>2497</v>
      </c>
      <c r="D561" s="16">
        <v>110400000</v>
      </c>
      <c r="E561" s="16">
        <v>2</v>
      </c>
      <c r="F561" s="16">
        <v>4</v>
      </c>
      <c r="G561" s="20" t="s">
        <v>1443</v>
      </c>
      <c r="H561" s="16"/>
      <c r="I561" s="16" t="s">
        <v>2498</v>
      </c>
      <c r="J561" s="16" t="s">
        <v>2499</v>
      </c>
      <c r="K561" s="16" t="s">
        <v>2491</v>
      </c>
    </row>
    <row r="562" spans="1:11" ht="360" hidden="1" x14ac:dyDescent="0.25">
      <c r="A562" s="22">
        <v>559</v>
      </c>
      <c r="B562" s="16" t="s">
        <v>2500</v>
      </c>
      <c r="C562" s="16" t="s">
        <v>2501</v>
      </c>
      <c r="D562" s="16">
        <v>36750000</v>
      </c>
      <c r="E562" s="16">
        <v>2</v>
      </c>
      <c r="F562" s="16">
        <v>5</v>
      </c>
      <c r="G562" s="20" t="s">
        <v>1443</v>
      </c>
      <c r="H562" s="16"/>
      <c r="I562" s="16" t="s">
        <v>2502</v>
      </c>
      <c r="J562" s="16" t="s">
        <v>2503</v>
      </c>
      <c r="K562" s="16" t="s">
        <v>2491</v>
      </c>
    </row>
    <row r="563" spans="1:11" ht="345" hidden="1" x14ac:dyDescent="0.25">
      <c r="A563" s="22">
        <v>560</v>
      </c>
      <c r="B563" s="16" t="s">
        <v>2504</v>
      </c>
      <c r="C563" s="16" t="s">
        <v>2505</v>
      </c>
      <c r="D563" s="16">
        <v>31600000</v>
      </c>
      <c r="E563" s="16">
        <v>2</v>
      </c>
      <c r="F563" s="16">
        <v>3</v>
      </c>
      <c r="G563" s="20" t="s">
        <v>1443</v>
      </c>
      <c r="H563" s="16"/>
      <c r="I563" s="16" t="s">
        <v>2502</v>
      </c>
      <c r="J563" s="16" t="s">
        <v>2506</v>
      </c>
      <c r="K563" s="16" t="s">
        <v>2491</v>
      </c>
    </row>
    <row r="564" spans="1:11" ht="360" hidden="1" x14ac:dyDescent="0.25">
      <c r="A564" s="22">
        <v>561</v>
      </c>
      <c r="B564" s="16" t="s">
        <v>2507</v>
      </c>
      <c r="C564" s="16" t="s">
        <v>2508</v>
      </c>
      <c r="D564" s="16">
        <v>19800000</v>
      </c>
      <c r="E564" s="16">
        <v>2</v>
      </c>
      <c r="F564" s="16">
        <v>3</v>
      </c>
      <c r="G564" s="20" t="s">
        <v>1443</v>
      </c>
      <c r="H564" s="16"/>
      <c r="I564" s="16" t="s">
        <v>2502</v>
      </c>
      <c r="J564" s="16" t="s">
        <v>2509</v>
      </c>
      <c r="K564" s="16" t="s">
        <v>2491</v>
      </c>
    </row>
    <row r="565" spans="1:11" ht="315" hidden="1" x14ac:dyDescent="0.25">
      <c r="A565" s="22">
        <v>562</v>
      </c>
      <c r="B565" s="16" t="s">
        <v>2510</v>
      </c>
      <c r="C565" s="16" t="s">
        <v>2511</v>
      </c>
      <c r="D565" s="16">
        <v>59500000</v>
      </c>
      <c r="E565" s="16">
        <v>2</v>
      </c>
      <c r="F565" s="16">
        <v>3</v>
      </c>
      <c r="G565" s="20" t="s">
        <v>1443</v>
      </c>
      <c r="H565" s="16"/>
      <c r="I565" s="16" t="s">
        <v>2512</v>
      </c>
      <c r="J565" s="16" t="s">
        <v>2513</v>
      </c>
      <c r="K565" s="16" t="s">
        <v>2491</v>
      </c>
    </row>
    <row r="566" spans="1:11" ht="315" hidden="1" x14ac:dyDescent="0.25">
      <c r="A566" s="22">
        <v>563</v>
      </c>
      <c r="B566" s="16" t="s">
        <v>2514</v>
      </c>
      <c r="C566" s="16" t="s">
        <v>2515</v>
      </c>
      <c r="D566" s="16">
        <v>50884364</v>
      </c>
      <c r="E566" s="16">
        <v>2</v>
      </c>
      <c r="F566" s="16">
        <v>5</v>
      </c>
      <c r="G566" s="20" t="s">
        <v>1443</v>
      </c>
      <c r="H566" s="16"/>
      <c r="I566" s="16" t="s">
        <v>2502</v>
      </c>
      <c r="J566" s="16" t="s">
        <v>2516</v>
      </c>
      <c r="K566" s="16" t="s">
        <v>2491</v>
      </c>
    </row>
    <row r="567" spans="1:11" ht="409.5" hidden="1" x14ac:dyDescent="0.25">
      <c r="A567" s="22">
        <v>564</v>
      </c>
      <c r="B567" s="16" t="s">
        <v>2517</v>
      </c>
      <c r="C567" s="16" t="s">
        <v>2518</v>
      </c>
      <c r="D567" s="16">
        <v>41507394</v>
      </c>
      <c r="E567" s="16">
        <v>2</v>
      </c>
      <c r="F567" s="16">
        <v>3</v>
      </c>
      <c r="G567" s="20" t="s">
        <v>1443</v>
      </c>
      <c r="H567" s="16"/>
      <c r="I567" s="16" t="s">
        <v>2489</v>
      </c>
      <c r="J567" s="16" t="s">
        <v>2519</v>
      </c>
      <c r="K567" s="16" t="s">
        <v>2491</v>
      </c>
    </row>
    <row r="568" spans="1:11" ht="409.5" hidden="1" x14ac:dyDescent="0.25">
      <c r="A568" s="22">
        <v>565</v>
      </c>
      <c r="B568" s="16" t="s">
        <v>2520</v>
      </c>
      <c r="C568" s="16" t="s">
        <v>2521</v>
      </c>
      <c r="D568" s="16">
        <v>70389272</v>
      </c>
      <c r="E568" s="16">
        <v>2</v>
      </c>
      <c r="F568" s="16">
        <v>3</v>
      </c>
      <c r="G568" s="20" t="s">
        <v>1443</v>
      </c>
      <c r="H568" s="16"/>
      <c r="I568" s="16" t="s">
        <v>2502</v>
      </c>
      <c r="J568" s="16" t="s">
        <v>2522</v>
      </c>
      <c r="K568" s="16" t="s">
        <v>2491</v>
      </c>
    </row>
    <row r="569" spans="1:11" ht="330" hidden="1" x14ac:dyDescent="0.25">
      <c r="A569" s="22">
        <v>566</v>
      </c>
      <c r="B569" s="16" t="s">
        <v>2523</v>
      </c>
      <c r="C569" s="16" t="s">
        <v>2524</v>
      </c>
      <c r="D569" s="16">
        <v>47500000</v>
      </c>
      <c r="E569" s="16">
        <v>2</v>
      </c>
      <c r="F569" s="16">
        <v>4</v>
      </c>
      <c r="G569" s="20" t="s">
        <v>1443</v>
      </c>
      <c r="H569" s="16"/>
      <c r="I569" s="16" t="s">
        <v>2502</v>
      </c>
      <c r="J569" s="16" t="s">
        <v>2525</v>
      </c>
      <c r="K569" s="16" t="s">
        <v>2491</v>
      </c>
    </row>
    <row r="570" spans="1:11" ht="315" hidden="1" x14ac:dyDescent="0.25">
      <c r="A570" s="22">
        <v>567</v>
      </c>
      <c r="B570" s="16" t="s">
        <v>2526</v>
      </c>
      <c r="C570" s="16" t="s">
        <v>2527</v>
      </c>
      <c r="D570" s="16">
        <v>47500000</v>
      </c>
      <c r="E570" s="16">
        <v>2</v>
      </c>
      <c r="F570" s="16">
        <v>4</v>
      </c>
      <c r="G570" s="20" t="s">
        <v>1443</v>
      </c>
      <c r="H570" s="16"/>
      <c r="I570" s="16" t="s">
        <v>2502</v>
      </c>
      <c r="J570" s="16" t="s">
        <v>2528</v>
      </c>
      <c r="K570" s="16" t="s">
        <v>2491</v>
      </c>
    </row>
    <row r="571" spans="1:11" ht="375" hidden="1" x14ac:dyDescent="0.25">
      <c r="A571" s="22">
        <v>568</v>
      </c>
      <c r="B571" s="16" t="s">
        <v>2529</v>
      </c>
      <c r="C571" s="16" t="s">
        <v>2530</v>
      </c>
      <c r="D571" s="16">
        <v>32850000</v>
      </c>
      <c r="E571" s="16">
        <v>2</v>
      </c>
      <c r="F571" s="16">
        <v>5</v>
      </c>
      <c r="G571" s="20" t="s">
        <v>1443</v>
      </c>
      <c r="H571" s="16"/>
      <c r="I571" s="16" t="s">
        <v>2502</v>
      </c>
      <c r="J571" s="16" t="s">
        <v>2531</v>
      </c>
      <c r="K571" s="16" t="s">
        <v>2491</v>
      </c>
    </row>
    <row r="572" spans="1:11" ht="360" hidden="1" x14ac:dyDescent="0.25">
      <c r="A572" s="22">
        <v>569</v>
      </c>
      <c r="B572" s="16" t="s">
        <v>2532</v>
      </c>
      <c r="C572" s="16" t="s">
        <v>2533</v>
      </c>
      <c r="D572" s="16">
        <v>67250000</v>
      </c>
      <c r="E572" s="16">
        <v>2</v>
      </c>
      <c r="F572" s="16">
        <v>3</v>
      </c>
      <c r="G572" s="20" t="s">
        <v>1443</v>
      </c>
      <c r="H572" s="16"/>
      <c r="I572" s="16" t="s">
        <v>2502</v>
      </c>
      <c r="J572" s="16" t="s">
        <v>2534</v>
      </c>
      <c r="K572" s="16" t="s">
        <v>2491</v>
      </c>
    </row>
    <row r="573" spans="1:11" ht="360" hidden="1" x14ac:dyDescent="0.25">
      <c r="A573" s="22">
        <v>570</v>
      </c>
      <c r="B573" s="16" t="s">
        <v>2535</v>
      </c>
      <c r="C573" s="16" t="s">
        <v>2536</v>
      </c>
      <c r="D573" s="16">
        <v>26200000</v>
      </c>
      <c r="E573" s="16">
        <v>2</v>
      </c>
      <c r="F573" s="16">
        <v>3</v>
      </c>
      <c r="G573" s="20" t="s">
        <v>1443</v>
      </c>
      <c r="H573" s="16"/>
      <c r="I573" s="16" t="s">
        <v>2502</v>
      </c>
      <c r="J573" s="16" t="s">
        <v>2537</v>
      </c>
      <c r="K573" s="16" t="s">
        <v>2491</v>
      </c>
    </row>
    <row r="574" spans="1:11" ht="330" hidden="1" x14ac:dyDescent="0.25">
      <c r="A574" s="22">
        <v>571</v>
      </c>
      <c r="B574" s="16" t="s">
        <v>2538</v>
      </c>
      <c r="C574" s="16" t="s">
        <v>2539</v>
      </c>
      <c r="D574" s="16">
        <v>52200000</v>
      </c>
      <c r="E574" s="16">
        <v>2</v>
      </c>
      <c r="F574" s="16">
        <v>3</v>
      </c>
      <c r="G574" s="20" t="s">
        <v>1443</v>
      </c>
      <c r="H574" s="16"/>
      <c r="I574" s="16" t="s">
        <v>2502</v>
      </c>
      <c r="J574" s="16" t="s">
        <v>2540</v>
      </c>
      <c r="K574" s="16" t="s">
        <v>2491</v>
      </c>
    </row>
    <row r="575" spans="1:11" ht="390" hidden="1" x14ac:dyDescent="0.25">
      <c r="A575" s="22">
        <v>572</v>
      </c>
      <c r="B575" s="16" t="s">
        <v>2541</v>
      </c>
      <c r="C575" s="16" t="s">
        <v>2542</v>
      </c>
      <c r="D575" s="16">
        <v>50500000</v>
      </c>
      <c r="E575" s="16">
        <v>2</v>
      </c>
      <c r="F575" s="16">
        <v>5</v>
      </c>
      <c r="G575" s="20" t="s">
        <v>1443</v>
      </c>
      <c r="H575" s="16"/>
      <c r="I575" s="16" t="s">
        <v>2502</v>
      </c>
      <c r="J575" s="16" t="s">
        <v>2543</v>
      </c>
      <c r="K575" s="16" t="s">
        <v>2491</v>
      </c>
    </row>
    <row r="576" spans="1:11" ht="345" hidden="1" x14ac:dyDescent="0.25">
      <c r="A576" s="22">
        <v>573</v>
      </c>
      <c r="B576" s="16" t="s">
        <v>2544</v>
      </c>
      <c r="C576" s="16" t="s">
        <v>2545</v>
      </c>
      <c r="D576" s="16">
        <v>47500000</v>
      </c>
      <c r="E576" s="16">
        <v>2</v>
      </c>
      <c r="F576" s="16">
        <v>4</v>
      </c>
      <c r="G576" s="20" t="s">
        <v>1443</v>
      </c>
      <c r="H576" s="16"/>
      <c r="I576" s="16" t="s">
        <v>2502</v>
      </c>
      <c r="J576" s="16" t="s">
        <v>2546</v>
      </c>
      <c r="K576" s="16" t="s">
        <v>2491</v>
      </c>
    </row>
    <row r="577" spans="1:11" ht="360" hidden="1" x14ac:dyDescent="0.25">
      <c r="A577" s="22">
        <v>574</v>
      </c>
      <c r="B577" s="16" t="s">
        <v>2547</v>
      </c>
      <c r="C577" s="16" t="s">
        <v>2548</v>
      </c>
      <c r="D577" s="16">
        <v>41023761</v>
      </c>
      <c r="E577" s="16">
        <v>2</v>
      </c>
      <c r="F577" s="16">
        <v>5</v>
      </c>
      <c r="G577" s="20" t="s">
        <v>1443</v>
      </c>
      <c r="H577" s="16"/>
      <c r="I577" s="16" t="s">
        <v>2502</v>
      </c>
      <c r="J577" s="16" t="s">
        <v>2549</v>
      </c>
      <c r="K577" s="16" t="s">
        <v>2491</v>
      </c>
    </row>
    <row r="578" spans="1:11" ht="409.5" hidden="1" x14ac:dyDescent="0.25">
      <c r="A578" s="22">
        <v>575</v>
      </c>
      <c r="B578" s="16" t="s">
        <v>2550</v>
      </c>
      <c r="C578" s="16" t="s">
        <v>2551</v>
      </c>
      <c r="D578" s="16">
        <v>75574272</v>
      </c>
      <c r="E578" s="16">
        <v>2</v>
      </c>
      <c r="F578" s="16">
        <v>3</v>
      </c>
      <c r="G578" s="20" t="s">
        <v>1443</v>
      </c>
      <c r="H578" s="16"/>
      <c r="I578" s="16" t="s">
        <v>2502</v>
      </c>
      <c r="J578" s="16" t="s">
        <v>2552</v>
      </c>
      <c r="K578" s="16" t="s">
        <v>2491</v>
      </c>
    </row>
    <row r="579" spans="1:11" ht="345" hidden="1" x14ac:dyDescent="0.25">
      <c r="A579" s="22">
        <v>576</v>
      </c>
      <c r="B579" s="16" t="s">
        <v>2553</v>
      </c>
      <c r="C579" s="16" t="s">
        <v>2554</v>
      </c>
      <c r="D579" s="16">
        <v>73234272</v>
      </c>
      <c r="E579" s="16">
        <v>2</v>
      </c>
      <c r="F579" s="16">
        <v>3</v>
      </c>
      <c r="G579" s="20" t="s">
        <v>1443</v>
      </c>
      <c r="H579" s="16"/>
      <c r="I579" s="16" t="s">
        <v>2502</v>
      </c>
      <c r="J579" s="16" t="s">
        <v>2555</v>
      </c>
      <c r="K579" s="16" t="s">
        <v>2491</v>
      </c>
    </row>
    <row r="580" spans="1:11" ht="409.5" hidden="1" x14ac:dyDescent="0.25">
      <c r="A580" s="22">
        <v>577</v>
      </c>
      <c r="B580" s="16" t="s">
        <v>2556</v>
      </c>
      <c r="C580" s="16" t="s">
        <v>2557</v>
      </c>
      <c r="D580" s="16">
        <v>62284200</v>
      </c>
      <c r="E580" s="16">
        <v>2</v>
      </c>
      <c r="F580" s="16">
        <v>3</v>
      </c>
      <c r="G580" s="20" t="s">
        <v>1443</v>
      </c>
      <c r="H580" s="16"/>
      <c r="I580" s="16" t="s">
        <v>2502</v>
      </c>
      <c r="J580" s="16" t="s">
        <v>2558</v>
      </c>
      <c r="K580" s="16" t="s">
        <v>2491</v>
      </c>
    </row>
    <row r="581" spans="1:11" ht="315" hidden="1" x14ac:dyDescent="0.25">
      <c r="A581" s="22">
        <v>578</v>
      </c>
      <c r="B581" s="16" t="s">
        <v>2559</v>
      </c>
      <c r="C581" s="16" t="s">
        <v>2560</v>
      </c>
      <c r="D581" s="16">
        <v>47500000</v>
      </c>
      <c r="E581" s="16">
        <v>2</v>
      </c>
      <c r="F581" s="16">
        <v>4</v>
      </c>
      <c r="G581" s="20" t="s">
        <v>1443</v>
      </c>
      <c r="H581" s="16"/>
      <c r="I581" s="16" t="s">
        <v>2502</v>
      </c>
      <c r="J581" s="16" t="s">
        <v>2561</v>
      </c>
      <c r="K581" s="16" t="s">
        <v>2491</v>
      </c>
    </row>
    <row r="582" spans="1:11" ht="405" hidden="1" x14ac:dyDescent="0.25">
      <c r="A582" s="22">
        <v>579</v>
      </c>
      <c r="B582" s="16" t="s">
        <v>2562</v>
      </c>
      <c r="C582" s="16" t="s">
        <v>2563</v>
      </c>
      <c r="D582" s="16">
        <v>82694396</v>
      </c>
      <c r="E582" s="16">
        <v>2</v>
      </c>
      <c r="F582" s="16">
        <v>4</v>
      </c>
      <c r="G582" s="20" t="s">
        <v>1443</v>
      </c>
      <c r="H582" s="16"/>
      <c r="I582" s="16" t="s">
        <v>2502</v>
      </c>
      <c r="J582" s="16" t="s">
        <v>2564</v>
      </c>
      <c r="K582" s="16" t="s">
        <v>2491</v>
      </c>
    </row>
    <row r="583" spans="1:11" ht="375" hidden="1" x14ac:dyDescent="0.25">
      <c r="A583" s="22">
        <v>580</v>
      </c>
      <c r="B583" s="16" t="s">
        <v>2565</v>
      </c>
      <c r="C583" s="16" t="s">
        <v>2566</v>
      </c>
      <c r="D583" s="16">
        <v>50523200</v>
      </c>
      <c r="E583" s="16">
        <v>2</v>
      </c>
      <c r="F583" s="16">
        <v>3</v>
      </c>
      <c r="G583" s="20" t="s">
        <v>1443</v>
      </c>
      <c r="H583" s="16"/>
      <c r="I583" s="16" t="s">
        <v>2489</v>
      </c>
      <c r="J583" s="16" t="s">
        <v>2567</v>
      </c>
      <c r="K583" s="16" t="s">
        <v>2491</v>
      </c>
    </row>
    <row r="584" spans="1:11" ht="345" hidden="1" x14ac:dyDescent="0.25">
      <c r="A584" s="22">
        <v>581</v>
      </c>
      <c r="B584" s="16" t="s">
        <v>2568</v>
      </c>
      <c r="C584" s="16" t="s">
        <v>2569</v>
      </c>
      <c r="D584" s="16">
        <v>91460448</v>
      </c>
      <c r="E584" s="16">
        <v>2</v>
      </c>
      <c r="F584" s="16">
        <v>4</v>
      </c>
      <c r="G584" s="20" t="s">
        <v>1443</v>
      </c>
      <c r="H584" s="16"/>
      <c r="I584" s="16" t="s">
        <v>2502</v>
      </c>
      <c r="J584" s="16" t="s">
        <v>2570</v>
      </c>
      <c r="K584" s="16" t="s">
        <v>2491</v>
      </c>
    </row>
    <row r="585" spans="1:11" ht="409.5" hidden="1" x14ac:dyDescent="0.25">
      <c r="A585" s="22">
        <v>582</v>
      </c>
      <c r="B585" s="16" t="s">
        <v>2571</v>
      </c>
      <c r="C585" s="16" t="s">
        <v>2572</v>
      </c>
      <c r="D585" s="16">
        <v>78971000</v>
      </c>
      <c r="E585" s="16">
        <v>2</v>
      </c>
      <c r="F585" s="16">
        <v>4</v>
      </c>
      <c r="G585" s="20" t="s">
        <v>1443</v>
      </c>
      <c r="H585" s="16"/>
      <c r="I585" s="16" t="s">
        <v>2502</v>
      </c>
      <c r="J585" s="16" t="s">
        <v>2573</v>
      </c>
      <c r="K585" s="16" t="s">
        <v>2491</v>
      </c>
    </row>
    <row r="586" spans="1:11" ht="345" hidden="1" x14ac:dyDescent="0.25">
      <c r="A586" s="22">
        <v>583</v>
      </c>
      <c r="B586" s="16" t="s">
        <v>2574</v>
      </c>
      <c r="C586" s="16" t="s">
        <v>2575</v>
      </c>
      <c r="D586" s="16">
        <v>71461000</v>
      </c>
      <c r="E586" s="16">
        <v>2</v>
      </c>
      <c r="F586" s="16">
        <v>5</v>
      </c>
      <c r="G586" s="20" t="s">
        <v>1443</v>
      </c>
      <c r="H586" s="16"/>
      <c r="I586" s="16" t="s">
        <v>2494</v>
      </c>
      <c r="J586" s="16" t="s">
        <v>2576</v>
      </c>
      <c r="K586" s="16" t="s">
        <v>2491</v>
      </c>
    </row>
    <row r="587" spans="1:11" ht="120" hidden="1" x14ac:dyDescent="0.25">
      <c r="A587" s="22">
        <v>584</v>
      </c>
      <c r="B587" s="16" t="s">
        <v>2577</v>
      </c>
      <c r="C587" s="16" t="s">
        <v>2578</v>
      </c>
      <c r="D587" s="16">
        <v>15190000</v>
      </c>
      <c r="E587" s="16">
        <v>3</v>
      </c>
      <c r="F587" s="16">
        <v>3</v>
      </c>
      <c r="G587" s="20" t="s">
        <v>1443</v>
      </c>
      <c r="H587" s="16"/>
      <c r="I587" s="16" t="s">
        <v>2579</v>
      </c>
      <c r="J587" s="16" t="s">
        <v>2580</v>
      </c>
      <c r="K587" s="16" t="s">
        <v>2581</v>
      </c>
    </row>
    <row r="588" spans="1:11" ht="90" hidden="1" x14ac:dyDescent="0.25">
      <c r="A588" s="22">
        <v>585</v>
      </c>
      <c r="B588" s="16" t="s">
        <v>2582</v>
      </c>
      <c r="C588" s="16" t="s">
        <v>2583</v>
      </c>
      <c r="D588" s="16">
        <v>11080000</v>
      </c>
      <c r="E588" s="16">
        <v>3</v>
      </c>
      <c r="F588" s="16">
        <v>3</v>
      </c>
      <c r="G588" s="20" t="s">
        <v>1443</v>
      </c>
      <c r="H588" s="16"/>
      <c r="I588" s="16" t="s">
        <v>2584</v>
      </c>
      <c r="J588" s="16" t="s">
        <v>2585</v>
      </c>
      <c r="K588" s="16" t="s">
        <v>2586</v>
      </c>
    </row>
    <row r="589" spans="1:11" ht="165" hidden="1" x14ac:dyDescent="0.25">
      <c r="A589" s="22">
        <v>586</v>
      </c>
      <c r="B589" s="16" t="s">
        <v>2587</v>
      </c>
      <c r="C589" s="16" t="s">
        <v>2588</v>
      </c>
      <c r="D589" s="16">
        <v>15020000</v>
      </c>
      <c r="E589" s="16">
        <v>3</v>
      </c>
      <c r="F589" s="16">
        <v>3</v>
      </c>
      <c r="G589" s="20" t="s">
        <v>1443</v>
      </c>
      <c r="H589" s="16"/>
      <c r="I589" s="16" t="s">
        <v>2589</v>
      </c>
      <c r="J589" s="16" t="s">
        <v>2590</v>
      </c>
      <c r="K589" s="16" t="s">
        <v>2591</v>
      </c>
    </row>
    <row r="590" spans="1:11" ht="135" hidden="1" x14ac:dyDescent="0.25">
      <c r="A590" s="22">
        <v>587</v>
      </c>
      <c r="B590" s="16" t="s">
        <v>2592</v>
      </c>
      <c r="C590" s="16" t="s">
        <v>2593</v>
      </c>
      <c r="D590" s="16">
        <v>14250000</v>
      </c>
      <c r="E590" s="16">
        <v>2</v>
      </c>
      <c r="F590" s="16">
        <v>3</v>
      </c>
      <c r="G590" s="20" t="s">
        <v>1443</v>
      </c>
      <c r="H590" s="16"/>
      <c r="I590" s="16" t="s">
        <v>2594</v>
      </c>
      <c r="J590" s="16" t="s">
        <v>2595</v>
      </c>
      <c r="K590" s="16" t="s">
        <v>2596</v>
      </c>
    </row>
    <row r="591" spans="1:11" ht="165" hidden="1" x14ac:dyDescent="0.25">
      <c r="A591" s="22">
        <v>588</v>
      </c>
      <c r="B591" s="16" t="s">
        <v>2597</v>
      </c>
      <c r="C591" s="16" t="s">
        <v>2598</v>
      </c>
      <c r="D591" s="16">
        <v>69985500</v>
      </c>
      <c r="E591" s="16">
        <v>3</v>
      </c>
      <c r="F591" s="16">
        <v>3</v>
      </c>
      <c r="G591" s="20" t="s">
        <v>1443</v>
      </c>
      <c r="H591" s="16"/>
      <c r="I591" s="16" t="s">
        <v>2599</v>
      </c>
      <c r="J591" s="16" t="s">
        <v>2600</v>
      </c>
      <c r="K591" s="16" t="s">
        <v>2601</v>
      </c>
    </row>
    <row r="592" spans="1:11" ht="195" hidden="1" x14ac:dyDescent="0.25">
      <c r="A592" s="22">
        <v>589</v>
      </c>
      <c r="B592" s="16" t="s">
        <v>2602</v>
      </c>
      <c r="C592" s="16" t="s">
        <v>2603</v>
      </c>
      <c r="D592" s="16">
        <v>8300000</v>
      </c>
      <c r="E592" s="16">
        <v>2</v>
      </c>
      <c r="F592" s="16">
        <v>5</v>
      </c>
      <c r="G592" s="20" t="s">
        <v>1443</v>
      </c>
      <c r="H592" s="16"/>
      <c r="I592" s="16" t="s">
        <v>2604</v>
      </c>
      <c r="J592" s="16" t="s">
        <v>2605</v>
      </c>
      <c r="K592" s="16" t="s">
        <v>2606</v>
      </c>
    </row>
    <row r="593" spans="1:11" ht="225" hidden="1" x14ac:dyDescent="0.25">
      <c r="A593" s="22">
        <v>590</v>
      </c>
      <c r="B593" s="16" t="s">
        <v>2607</v>
      </c>
      <c r="C593" s="16" t="s">
        <v>2608</v>
      </c>
      <c r="D593" s="16">
        <v>14440000</v>
      </c>
      <c r="E593" s="16">
        <v>3</v>
      </c>
      <c r="F593" s="16">
        <v>3</v>
      </c>
      <c r="G593" s="20" t="s">
        <v>1443</v>
      </c>
      <c r="H593" s="16"/>
      <c r="I593" s="16" t="s">
        <v>364</v>
      </c>
      <c r="J593" s="16" t="s">
        <v>2609</v>
      </c>
      <c r="K593" s="16" t="s">
        <v>2610</v>
      </c>
    </row>
    <row r="594" spans="1:11" ht="300" hidden="1" x14ac:dyDescent="0.25">
      <c r="A594" s="22">
        <v>591</v>
      </c>
      <c r="B594" s="16" t="s">
        <v>2611</v>
      </c>
      <c r="C594" s="16" t="s">
        <v>2612</v>
      </c>
      <c r="D594" s="16">
        <v>370000000</v>
      </c>
      <c r="E594" s="16">
        <v>2</v>
      </c>
      <c r="F594" s="16">
        <v>5</v>
      </c>
      <c r="G594" s="20" t="s">
        <v>1443</v>
      </c>
      <c r="H594" s="16"/>
      <c r="I594" s="16" t="s">
        <v>2613</v>
      </c>
      <c r="J594" s="16" t="s">
        <v>2614</v>
      </c>
      <c r="K594" s="16" t="s">
        <v>2615</v>
      </c>
    </row>
    <row r="595" spans="1:11" ht="240" hidden="1" x14ac:dyDescent="0.25">
      <c r="A595" s="22">
        <v>592</v>
      </c>
      <c r="B595" s="16" t="s">
        <v>2616</v>
      </c>
      <c r="C595" s="16" t="s">
        <v>2617</v>
      </c>
      <c r="D595" s="16">
        <v>3618671150</v>
      </c>
      <c r="E595" s="16">
        <v>2</v>
      </c>
      <c r="F595" s="16">
        <v>5</v>
      </c>
      <c r="G595" s="20" t="s">
        <v>1443</v>
      </c>
      <c r="H595" s="16"/>
      <c r="I595" s="16" t="s">
        <v>2618</v>
      </c>
      <c r="J595" s="16" t="s">
        <v>2619</v>
      </c>
      <c r="K595" s="16" t="s">
        <v>2620</v>
      </c>
    </row>
    <row r="596" spans="1:11" ht="300" hidden="1" x14ac:dyDescent="0.25">
      <c r="A596" s="22">
        <v>593</v>
      </c>
      <c r="B596" s="16" t="s">
        <v>2621</v>
      </c>
      <c r="C596" s="16" t="s">
        <v>2622</v>
      </c>
      <c r="D596" s="16">
        <v>150000000</v>
      </c>
      <c r="E596" s="16">
        <v>2</v>
      </c>
      <c r="F596" s="16">
        <v>5</v>
      </c>
      <c r="G596" s="20" t="s">
        <v>1443</v>
      </c>
      <c r="H596" s="16"/>
      <c r="I596" s="16" t="s">
        <v>2613</v>
      </c>
      <c r="J596" s="16" t="s">
        <v>2614</v>
      </c>
      <c r="K596" s="16" t="s">
        <v>2615</v>
      </c>
    </row>
    <row r="597" spans="1:11" ht="240" hidden="1" x14ac:dyDescent="0.25">
      <c r="A597" s="22">
        <v>594</v>
      </c>
      <c r="B597" s="16" t="s">
        <v>2623</v>
      </c>
      <c r="C597" s="16" t="s">
        <v>2624</v>
      </c>
      <c r="D597" s="16">
        <v>149006500</v>
      </c>
      <c r="E597" s="16">
        <v>2</v>
      </c>
      <c r="F597" s="16">
        <v>5</v>
      </c>
      <c r="G597" s="20" t="s">
        <v>1443</v>
      </c>
      <c r="H597" s="16"/>
      <c r="I597" s="16" t="s">
        <v>2625</v>
      </c>
      <c r="J597" s="16" t="s">
        <v>2626</v>
      </c>
      <c r="K597" s="16" t="s">
        <v>753</v>
      </c>
    </row>
    <row r="598" spans="1:11" ht="240" hidden="1" x14ac:dyDescent="0.25">
      <c r="A598" s="22">
        <v>595</v>
      </c>
      <c r="B598" s="16" t="s">
        <v>2627</v>
      </c>
      <c r="C598" s="16" t="s">
        <v>2628</v>
      </c>
      <c r="D598" s="16">
        <v>350000000</v>
      </c>
      <c r="E598" s="16">
        <v>2</v>
      </c>
      <c r="F598" s="16">
        <v>5</v>
      </c>
      <c r="G598" s="20" t="s">
        <v>1443</v>
      </c>
      <c r="H598" s="16"/>
      <c r="I598" s="16" t="s">
        <v>2625</v>
      </c>
      <c r="J598" s="16" t="s">
        <v>2626</v>
      </c>
      <c r="K598" s="16" t="s">
        <v>753</v>
      </c>
    </row>
    <row r="599" spans="1:11" ht="240" hidden="1" x14ac:dyDescent="0.25">
      <c r="A599" s="22">
        <v>596</v>
      </c>
      <c r="B599" s="16" t="s">
        <v>2629</v>
      </c>
      <c r="C599" s="16" t="s">
        <v>2630</v>
      </c>
      <c r="D599" s="16">
        <v>185000000</v>
      </c>
      <c r="E599" s="16">
        <v>2</v>
      </c>
      <c r="F599" s="16">
        <v>5</v>
      </c>
      <c r="G599" s="20" t="s">
        <v>1443</v>
      </c>
      <c r="H599" s="16"/>
      <c r="I599" s="16" t="s">
        <v>2625</v>
      </c>
      <c r="J599" s="16" t="s">
        <v>2626</v>
      </c>
      <c r="K599" s="16" t="s">
        <v>753</v>
      </c>
    </row>
    <row r="600" spans="1:11" ht="240" hidden="1" x14ac:dyDescent="0.25">
      <c r="A600" s="22">
        <v>597</v>
      </c>
      <c r="B600" s="16" t="s">
        <v>2631</v>
      </c>
      <c r="C600" s="16" t="s">
        <v>2632</v>
      </c>
      <c r="D600" s="16">
        <v>550000000</v>
      </c>
      <c r="E600" s="16">
        <v>2</v>
      </c>
      <c r="F600" s="16">
        <v>5</v>
      </c>
      <c r="G600" s="20" t="s">
        <v>1443</v>
      </c>
      <c r="H600" s="16"/>
      <c r="I600" s="16" t="s">
        <v>2625</v>
      </c>
      <c r="J600" s="16" t="s">
        <v>2626</v>
      </c>
      <c r="K600" s="16" t="s">
        <v>753</v>
      </c>
    </row>
    <row r="601" spans="1:11" ht="240" hidden="1" x14ac:dyDescent="0.25">
      <c r="A601" s="22">
        <v>598</v>
      </c>
      <c r="B601" s="16" t="s">
        <v>2633</v>
      </c>
      <c r="C601" s="16" t="s">
        <v>2634</v>
      </c>
      <c r="D601" s="16">
        <v>930000000</v>
      </c>
      <c r="E601" s="16">
        <v>2</v>
      </c>
      <c r="F601" s="16">
        <v>5</v>
      </c>
      <c r="G601" s="20" t="s">
        <v>1443</v>
      </c>
      <c r="H601" s="16"/>
      <c r="I601" s="16" t="s">
        <v>2625</v>
      </c>
      <c r="J601" s="16" t="s">
        <v>2626</v>
      </c>
      <c r="K601" s="16" t="s">
        <v>753</v>
      </c>
    </row>
    <row r="602" spans="1:11" ht="240" hidden="1" x14ac:dyDescent="0.25">
      <c r="A602" s="22">
        <v>599</v>
      </c>
      <c r="B602" s="16" t="s">
        <v>2635</v>
      </c>
      <c r="C602" s="16" t="s">
        <v>2636</v>
      </c>
      <c r="D602" s="16">
        <v>7529773200</v>
      </c>
      <c r="E602" s="16">
        <v>2</v>
      </c>
      <c r="F602" s="16">
        <v>5</v>
      </c>
      <c r="G602" s="20" t="s">
        <v>1443</v>
      </c>
      <c r="H602" s="16"/>
      <c r="I602" s="16" t="s">
        <v>2637</v>
      </c>
      <c r="J602" s="16" t="s">
        <v>2638</v>
      </c>
      <c r="K602" s="16" t="s">
        <v>753</v>
      </c>
    </row>
    <row r="603" spans="1:11" ht="240" hidden="1" x14ac:dyDescent="0.25">
      <c r="A603" s="22">
        <v>600</v>
      </c>
      <c r="B603" s="16" t="s">
        <v>2639</v>
      </c>
      <c r="C603" s="16" t="s">
        <v>2640</v>
      </c>
      <c r="D603" s="16">
        <v>353000000</v>
      </c>
      <c r="E603" s="16">
        <v>2</v>
      </c>
      <c r="F603" s="16">
        <v>5</v>
      </c>
      <c r="G603" s="20" t="s">
        <v>1443</v>
      </c>
      <c r="H603" s="16"/>
      <c r="I603" s="16" t="s">
        <v>2641</v>
      </c>
      <c r="J603" s="16" t="s">
        <v>2638</v>
      </c>
      <c r="K603" s="16" t="s">
        <v>753</v>
      </c>
    </row>
    <row r="604" spans="1:11" ht="270" hidden="1" x14ac:dyDescent="0.25">
      <c r="A604" s="22">
        <v>601</v>
      </c>
      <c r="B604" s="16" t="s">
        <v>2642</v>
      </c>
      <c r="C604" s="16" t="s">
        <v>2643</v>
      </c>
      <c r="D604" s="16">
        <v>950000000</v>
      </c>
      <c r="E604" s="16">
        <v>2</v>
      </c>
      <c r="F604" s="16">
        <v>4</v>
      </c>
      <c r="G604" s="20" t="s">
        <v>1443</v>
      </c>
      <c r="H604" s="16"/>
      <c r="I604" s="16" t="s">
        <v>2644</v>
      </c>
      <c r="J604" s="16" t="s">
        <v>2645</v>
      </c>
      <c r="K604" s="16" t="s">
        <v>2646</v>
      </c>
    </row>
    <row r="605" spans="1:11" ht="285" hidden="1" x14ac:dyDescent="0.25">
      <c r="A605" s="22">
        <v>602</v>
      </c>
      <c r="B605" s="16" t="s">
        <v>2647</v>
      </c>
      <c r="C605" s="16" t="s">
        <v>2648</v>
      </c>
      <c r="D605" s="16">
        <v>7560987522</v>
      </c>
      <c r="E605" s="16">
        <v>2</v>
      </c>
      <c r="F605" s="16">
        <v>5</v>
      </c>
      <c r="G605" s="20" t="s">
        <v>1443</v>
      </c>
      <c r="H605" s="16"/>
      <c r="I605" s="16" t="s">
        <v>2649</v>
      </c>
      <c r="J605" s="16" t="s">
        <v>2650</v>
      </c>
      <c r="K605" s="16" t="s">
        <v>2651</v>
      </c>
    </row>
    <row r="606" spans="1:11" ht="225" hidden="1" x14ac:dyDescent="0.25">
      <c r="A606" s="22">
        <v>603</v>
      </c>
      <c r="B606" s="16" t="s">
        <v>2652</v>
      </c>
      <c r="C606" s="16" t="s">
        <v>2653</v>
      </c>
      <c r="D606" s="16">
        <v>3217922425</v>
      </c>
      <c r="E606" s="16">
        <v>2</v>
      </c>
      <c r="F606" s="16">
        <v>3</v>
      </c>
      <c r="G606" s="20" t="s">
        <v>1443</v>
      </c>
      <c r="H606" s="16"/>
      <c r="I606" s="16" t="s">
        <v>2654</v>
      </c>
      <c r="J606" s="16" t="s">
        <v>2655</v>
      </c>
      <c r="K606" s="16" t="s">
        <v>2656</v>
      </c>
    </row>
    <row r="607" spans="1:11" ht="210" hidden="1" x14ac:dyDescent="0.25">
      <c r="A607" s="22">
        <v>604</v>
      </c>
      <c r="B607" s="16" t="s">
        <v>2657</v>
      </c>
      <c r="C607" s="16" t="s">
        <v>2658</v>
      </c>
      <c r="D607" s="16">
        <v>1289000000</v>
      </c>
      <c r="E607" s="16">
        <v>2</v>
      </c>
      <c r="F607" s="16">
        <v>4</v>
      </c>
      <c r="G607" s="20" t="s">
        <v>1443</v>
      </c>
      <c r="H607" s="16"/>
      <c r="I607" s="16" t="s">
        <v>2659</v>
      </c>
      <c r="J607" s="16" t="s">
        <v>2660</v>
      </c>
      <c r="K607" s="16" t="s">
        <v>2661</v>
      </c>
    </row>
    <row r="608" spans="1:11" ht="240" hidden="1" x14ac:dyDescent="0.25">
      <c r="A608" s="22">
        <v>605</v>
      </c>
      <c r="B608" s="16" t="s">
        <v>2662</v>
      </c>
      <c r="C608" s="16" t="s">
        <v>2663</v>
      </c>
      <c r="D608" s="16">
        <v>3070000000</v>
      </c>
      <c r="E608" s="16">
        <v>2</v>
      </c>
      <c r="F608" s="16">
        <v>5</v>
      </c>
      <c r="G608" s="20" t="s">
        <v>1443</v>
      </c>
      <c r="H608" s="16"/>
      <c r="I608" s="16" t="s">
        <v>2637</v>
      </c>
      <c r="J608" s="16" t="s">
        <v>2638</v>
      </c>
      <c r="K608" s="16" t="s">
        <v>753</v>
      </c>
    </row>
    <row r="609" spans="1:11" ht="240" hidden="1" x14ac:dyDescent="0.25">
      <c r="A609" s="22">
        <v>606</v>
      </c>
      <c r="B609" s="16" t="s">
        <v>2664</v>
      </c>
      <c r="C609" s="16" t="s">
        <v>2665</v>
      </c>
      <c r="D609" s="16">
        <v>353000000</v>
      </c>
      <c r="E609" s="16">
        <v>2</v>
      </c>
      <c r="F609" s="16">
        <v>5</v>
      </c>
      <c r="G609" s="20" t="s">
        <v>1443</v>
      </c>
      <c r="H609" s="16"/>
      <c r="I609" s="16" t="s">
        <v>2641</v>
      </c>
      <c r="J609" s="16" t="s">
        <v>2638</v>
      </c>
      <c r="K609" s="16" t="s">
        <v>753</v>
      </c>
    </row>
    <row r="610" spans="1:11" ht="240" hidden="1" x14ac:dyDescent="0.25">
      <c r="A610" s="22">
        <v>607</v>
      </c>
      <c r="B610" s="16" t="s">
        <v>2666</v>
      </c>
      <c r="C610" s="16" t="s">
        <v>2667</v>
      </c>
      <c r="D610" s="16">
        <v>3070000000</v>
      </c>
      <c r="E610" s="16">
        <v>2</v>
      </c>
      <c r="F610" s="16">
        <v>5</v>
      </c>
      <c r="G610" s="20" t="s">
        <v>1443</v>
      </c>
      <c r="H610" s="16"/>
      <c r="I610" s="16" t="s">
        <v>2637</v>
      </c>
      <c r="J610" s="16" t="s">
        <v>2638</v>
      </c>
      <c r="K610" s="16" t="s">
        <v>753</v>
      </c>
    </row>
    <row r="611" spans="1:11" ht="240" hidden="1" x14ac:dyDescent="0.25">
      <c r="A611" s="22">
        <v>608</v>
      </c>
      <c r="B611" s="16" t="s">
        <v>2668</v>
      </c>
      <c r="C611" s="16" t="s">
        <v>2669</v>
      </c>
      <c r="D611" s="16">
        <v>7529773200</v>
      </c>
      <c r="E611" s="16">
        <v>2</v>
      </c>
      <c r="F611" s="16">
        <v>5</v>
      </c>
      <c r="G611" s="20" t="s">
        <v>1443</v>
      </c>
      <c r="H611" s="16"/>
      <c r="I611" s="16" t="s">
        <v>2637</v>
      </c>
      <c r="J611" s="16" t="s">
        <v>2638</v>
      </c>
      <c r="K611" s="16" t="s">
        <v>753</v>
      </c>
    </row>
    <row r="612" spans="1:11" ht="240" hidden="1" x14ac:dyDescent="0.25">
      <c r="A612" s="22">
        <v>609</v>
      </c>
      <c r="B612" s="16" t="s">
        <v>2670</v>
      </c>
      <c r="C612" s="16" t="s">
        <v>2671</v>
      </c>
      <c r="D612" s="16">
        <v>142000000</v>
      </c>
      <c r="E612" s="16">
        <v>2</v>
      </c>
      <c r="F612" s="16">
        <v>5</v>
      </c>
      <c r="G612" s="20" t="s">
        <v>1443</v>
      </c>
      <c r="H612" s="16"/>
      <c r="I612" s="16" t="s">
        <v>2625</v>
      </c>
      <c r="J612" s="16" t="s">
        <v>2626</v>
      </c>
      <c r="K612" s="16" t="s">
        <v>753</v>
      </c>
    </row>
    <row r="613" spans="1:11" ht="240" hidden="1" x14ac:dyDescent="0.25">
      <c r="A613" s="22">
        <v>610</v>
      </c>
      <c r="B613" s="16" t="s">
        <v>2672</v>
      </c>
      <c r="C613" s="16" t="s">
        <v>2673</v>
      </c>
      <c r="D613" s="16">
        <v>185000000</v>
      </c>
      <c r="E613" s="16">
        <v>2</v>
      </c>
      <c r="F613" s="16">
        <v>5</v>
      </c>
      <c r="G613" s="20" t="s">
        <v>1443</v>
      </c>
      <c r="H613" s="16"/>
      <c r="I613" s="16" t="s">
        <v>2625</v>
      </c>
      <c r="J613" s="16" t="s">
        <v>2626</v>
      </c>
      <c r="K613" s="16" t="s">
        <v>753</v>
      </c>
    </row>
    <row r="614" spans="1:11" ht="240" hidden="1" x14ac:dyDescent="0.25">
      <c r="A614" s="22">
        <v>611</v>
      </c>
      <c r="B614" s="16" t="s">
        <v>2674</v>
      </c>
      <c r="C614" s="16" t="s">
        <v>2675</v>
      </c>
      <c r="D614" s="16">
        <v>930000000</v>
      </c>
      <c r="E614" s="16">
        <v>2</v>
      </c>
      <c r="F614" s="16">
        <v>5</v>
      </c>
      <c r="G614" s="20" t="s">
        <v>1443</v>
      </c>
      <c r="H614" s="16"/>
      <c r="I614" s="16" t="s">
        <v>2625</v>
      </c>
      <c r="J614" s="16" t="s">
        <v>2626</v>
      </c>
      <c r="K614" s="16" t="s">
        <v>753</v>
      </c>
    </row>
    <row r="615" spans="1:11" ht="240" hidden="1" x14ac:dyDescent="0.25">
      <c r="A615" s="22">
        <v>612</v>
      </c>
      <c r="B615" s="16" t="s">
        <v>2676</v>
      </c>
      <c r="C615" s="16" t="s">
        <v>2677</v>
      </c>
      <c r="D615" s="16">
        <v>350000000</v>
      </c>
      <c r="E615" s="16">
        <v>2</v>
      </c>
      <c r="F615" s="16">
        <v>5</v>
      </c>
      <c r="G615" s="20" t="s">
        <v>1443</v>
      </c>
      <c r="H615" s="16"/>
      <c r="I615" s="16" t="s">
        <v>2625</v>
      </c>
      <c r="J615" s="16" t="s">
        <v>2626</v>
      </c>
      <c r="K615" s="16" t="s">
        <v>753</v>
      </c>
    </row>
    <row r="616" spans="1:11" ht="240" hidden="1" x14ac:dyDescent="0.25">
      <c r="A616" s="22">
        <v>613</v>
      </c>
      <c r="B616" s="16" t="s">
        <v>2678</v>
      </c>
      <c r="C616" s="16" t="s">
        <v>2679</v>
      </c>
      <c r="D616" s="16">
        <v>550000000</v>
      </c>
      <c r="E616" s="16">
        <v>2</v>
      </c>
      <c r="F616" s="16">
        <v>5</v>
      </c>
      <c r="G616" s="20" t="s">
        <v>1443</v>
      </c>
      <c r="H616" s="16"/>
      <c r="I616" s="16" t="s">
        <v>2625</v>
      </c>
      <c r="J616" s="16" t="s">
        <v>2626</v>
      </c>
      <c r="K616" s="16" t="s">
        <v>753</v>
      </c>
    </row>
    <row r="617" spans="1:11" ht="240" hidden="1" x14ac:dyDescent="0.25">
      <c r="A617" s="22">
        <v>614</v>
      </c>
      <c r="B617" s="16" t="s">
        <v>2680</v>
      </c>
      <c r="C617" s="16" t="s">
        <v>2681</v>
      </c>
      <c r="D617" s="16">
        <v>149006500</v>
      </c>
      <c r="E617" s="16">
        <v>2</v>
      </c>
      <c r="F617" s="16">
        <v>5</v>
      </c>
      <c r="G617" s="20" t="s">
        <v>1443</v>
      </c>
      <c r="H617" s="16"/>
      <c r="I617" s="16" t="s">
        <v>2625</v>
      </c>
      <c r="J617" s="16" t="s">
        <v>2626</v>
      </c>
      <c r="K617" s="16" t="s">
        <v>753</v>
      </c>
    </row>
    <row r="618" spans="1:11" ht="210" hidden="1" x14ac:dyDescent="0.25">
      <c r="A618" s="22">
        <v>615</v>
      </c>
      <c r="B618" s="16" t="s">
        <v>2682</v>
      </c>
      <c r="C618" s="16" t="s">
        <v>2683</v>
      </c>
      <c r="D618" s="16">
        <v>1464000000</v>
      </c>
      <c r="E618" s="16">
        <v>2</v>
      </c>
      <c r="F618" s="16">
        <v>5</v>
      </c>
      <c r="G618" s="20" t="s">
        <v>1443</v>
      </c>
      <c r="H618" s="16"/>
      <c r="I618" s="16" t="s">
        <v>2684</v>
      </c>
      <c r="J618" s="16" t="s">
        <v>2685</v>
      </c>
      <c r="K618" s="16" t="s">
        <v>2686</v>
      </c>
    </row>
    <row r="619" spans="1:11" ht="195" hidden="1" x14ac:dyDescent="0.25">
      <c r="A619" s="22">
        <v>616</v>
      </c>
      <c r="B619" s="16" t="s">
        <v>2687</v>
      </c>
      <c r="C619" s="16" t="s">
        <v>2688</v>
      </c>
      <c r="D619" s="16">
        <v>672500000</v>
      </c>
      <c r="E619" s="16">
        <v>2</v>
      </c>
      <c r="F619" s="16">
        <v>4</v>
      </c>
      <c r="G619" s="20" t="s">
        <v>1443</v>
      </c>
      <c r="H619" s="16"/>
      <c r="I619" s="16" t="s">
        <v>2689</v>
      </c>
      <c r="J619" s="16" t="s">
        <v>2690</v>
      </c>
      <c r="K619" s="16" t="s">
        <v>2691</v>
      </c>
    </row>
    <row r="620" spans="1:11" ht="210" hidden="1" x14ac:dyDescent="0.25">
      <c r="A620" s="22">
        <v>617</v>
      </c>
      <c r="B620" s="16" t="s">
        <v>2692</v>
      </c>
      <c r="C620" s="16" t="s">
        <v>2693</v>
      </c>
      <c r="D620" s="16">
        <v>3162000000</v>
      </c>
      <c r="E620" s="16">
        <v>2</v>
      </c>
      <c r="F620" s="16">
        <v>4</v>
      </c>
      <c r="G620" s="20" t="s">
        <v>1443</v>
      </c>
      <c r="H620" s="16"/>
      <c r="I620" s="16" t="s">
        <v>2694</v>
      </c>
      <c r="J620" s="16" t="s">
        <v>2695</v>
      </c>
      <c r="K620" s="16" t="s">
        <v>2696</v>
      </c>
    </row>
    <row r="621" spans="1:11" ht="210" hidden="1" x14ac:dyDescent="0.25">
      <c r="A621" s="22">
        <v>618</v>
      </c>
      <c r="B621" s="16" t="s">
        <v>2697</v>
      </c>
      <c r="C621" s="16" t="s">
        <v>2698</v>
      </c>
      <c r="D621" s="16">
        <v>166000000</v>
      </c>
      <c r="E621" s="16">
        <v>2</v>
      </c>
      <c r="F621" s="16">
        <v>4</v>
      </c>
      <c r="G621" s="20" t="s">
        <v>1443</v>
      </c>
      <c r="H621" s="16"/>
      <c r="I621" s="16" t="s">
        <v>2699</v>
      </c>
      <c r="J621" s="16" t="s">
        <v>2700</v>
      </c>
      <c r="K621" s="16" t="s">
        <v>2701</v>
      </c>
    </row>
    <row r="622" spans="1:11" ht="270" hidden="1" x14ac:dyDescent="0.25">
      <c r="A622" s="22">
        <v>619</v>
      </c>
      <c r="B622" s="16" t="s">
        <v>2702</v>
      </c>
      <c r="C622" s="16" t="s">
        <v>2703</v>
      </c>
      <c r="D622" s="16">
        <v>61525000</v>
      </c>
      <c r="E622" s="16">
        <v>2</v>
      </c>
      <c r="F622" s="16">
        <v>3</v>
      </c>
      <c r="G622" s="20" t="s">
        <v>1443</v>
      </c>
      <c r="H622" s="16"/>
      <c r="I622" s="16" t="s">
        <v>2704</v>
      </c>
      <c r="J622" s="16" t="s">
        <v>2705</v>
      </c>
      <c r="K622" s="16" t="s">
        <v>2706</v>
      </c>
    </row>
    <row r="623" spans="1:11" ht="345" hidden="1" x14ac:dyDescent="0.25">
      <c r="A623" s="22">
        <v>620</v>
      </c>
      <c r="B623" s="16" t="s">
        <v>2707</v>
      </c>
      <c r="C623" s="16" t="s">
        <v>2708</v>
      </c>
      <c r="D623" s="16">
        <v>44900000</v>
      </c>
      <c r="E623" s="16">
        <v>3</v>
      </c>
      <c r="F623" s="16">
        <v>2</v>
      </c>
      <c r="G623" s="20" t="s">
        <v>1443</v>
      </c>
      <c r="H623" s="16"/>
      <c r="I623" s="16" t="s">
        <v>2709</v>
      </c>
      <c r="J623" s="16" t="s">
        <v>2710</v>
      </c>
      <c r="K623" s="16" t="s">
        <v>2711</v>
      </c>
    </row>
    <row r="624" spans="1:11" ht="345" hidden="1" x14ac:dyDescent="0.25">
      <c r="A624" s="22">
        <v>621</v>
      </c>
      <c r="B624" s="16" t="s">
        <v>2712</v>
      </c>
      <c r="C624" s="16" t="s">
        <v>2713</v>
      </c>
      <c r="D624" s="16">
        <v>55600000</v>
      </c>
      <c r="E624" s="16">
        <v>2</v>
      </c>
      <c r="F624" s="16">
        <v>3</v>
      </c>
      <c r="G624" s="20" t="s">
        <v>1443</v>
      </c>
      <c r="H624" s="16"/>
      <c r="I624" s="16" t="s">
        <v>2714</v>
      </c>
      <c r="J624" s="16" t="s">
        <v>2715</v>
      </c>
      <c r="K624" s="16" t="s">
        <v>2716</v>
      </c>
    </row>
    <row r="625" spans="1:11" ht="390" hidden="1" x14ac:dyDescent="0.25">
      <c r="A625" s="22">
        <v>622</v>
      </c>
      <c r="B625" s="16" t="s">
        <v>2717</v>
      </c>
      <c r="C625" s="16" t="s">
        <v>2718</v>
      </c>
      <c r="D625" s="16">
        <v>118000000</v>
      </c>
      <c r="E625" s="16">
        <v>3</v>
      </c>
      <c r="F625" s="16">
        <v>3</v>
      </c>
      <c r="G625" s="20" t="s">
        <v>1443</v>
      </c>
      <c r="H625" s="16"/>
      <c r="I625" s="16" t="s">
        <v>2719</v>
      </c>
      <c r="J625" s="16" t="s">
        <v>2720</v>
      </c>
      <c r="K625" s="16" t="s">
        <v>2721</v>
      </c>
    </row>
    <row r="626" spans="1:11" ht="225" hidden="1" x14ac:dyDescent="0.25">
      <c r="A626" s="22">
        <v>623</v>
      </c>
      <c r="B626" s="16" t="s">
        <v>2722</v>
      </c>
      <c r="C626" s="16" t="s">
        <v>2723</v>
      </c>
      <c r="D626" s="16">
        <v>28600000</v>
      </c>
      <c r="E626" s="16">
        <v>3</v>
      </c>
      <c r="F626" s="16">
        <v>3</v>
      </c>
      <c r="G626" s="20" t="s">
        <v>1443</v>
      </c>
      <c r="H626" s="16"/>
      <c r="I626" s="16" t="s">
        <v>2724</v>
      </c>
      <c r="J626" s="16" t="s">
        <v>2725</v>
      </c>
      <c r="K626" s="16" t="s">
        <v>2726</v>
      </c>
    </row>
    <row r="627" spans="1:11" ht="240" hidden="1" x14ac:dyDescent="0.25">
      <c r="A627" s="22">
        <v>624</v>
      </c>
      <c r="B627" s="16" t="s">
        <v>2727</v>
      </c>
      <c r="C627" s="16" t="s">
        <v>2728</v>
      </c>
      <c r="D627" s="16">
        <v>170318500</v>
      </c>
      <c r="E627" s="16">
        <v>3</v>
      </c>
      <c r="F627" s="16">
        <v>3</v>
      </c>
      <c r="G627" s="20" t="s">
        <v>1443</v>
      </c>
      <c r="H627" s="16"/>
      <c r="I627" s="16" t="s">
        <v>2729</v>
      </c>
      <c r="J627" s="16" t="s">
        <v>2730</v>
      </c>
      <c r="K627" s="16" t="s">
        <v>2731</v>
      </c>
    </row>
    <row r="628" spans="1:11" ht="240" hidden="1" x14ac:dyDescent="0.25">
      <c r="A628" s="22">
        <v>625</v>
      </c>
      <c r="B628" s="16" t="s">
        <v>2732</v>
      </c>
      <c r="C628" s="16" t="s">
        <v>2733</v>
      </c>
      <c r="D628" s="16">
        <v>115000000</v>
      </c>
      <c r="E628" s="16">
        <v>3</v>
      </c>
      <c r="F628" s="16">
        <v>2</v>
      </c>
      <c r="G628" s="20" t="s">
        <v>1443</v>
      </c>
      <c r="H628" s="16"/>
      <c r="I628" s="16" t="s">
        <v>2734</v>
      </c>
      <c r="J628" s="16" t="s">
        <v>2735</v>
      </c>
      <c r="K628" s="16" t="s">
        <v>2736</v>
      </c>
    </row>
    <row r="629" spans="1:11" ht="165" hidden="1" x14ac:dyDescent="0.25">
      <c r="A629" s="22">
        <v>626</v>
      </c>
      <c r="B629" s="16" t="s">
        <v>2737</v>
      </c>
      <c r="C629" s="16" t="s">
        <v>2738</v>
      </c>
      <c r="D629" s="16">
        <v>91735600</v>
      </c>
      <c r="E629" s="16">
        <v>3</v>
      </c>
      <c r="F629" s="16">
        <v>2</v>
      </c>
      <c r="G629" s="20" t="s">
        <v>1443</v>
      </c>
      <c r="H629" s="16"/>
      <c r="I629" s="16" t="s">
        <v>2739</v>
      </c>
      <c r="J629" s="16" t="s">
        <v>2740</v>
      </c>
      <c r="K629" s="16" t="s">
        <v>2741</v>
      </c>
    </row>
    <row r="630" spans="1:11" ht="180" hidden="1" x14ac:dyDescent="0.25">
      <c r="A630" s="22">
        <v>627</v>
      </c>
      <c r="B630" s="16" t="s">
        <v>2742</v>
      </c>
      <c r="C630" s="16" t="s">
        <v>2743</v>
      </c>
      <c r="D630" s="16">
        <v>19600000</v>
      </c>
      <c r="E630" s="16">
        <v>2</v>
      </c>
      <c r="F630" s="16">
        <v>4</v>
      </c>
      <c r="G630" s="20" t="s">
        <v>1443</v>
      </c>
      <c r="H630" s="16"/>
      <c r="I630" s="16" t="s">
        <v>2744</v>
      </c>
      <c r="J630" s="16" t="s">
        <v>2745</v>
      </c>
      <c r="K630" s="16" t="s">
        <v>2746</v>
      </c>
    </row>
    <row r="631" spans="1:11" ht="300" hidden="1" x14ac:dyDescent="0.25">
      <c r="A631" s="22">
        <v>628</v>
      </c>
      <c r="B631" s="16" t="s">
        <v>2747</v>
      </c>
      <c r="C631" s="16" t="s">
        <v>2748</v>
      </c>
      <c r="D631" s="16">
        <v>17690000</v>
      </c>
      <c r="E631" s="16">
        <v>3</v>
      </c>
      <c r="F631" s="16">
        <v>2</v>
      </c>
      <c r="G631" s="20" t="s">
        <v>1443</v>
      </c>
      <c r="H631" s="16"/>
      <c r="I631" s="16" t="s">
        <v>2749</v>
      </c>
      <c r="J631" s="16" t="s">
        <v>2750</v>
      </c>
      <c r="K631" s="16" t="s">
        <v>2751</v>
      </c>
    </row>
    <row r="632" spans="1:11" ht="255" hidden="1" x14ac:dyDescent="0.25">
      <c r="A632" s="22">
        <v>629</v>
      </c>
      <c r="B632" s="16" t="s">
        <v>2752</v>
      </c>
      <c r="C632" s="16" t="s">
        <v>2753</v>
      </c>
      <c r="D632" s="16">
        <v>40020000</v>
      </c>
      <c r="E632" s="16">
        <v>2</v>
      </c>
      <c r="F632" s="16">
        <v>4</v>
      </c>
      <c r="G632" s="20" t="s">
        <v>1443</v>
      </c>
      <c r="H632" s="16"/>
      <c r="I632" s="16" t="s">
        <v>2754</v>
      </c>
      <c r="J632" s="16" t="s">
        <v>2755</v>
      </c>
      <c r="K632" s="16" t="s">
        <v>2756</v>
      </c>
    </row>
    <row r="633" spans="1:11" ht="165" hidden="1" x14ac:dyDescent="0.25">
      <c r="A633" s="22">
        <v>630</v>
      </c>
      <c r="B633" s="16" t="s">
        <v>2757</v>
      </c>
      <c r="C633" s="16" t="s">
        <v>2758</v>
      </c>
      <c r="D633" s="16">
        <v>23800000</v>
      </c>
      <c r="E633" s="16">
        <v>3</v>
      </c>
      <c r="F633" s="16">
        <v>2</v>
      </c>
      <c r="G633" s="20" t="s">
        <v>1443</v>
      </c>
      <c r="H633" s="16"/>
      <c r="I633" s="16" t="s">
        <v>2759</v>
      </c>
      <c r="J633" s="16" t="s">
        <v>2760</v>
      </c>
      <c r="K633" s="16" t="s">
        <v>2761</v>
      </c>
    </row>
    <row r="634" spans="1:11" ht="150" hidden="1" x14ac:dyDescent="0.25">
      <c r="A634" s="22">
        <v>631</v>
      </c>
      <c r="B634" s="16" t="s">
        <v>2762</v>
      </c>
      <c r="C634" s="16" t="s">
        <v>2763</v>
      </c>
      <c r="D634" s="16">
        <v>51588000</v>
      </c>
      <c r="E634" s="16">
        <v>3</v>
      </c>
      <c r="F634" s="16">
        <v>2</v>
      </c>
      <c r="G634" s="20" t="s">
        <v>1443</v>
      </c>
      <c r="H634" s="16"/>
      <c r="I634" s="16" t="s">
        <v>2764</v>
      </c>
      <c r="J634" s="16" t="s">
        <v>2765</v>
      </c>
      <c r="K634" s="16" t="s">
        <v>2766</v>
      </c>
    </row>
    <row r="635" spans="1:11" ht="180" hidden="1" x14ac:dyDescent="0.25">
      <c r="A635" s="22">
        <v>632</v>
      </c>
      <c r="B635" s="16" t="s">
        <v>2767</v>
      </c>
      <c r="C635" s="16" t="s">
        <v>2768</v>
      </c>
      <c r="D635" s="16">
        <v>101840000</v>
      </c>
      <c r="E635" s="16">
        <v>3</v>
      </c>
      <c r="F635" s="16">
        <v>2</v>
      </c>
      <c r="G635" s="20" t="s">
        <v>1443</v>
      </c>
      <c r="H635" s="16"/>
      <c r="I635" s="16" t="s">
        <v>2769</v>
      </c>
      <c r="J635" s="16" t="s">
        <v>2770</v>
      </c>
      <c r="K635" s="16" t="s">
        <v>2766</v>
      </c>
    </row>
    <row r="636" spans="1:11" ht="195" hidden="1" x14ac:dyDescent="0.25">
      <c r="A636" s="22">
        <v>633</v>
      </c>
      <c r="B636" s="16" t="s">
        <v>2771</v>
      </c>
      <c r="C636" s="16" t="s">
        <v>2772</v>
      </c>
      <c r="D636" s="16">
        <v>35920000</v>
      </c>
      <c r="E636" s="16">
        <v>3</v>
      </c>
      <c r="F636" s="16">
        <v>2</v>
      </c>
      <c r="G636" s="20" t="s">
        <v>1443</v>
      </c>
      <c r="H636" s="16"/>
      <c r="I636" s="16" t="s">
        <v>2773</v>
      </c>
      <c r="J636" s="16" t="s">
        <v>2774</v>
      </c>
      <c r="K636" s="16" t="s">
        <v>2766</v>
      </c>
    </row>
    <row r="637" spans="1:11" ht="180" hidden="1" x14ac:dyDescent="0.25">
      <c r="A637" s="22">
        <v>634</v>
      </c>
      <c r="B637" s="16" t="s">
        <v>2775</v>
      </c>
      <c r="C637" s="16" t="s">
        <v>2776</v>
      </c>
      <c r="D637" s="16">
        <v>299700000</v>
      </c>
      <c r="E637" s="16">
        <v>3</v>
      </c>
      <c r="F637" s="16">
        <v>2</v>
      </c>
      <c r="G637" s="20" t="s">
        <v>1443</v>
      </c>
      <c r="H637" s="16"/>
      <c r="I637" s="16" t="s">
        <v>2777</v>
      </c>
      <c r="J637" s="16" t="s">
        <v>2778</v>
      </c>
      <c r="K637" s="16" t="s">
        <v>2779</v>
      </c>
    </row>
    <row r="638" spans="1:11" ht="165" hidden="1" x14ac:dyDescent="0.25">
      <c r="A638" s="22">
        <v>635</v>
      </c>
      <c r="B638" s="16" t="s">
        <v>2780</v>
      </c>
      <c r="C638" s="16" t="s">
        <v>2781</v>
      </c>
      <c r="D638" s="16">
        <v>31710000</v>
      </c>
      <c r="E638" s="16">
        <v>3</v>
      </c>
      <c r="F638" s="16">
        <v>2</v>
      </c>
      <c r="G638" s="20" t="s">
        <v>1443</v>
      </c>
      <c r="H638" s="16"/>
      <c r="I638" s="16" t="s">
        <v>2782</v>
      </c>
      <c r="J638" s="16" t="s">
        <v>2783</v>
      </c>
      <c r="K638" s="16" t="s">
        <v>2784</v>
      </c>
    </row>
    <row r="639" spans="1:11" ht="180" hidden="1" x14ac:dyDescent="0.25">
      <c r="A639" s="22">
        <v>636</v>
      </c>
      <c r="B639" s="16" t="s">
        <v>2785</v>
      </c>
      <c r="C639" s="16" t="s">
        <v>2786</v>
      </c>
      <c r="D639" s="16">
        <v>28260000</v>
      </c>
      <c r="E639" s="16">
        <v>2</v>
      </c>
      <c r="F639" s="16">
        <v>4</v>
      </c>
      <c r="G639" s="20" t="s">
        <v>1443</v>
      </c>
      <c r="H639" s="16"/>
      <c r="I639" s="16" t="s">
        <v>2787</v>
      </c>
      <c r="J639" s="16" t="s">
        <v>2788</v>
      </c>
      <c r="K639" s="16" t="s">
        <v>2789</v>
      </c>
    </row>
    <row r="640" spans="1:11" ht="210" hidden="1" x14ac:dyDescent="0.25">
      <c r="A640" s="22">
        <v>637</v>
      </c>
      <c r="B640" s="16" t="s">
        <v>2790</v>
      </c>
      <c r="C640" s="16" t="s">
        <v>2791</v>
      </c>
      <c r="D640" s="16">
        <v>194300000</v>
      </c>
      <c r="E640" s="16">
        <v>3</v>
      </c>
      <c r="F640" s="16">
        <v>3</v>
      </c>
      <c r="G640" s="20" t="s">
        <v>1443</v>
      </c>
      <c r="H640" s="16"/>
      <c r="I640" s="16" t="s">
        <v>2792</v>
      </c>
      <c r="J640" s="16" t="s">
        <v>2793</v>
      </c>
      <c r="K640" s="16" t="s">
        <v>2794</v>
      </c>
    </row>
    <row r="641" spans="1:11" ht="270" hidden="1" x14ac:dyDescent="0.25">
      <c r="A641" s="22">
        <v>638</v>
      </c>
      <c r="B641" s="16" t="s">
        <v>2795</v>
      </c>
      <c r="C641" s="16" t="s">
        <v>2796</v>
      </c>
      <c r="D641" s="16">
        <v>118260000</v>
      </c>
      <c r="E641" s="16">
        <v>2</v>
      </c>
      <c r="F641" s="16">
        <v>4</v>
      </c>
      <c r="G641" s="20" t="s">
        <v>1443</v>
      </c>
      <c r="H641" s="16"/>
      <c r="I641" s="16" t="s">
        <v>2797</v>
      </c>
      <c r="J641" s="16" t="s">
        <v>2798</v>
      </c>
      <c r="K641" s="16" t="s">
        <v>2799</v>
      </c>
    </row>
    <row r="642" spans="1:11" ht="255" hidden="1" x14ac:dyDescent="0.25">
      <c r="A642" s="22">
        <v>639</v>
      </c>
      <c r="B642" s="16" t="s">
        <v>2800</v>
      </c>
      <c r="C642" s="16" t="s">
        <v>2801</v>
      </c>
      <c r="D642" s="16">
        <v>364249400</v>
      </c>
      <c r="E642" s="16">
        <v>3</v>
      </c>
      <c r="F642" s="16">
        <v>2</v>
      </c>
      <c r="G642" s="20" t="s">
        <v>1443</v>
      </c>
      <c r="H642" s="16"/>
      <c r="I642" s="16" t="s">
        <v>2802</v>
      </c>
      <c r="J642" s="16" t="s">
        <v>2803</v>
      </c>
      <c r="K642" s="16" t="s">
        <v>2804</v>
      </c>
    </row>
    <row r="643" spans="1:11" ht="285" hidden="1" x14ac:dyDescent="0.25">
      <c r="A643" s="22">
        <v>640</v>
      </c>
      <c r="B643" s="16" t="s">
        <v>2805</v>
      </c>
      <c r="C643" s="16" t="s">
        <v>2806</v>
      </c>
      <c r="D643" s="16">
        <v>60000000</v>
      </c>
      <c r="E643" s="16">
        <v>1</v>
      </c>
      <c r="F643" s="16">
        <v>5</v>
      </c>
      <c r="G643" s="21" t="s">
        <v>2807</v>
      </c>
      <c r="H643" s="16"/>
      <c r="I643" s="16" t="s">
        <v>2808</v>
      </c>
      <c r="J643" s="16" t="s">
        <v>2809</v>
      </c>
      <c r="K643" s="16" t="s">
        <v>2810</v>
      </c>
    </row>
    <row r="644" spans="1:11" ht="135" hidden="1" x14ac:dyDescent="0.25">
      <c r="A644" s="22">
        <v>641</v>
      </c>
      <c r="B644" s="16" t="s">
        <v>2811</v>
      </c>
      <c r="C644" s="16" t="s">
        <v>2812</v>
      </c>
      <c r="D644" s="16">
        <v>32101000</v>
      </c>
      <c r="E644" s="16">
        <v>2</v>
      </c>
      <c r="F644" s="16">
        <v>2</v>
      </c>
      <c r="G644" s="21" t="s">
        <v>2807</v>
      </c>
      <c r="H644" s="16"/>
      <c r="I644" s="16" t="s">
        <v>2813</v>
      </c>
      <c r="J644" s="16" t="s">
        <v>2814</v>
      </c>
      <c r="K644" s="16" t="s">
        <v>2815</v>
      </c>
    </row>
    <row r="645" spans="1:11" ht="195" x14ac:dyDescent="0.25">
      <c r="A645" s="22">
        <v>642</v>
      </c>
      <c r="B645" s="16" t="s">
        <v>2816</v>
      </c>
      <c r="C645" s="16" t="s">
        <v>2817</v>
      </c>
      <c r="D645" s="16">
        <v>21332000</v>
      </c>
      <c r="E645" s="16">
        <v>1</v>
      </c>
      <c r="F645" s="16">
        <v>4</v>
      </c>
      <c r="G645" s="21" t="s">
        <v>2807</v>
      </c>
      <c r="H645" s="16"/>
      <c r="I645" s="16" t="s">
        <v>129</v>
      </c>
      <c r="J645" s="16" t="s">
        <v>997</v>
      </c>
      <c r="K645" s="16" t="s">
        <v>998</v>
      </c>
    </row>
    <row r="646" spans="1:11" ht="240" hidden="1" x14ac:dyDescent="0.25">
      <c r="A646" s="22">
        <v>643</v>
      </c>
      <c r="B646" s="16" t="s">
        <v>2818</v>
      </c>
      <c r="C646" s="16" t="s">
        <v>2819</v>
      </c>
      <c r="D646" s="16">
        <v>6654000</v>
      </c>
      <c r="E646" s="16">
        <v>1</v>
      </c>
      <c r="F646" s="16">
        <v>5</v>
      </c>
      <c r="G646" s="21" t="s">
        <v>2807</v>
      </c>
      <c r="H646" s="16"/>
      <c r="I646" s="16" t="s">
        <v>129</v>
      </c>
      <c r="J646" s="16" t="s">
        <v>130</v>
      </c>
      <c r="K646" s="16" t="s">
        <v>131</v>
      </c>
    </row>
    <row r="647" spans="1:11" ht="240" hidden="1" x14ac:dyDescent="0.25">
      <c r="A647" s="22">
        <v>644</v>
      </c>
      <c r="B647" s="16" t="s">
        <v>2820</v>
      </c>
      <c r="C647" s="16" t="s">
        <v>2821</v>
      </c>
      <c r="D647" s="16">
        <v>6654000</v>
      </c>
      <c r="E647" s="16">
        <v>1</v>
      </c>
      <c r="F647" s="16">
        <v>4</v>
      </c>
      <c r="G647" s="21" t="s">
        <v>2807</v>
      </c>
      <c r="H647" s="16"/>
      <c r="I647" s="16" t="s">
        <v>129</v>
      </c>
      <c r="J647" s="16" t="s">
        <v>130</v>
      </c>
      <c r="K647" s="16" t="s">
        <v>2822</v>
      </c>
    </row>
    <row r="648" spans="1:11" ht="270" hidden="1" x14ac:dyDescent="0.25">
      <c r="A648" s="22">
        <v>645</v>
      </c>
      <c r="B648" s="16" t="s">
        <v>2823</v>
      </c>
      <c r="C648" s="16" t="s">
        <v>2824</v>
      </c>
      <c r="D648" s="16">
        <v>127227000</v>
      </c>
      <c r="E648" s="16">
        <v>1</v>
      </c>
      <c r="F648" s="16">
        <v>3</v>
      </c>
      <c r="G648" s="21" t="s">
        <v>2807</v>
      </c>
      <c r="H648" s="16"/>
      <c r="I648" s="16" t="s">
        <v>140</v>
      </c>
      <c r="J648" s="16" t="s">
        <v>2825</v>
      </c>
      <c r="K648" s="16" t="s">
        <v>142</v>
      </c>
    </row>
    <row r="649" spans="1:11" ht="225" hidden="1" x14ac:dyDescent="0.25">
      <c r="A649" s="22">
        <v>646</v>
      </c>
      <c r="B649" s="16" t="s">
        <v>2826</v>
      </c>
      <c r="C649" s="16" t="s">
        <v>2827</v>
      </c>
      <c r="D649" s="16">
        <v>49447289</v>
      </c>
      <c r="E649" s="16">
        <v>1</v>
      </c>
      <c r="F649" s="16">
        <v>3</v>
      </c>
      <c r="G649" s="21" t="s">
        <v>2807</v>
      </c>
      <c r="H649" s="16"/>
      <c r="I649" s="16" t="s">
        <v>380</v>
      </c>
      <c r="J649" s="16" t="s">
        <v>2828</v>
      </c>
      <c r="K649" s="16" t="s">
        <v>1563</v>
      </c>
    </row>
    <row r="650" spans="1:11" ht="270" hidden="1" x14ac:dyDescent="0.25">
      <c r="A650" s="22">
        <v>647</v>
      </c>
      <c r="B650" s="16" t="s">
        <v>2829</v>
      </c>
      <c r="C650" s="16" t="s">
        <v>2830</v>
      </c>
      <c r="D650" s="16">
        <v>82477440</v>
      </c>
      <c r="E650" s="16">
        <v>1</v>
      </c>
      <c r="F650" s="16">
        <v>3</v>
      </c>
      <c r="G650" s="21" t="s">
        <v>2807</v>
      </c>
      <c r="H650" s="16"/>
      <c r="I650" s="16" t="s">
        <v>380</v>
      </c>
      <c r="J650" s="16" t="s">
        <v>910</v>
      </c>
      <c r="K650" s="16" t="s">
        <v>1124</v>
      </c>
    </row>
    <row r="651" spans="1:11" ht="195" hidden="1" x14ac:dyDescent="0.25">
      <c r="A651" s="22">
        <v>648</v>
      </c>
      <c r="B651" s="16" t="s">
        <v>2831</v>
      </c>
      <c r="C651" s="16" t="s">
        <v>2832</v>
      </c>
      <c r="D651" s="16">
        <v>24300000</v>
      </c>
      <c r="E651" s="16">
        <v>1</v>
      </c>
      <c r="F651" s="16">
        <v>4</v>
      </c>
      <c r="G651" s="21" t="s">
        <v>2807</v>
      </c>
      <c r="H651" s="16"/>
      <c r="I651" s="16" t="s">
        <v>129</v>
      </c>
      <c r="J651" s="16" t="s">
        <v>997</v>
      </c>
      <c r="K651" s="16" t="s">
        <v>998</v>
      </c>
    </row>
    <row r="652" spans="1:11" ht="315" hidden="1" x14ac:dyDescent="0.25">
      <c r="A652" s="22">
        <v>649</v>
      </c>
      <c r="B652" s="16" t="s">
        <v>2833</v>
      </c>
      <c r="C652" s="16" t="s">
        <v>2834</v>
      </c>
      <c r="D652" s="16">
        <v>14450000</v>
      </c>
      <c r="E652" s="16">
        <v>1</v>
      </c>
      <c r="F652" s="16">
        <v>3</v>
      </c>
      <c r="G652" s="21" t="s">
        <v>2807</v>
      </c>
      <c r="H652" s="16"/>
      <c r="I652" s="16" t="s">
        <v>2835</v>
      </c>
      <c r="J652" s="16" t="s">
        <v>2836</v>
      </c>
      <c r="K652" s="16" t="s">
        <v>2837</v>
      </c>
    </row>
    <row r="653" spans="1:11" ht="255" hidden="1" x14ac:dyDescent="0.25">
      <c r="A653" s="22">
        <v>650</v>
      </c>
      <c r="B653" s="16" t="s">
        <v>2838</v>
      </c>
      <c r="C653" s="16" t="s">
        <v>2839</v>
      </c>
      <c r="D653" s="16">
        <v>16956000</v>
      </c>
      <c r="E653" s="16">
        <v>1</v>
      </c>
      <c r="F653" s="16">
        <v>3</v>
      </c>
      <c r="G653" s="21" t="s">
        <v>2807</v>
      </c>
      <c r="H653" s="16"/>
      <c r="I653" s="16" t="s">
        <v>2840</v>
      </c>
      <c r="J653" s="16" t="s">
        <v>2841</v>
      </c>
      <c r="K653" s="16" t="s">
        <v>2842</v>
      </c>
    </row>
    <row r="654" spans="1:11" ht="210" hidden="1" x14ac:dyDescent="0.25">
      <c r="A654" s="22">
        <v>651</v>
      </c>
      <c r="B654" s="16" t="s">
        <v>2843</v>
      </c>
      <c r="C654" s="16" t="s">
        <v>2844</v>
      </c>
      <c r="D654" s="16">
        <v>10545000</v>
      </c>
      <c r="E654" s="16">
        <v>2</v>
      </c>
      <c r="F654" s="16">
        <v>2</v>
      </c>
      <c r="G654" s="21" t="s">
        <v>2807</v>
      </c>
      <c r="H654" s="16"/>
      <c r="I654" s="16" t="s">
        <v>2845</v>
      </c>
      <c r="J654" s="16" t="s">
        <v>2846</v>
      </c>
      <c r="K654" s="16" t="s">
        <v>2847</v>
      </c>
    </row>
    <row r="655" spans="1:11" ht="210" hidden="1" x14ac:dyDescent="0.25">
      <c r="A655" s="22">
        <v>652</v>
      </c>
      <c r="B655" s="16" t="s">
        <v>2848</v>
      </c>
      <c r="C655" s="16" t="s">
        <v>2849</v>
      </c>
      <c r="D655" s="16">
        <v>7350000</v>
      </c>
      <c r="E655" s="16">
        <v>2</v>
      </c>
      <c r="F655" s="16">
        <v>2</v>
      </c>
      <c r="G655" s="21" t="s">
        <v>2807</v>
      </c>
      <c r="H655" s="16"/>
      <c r="I655" s="16" t="s">
        <v>2845</v>
      </c>
      <c r="J655" s="16" t="s">
        <v>2846</v>
      </c>
      <c r="K655" s="16" t="s">
        <v>2847</v>
      </c>
    </row>
    <row r="656" spans="1:11" ht="360" hidden="1" x14ac:dyDescent="0.25">
      <c r="A656" s="22">
        <v>653</v>
      </c>
      <c r="B656" s="16" t="s">
        <v>2850</v>
      </c>
      <c r="C656" s="16" t="s">
        <v>2851</v>
      </c>
      <c r="D656" s="16">
        <v>5275000</v>
      </c>
      <c r="E656" s="16">
        <v>2</v>
      </c>
      <c r="F656" s="16">
        <v>1</v>
      </c>
      <c r="G656" s="21" t="s">
        <v>2807</v>
      </c>
      <c r="H656" s="16"/>
      <c r="I656" s="16" t="s">
        <v>2852</v>
      </c>
      <c r="J656" s="16" t="s">
        <v>2853</v>
      </c>
      <c r="K656" s="16" t="s">
        <v>2854</v>
      </c>
    </row>
    <row r="657" spans="1:11" ht="195" hidden="1" x14ac:dyDescent="0.25">
      <c r="A657" s="22">
        <v>654</v>
      </c>
      <c r="B657" s="16" t="s">
        <v>2855</v>
      </c>
      <c r="C657" s="16" t="s">
        <v>2856</v>
      </c>
      <c r="D657" s="16">
        <v>25290000</v>
      </c>
      <c r="E657" s="16">
        <v>2</v>
      </c>
      <c r="F657" s="16">
        <v>2</v>
      </c>
      <c r="G657" s="21" t="s">
        <v>2807</v>
      </c>
      <c r="H657" s="16"/>
      <c r="I657" s="16" t="s">
        <v>2857</v>
      </c>
      <c r="J657" s="16" t="s">
        <v>2858</v>
      </c>
      <c r="K657" s="16" t="s">
        <v>2859</v>
      </c>
    </row>
    <row r="658" spans="1:11" ht="195" hidden="1" x14ac:dyDescent="0.25">
      <c r="A658" s="22">
        <v>655</v>
      </c>
      <c r="B658" s="16" t="s">
        <v>2860</v>
      </c>
      <c r="C658" s="16" t="s">
        <v>2861</v>
      </c>
      <c r="D658" s="16">
        <v>11405000</v>
      </c>
      <c r="E658" s="16">
        <v>1</v>
      </c>
      <c r="F658" s="16">
        <v>2</v>
      </c>
      <c r="G658" s="21" t="s">
        <v>2807</v>
      </c>
      <c r="H658" s="16"/>
      <c r="I658" s="16" t="s">
        <v>2862</v>
      </c>
      <c r="J658" s="16" t="s">
        <v>2863</v>
      </c>
      <c r="K658" s="16" t="s">
        <v>2864</v>
      </c>
    </row>
    <row r="659" spans="1:11" ht="270" hidden="1" x14ac:dyDescent="0.25">
      <c r="A659" s="22">
        <v>656</v>
      </c>
      <c r="B659" s="16" t="s">
        <v>2865</v>
      </c>
      <c r="C659" s="16" t="s">
        <v>2866</v>
      </c>
      <c r="D659" s="16">
        <v>2822500</v>
      </c>
      <c r="E659" s="16">
        <v>2</v>
      </c>
      <c r="F659" s="16">
        <v>2</v>
      </c>
      <c r="G659" s="21" t="s">
        <v>2807</v>
      </c>
      <c r="H659" s="16"/>
      <c r="I659" s="16" t="s">
        <v>2867</v>
      </c>
      <c r="J659" s="16" t="s">
        <v>2868</v>
      </c>
      <c r="K659" s="16" t="s">
        <v>2869</v>
      </c>
    </row>
    <row r="660" spans="1:11" ht="409.5" hidden="1" x14ac:dyDescent="0.25">
      <c r="A660" s="22">
        <v>657</v>
      </c>
      <c r="B660" s="16" t="s">
        <v>2870</v>
      </c>
      <c r="C660" s="16" t="s">
        <v>2871</v>
      </c>
      <c r="D660" s="16">
        <v>39669000</v>
      </c>
      <c r="E660" s="16">
        <v>1</v>
      </c>
      <c r="F660" s="16">
        <v>3</v>
      </c>
      <c r="G660" s="21" t="s">
        <v>2807</v>
      </c>
      <c r="H660" s="16"/>
      <c r="I660" s="16" t="s">
        <v>2872</v>
      </c>
      <c r="J660" s="16" t="s">
        <v>2873</v>
      </c>
      <c r="K660" s="16" t="s">
        <v>2874</v>
      </c>
    </row>
    <row r="661" spans="1:11" ht="300" hidden="1" x14ac:dyDescent="0.25">
      <c r="A661" s="22">
        <v>658</v>
      </c>
      <c r="B661" s="16" t="s">
        <v>2875</v>
      </c>
      <c r="C661" s="16" t="s">
        <v>2876</v>
      </c>
      <c r="D661" s="16">
        <v>17383000</v>
      </c>
      <c r="E661" s="16">
        <v>2</v>
      </c>
      <c r="F661" s="16">
        <v>2</v>
      </c>
      <c r="G661" s="21" t="s">
        <v>2807</v>
      </c>
      <c r="H661" s="16"/>
      <c r="I661" s="16" t="s">
        <v>2877</v>
      </c>
      <c r="J661" s="16" t="s">
        <v>2878</v>
      </c>
      <c r="K661" s="16" t="s">
        <v>2879</v>
      </c>
    </row>
    <row r="662" spans="1:11" ht="345" hidden="1" x14ac:dyDescent="0.25">
      <c r="A662" s="22">
        <v>659</v>
      </c>
      <c r="B662" s="16" t="s">
        <v>2880</v>
      </c>
      <c r="C662" s="16" t="s">
        <v>2881</v>
      </c>
      <c r="D662" s="16">
        <v>7625000</v>
      </c>
      <c r="E662" s="16">
        <v>2</v>
      </c>
      <c r="F662" s="16">
        <v>2</v>
      </c>
      <c r="G662" s="21" t="s">
        <v>2807</v>
      </c>
      <c r="H662" s="16"/>
      <c r="I662" s="16" t="s">
        <v>2882</v>
      </c>
      <c r="J662" s="16" t="s">
        <v>2883</v>
      </c>
      <c r="K662" s="16" t="s">
        <v>2884</v>
      </c>
    </row>
    <row r="663" spans="1:11" ht="345" hidden="1" x14ac:dyDescent="0.25">
      <c r="A663" s="22">
        <v>660</v>
      </c>
      <c r="B663" s="16" t="s">
        <v>2885</v>
      </c>
      <c r="C663" s="16" t="s">
        <v>2886</v>
      </c>
      <c r="D663" s="16">
        <v>7053000</v>
      </c>
      <c r="E663" s="16">
        <v>2</v>
      </c>
      <c r="F663" s="16">
        <v>2</v>
      </c>
      <c r="G663" s="21" t="s">
        <v>2807</v>
      </c>
      <c r="H663" s="16"/>
      <c r="I663" s="16" t="s">
        <v>2887</v>
      </c>
      <c r="J663" s="16" t="s">
        <v>2888</v>
      </c>
      <c r="K663" s="16" t="s">
        <v>2884</v>
      </c>
    </row>
    <row r="664" spans="1:11" ht="390" hidden="1" x14ac:dyDescent="0.25">
      <c r="A664" s="22">
        <v>661</v>
      </c>
      <c r="B664" s="16" t="s">
        <v>2889</v>
      </c>
      <c r="C664" s="16" t="s">
        <v>2890</v>
      </c>
      <c r="D664" s="16">
        <v>23925000</v>
      </c>
      <c r="E664" s="16">
        <v>1</v>
      </c>
      <c r="F664" s="16">
        <v>3</v>
      </c>
      <c r="G664" s="21" t="s">
        <v>2807</v>
      </c>
      <c r="H664" s="16"/>
      <c r="I664" s="16" t="s">
        <v>2891</v>
      </c>
      <c r="J664" s="16" t="s">
        <v>2892</v>
      </c>
      <c r="K664" s="16" t="s">
        <v>2893</v>
      </c>
    </row>
    <row r="665" spans="1:11" ht="409.5" hidden="1" x14ac:dyDescent="0.25">
      <c r="A665" s="22">
        <v>662</v>
      </c>
      <c r="B665" s="16" t="s">
        <v>2894</v>
      </c>
      <c r="C665" s="16" t="s">
        <v>2895</v>
      </c>
      <c r="D665" s="16">
        <v>12370000</v>
      </c>
      <c r="E665" s="16">
        <v>2</v>
      </c>
      <c r="F665" s="16">
        <v>2</v>
      </c>
      <c r="G665" s="21" t="s">
        <v>2807</v>
      </c>
      <c r="H665" s="16"/>
      <c r="I665" s="16" t="s">
        <v>2896</v>
      </c>
      <c r="J665" s="16" t="s">
        <v>2897</v>
      </c>
      <c r="K665" s="16" t="s">
        <v>2898</v>
      </c>
    </row>
    <row r="666" spans="1:11" ht="315" hidden="1" x14ac:dyDescent="0.25">
      <c r="A666" s="22">
        <v>663</v>
      </c>
      <c r="B666" s="16" t="s">
        <v>2899</v>
      </c>
      <c r="C666" s="16" t="s">
        <v>2900</v>
      </c>
      <c r="D666" s="16">
        <v>21550000</v>
      </c>
      <c r="E666" s="16">
        <v>1</v>
      </c>
      <c r="F666" s="16">
        <v>3</v>
      </c>
      <c r="G666" s="21" t="s">
        <v>2807</v>
      </c>
      <c r="H666" s="16"/>
      <c r="I666" s="16" t="s">
        <v>2835</v>
      </c>
      <c r="J666" s="16" t="s">
        <v>2836</v>
      </c>
      <c r="K666" s="16" t="s">
        <v>2837</v>
      </c>
    </row>
    <row r="667" spans="1:11" ht="255" hidden="1" x14ac:dyDescent="0.25">
      <c r="A667" s="22">
        <v>664</v>
      </c>
      <c r="B667" s="16" t="s">
        <v>2901</v>
      </c>
      <c r="C667" s="16" t="s">
        <v>2902</v>
      </c>
      <c r="D667" s="16">
        <v>24329000</v>
      </c>
      <c r="E667" s="16">
        <v>1</v>
      </c>
      <c r="F667" s="16">
        <v>3</v>
      </c>
      <c r="G667" s="21" t="s">
        <v>2807</v>
      </c>
      <c r="H667" s="16"/>
      <c r="I667" s="16" t="s">
        <v>2840</v>
      </c>
      <c r="J667" s="16" t="s">
        <v>2841</v>
      </c>
      <c r="K667" s="16" t="s">
        <v>2842</v>
      </c>
    </row>
    <row r="668" spans="1:11" ht="210" hidden="1" x14ac:dyDescent="0.25">
      <c r="A668" s="22">
        <v>665</v>
      </c>
      <c r="B668" s="16" t="s">
        <v>2903</v>
      </c>
      <c r="C668" s="16" t="s">
        <v>2904</v>
      </c>
      <c r="D668" s="16">
        <v>11620000</v>
      </c>
      <c r="E668" s="16">
        <v>2</v>
      </c>
      <c r="F668" s="16">
        <v>2</v>
      </c>
      <c r="G668" s="21" t="s">
        <v>2807</v>
      </c>
      <c r="H668" s="16"/>
      <c r="I668" s="16" t="s">
        <v>2845</v>
      </c>
      <c r="J668" s="16" t="s">
        <v>2846</v>
      </c>
      <c r="K668" s="16" t="s">
        <v>2847</v>
      </c>
    </row>
    <row r="669" spans="1:11" ht="360" hidden="1" x14ac:dyDescent="0.25">
      <c r="A669" s="22">
        <v>666</v>
      </c>
      <c r="B669" s="16" t="s">
        <v>2905</v>
      </c>
      <c r="C669" s="16" t="s">
        <v>2906</v>
      </c>
      <c r="D669" s="16">
        <v>9180000</v>
      </c>
      <c r="E669" s="16">
        <v>2</v>
      </c>
      <c r="F669" s="16">
        <v>2</v>
      </c>
      <c r="G669" s="21" t="s">
        <v>2807</v>
      </c>
      <c r="H669" s="16"/>
      <c r="I669" s="16" t="s">
        <v>2907</v>
      </c>
      <c r="J669" s="16" t="s">
        <v>2908</v>
      </c>
      <c r="K669" s="16" t="s">
        <v>2909</v>
      </c>
    </row>
    <row r="670" spans="1:11" ht="210" hidden="1" x14ac:dyDescent="0.25">
      <c r="A670" s="22">
        <v>667</v>
      </c>
      <c r="B670" s="16" t="s">
        <v>2910</v>
      </c>
      <c r="C670" s="16" t="s">
        <v>2911</v>
      </c>
      <c r="D670" s="16">
        <v>9248000</v>
      </c>
      <c r="E670" s="16">
        <v>1</v>
      </c>
      <c r="F670" s="16">
        <v>3</v>
      </c>
      <c r="G670" s="21" t="s">
        <v>2807</v>
      </c>
      <c r="H670" s="16"/>
      <c r="I670" s="16" t="s">
        <v>2912</v>
      </c>
      <c r="J670" s="16" t="s">
        <v>2913</v>
      </c>
      <c r="K670" s="16" t="s">
        <v>2914</v>
      </c>
    </row>
    <row r="671" spans="1:11" ht="240" hidden="1" x14ac:dyDescent="0.25">
      <c r="A671" s="22">
        <v>668</v>
      </c>
      <c r="B671" s="16" t="s">
        <v>2915</v>
      </c>
      <c r="C671" s="16" t="s">
        <v>2916</v>
      </c>
      <c r="D671" s="16">
        <v>11609500</v>
      </c>
      <c r="E671" s="16">
        <v>1</v>
      </c>
      <c r="F671" s="16">
        <v>5</v>
      </c>
      <c r="G671" s="21" t="s">
        <v>2807</v>
      </c>
      <c r="H671" s="16"/>
      <c r="I671" s="16" t="s">
        <v>129</v>
      </c>
      <c r="J671" s="16" t="s">
        <v>130</v>
      </c>
      <c r="K671" s="16" t="s">
        <v>131</v>
      </c>
    </row>
    <row r="672" spans="1:11" ht="240" hidden="1" x14ac:dyDescent="0.25">
      <c r="A672" s="22">
        <v>669</v>
      </c>
      <c r="B672" s="16" t="s">
        <v>2917</v>
      </c>
      <c r="C672" s="16" t="s">
        <v>2918</v>
      </c>
      <c r="D672" s="16">
        <v>11643000</v>
      </c>
      <c r="E672" s="16">
        <v>1</v>
      </c>
      <c r="F672" s="16">
        <v>5</v>
      </c>
      <c r="G672" s="21" t="s">
        <v>2807</v>
      </c>
      <c r="H672" s="16"/>
      <c r="I672" s="16" t="s">
        <v>129</v>
      </c>
      <c r="J672" s="16" t="s">
        <v>130</v>
      </c>
      <c r="K672" s="16" t="s">
        <v>131</v>
      </c>
    </row>
    <row r="673" spans="1:11" ht="225" hidden="1" x14ac:dyDescent="0.25">
      <c r="A673" s="22">
        <v>670</v>
      </c>
      <c r="B673" s="16" t="s">
        <v>2919</v>
      </c>
      <c r="C673" s="16" t="s">
        <v>2920</v>
      </c>
      <c r="D673" s="16">
        <v>32600000</v>
      </c>
      <c r="E673" s="16">
        <v>1</v>
      </c>
      <c r="F673" s="16">
        <v>4</v>
      </c>
      <c r="G673" s="21" t="s">
        <v>2807</v>
      </c>
      <c r="H673" s="16"/>
      <c r="I673" s="16" t="s">
        <v>1599</v>
      </c>
      <c r="J673" s="16" t="s">
        <v>2921</v>
      </c>
      <c r="K673" s="16" t="s">
        <v>2922</v>
      </c>
    </row>
    <row r="674" spans="1:11" ht="240" hidden="1" x14ac:dyDescent="0.25">
      <c r="A674" s="22">
        <v>671</v>
      </c>
      <c r="B674" s="16" t="s">
        <v>2923</v>
      </c>
      <c r="C674" s="16" t="s">
        <v>2924</v>
      </c>
      <c r="D674" s="16">
        <v>10020000</v>
      </c>
      <c r="E674" s="16">
        <v>2</v>
      </c>
      <c r="F674" s="16">
        <v>2</v>
      </c>
      <c r="G674" s="21" t="s">
        <v>2807</v>
      </c>
      <c r="H674" s="16"/>
      <c r="I674" s="16" t="s">
        <v>2925</v>
      </c>
      <c r="J674" s="16" t="s">
        <v>2926</v>
      </c>
      <c r="K674" s="16" t="s">
        <v>2927</v>
      </c>
    </row>
    <row r="675" spans="1:11" ht="390" hidden="1" x14ac:dyDescent="0.25">
      <c r="A675" s="22">
        <v>672</v>
      </c>
      <c r="B675" s="16" t="s">
        <v>2928</v>
      </c>
      <c r="C675" s="16" t="s">
        <v>2929</v>
      </c>
      <c r="D675" s="16">
        <v>11900000</v>
      </c>
      <c r="E675" s="16">
        <v>1</v>
      </c>
      <c r="F675" s="16">
        <v>1</v>
      </c>
      <c r="G675" s="21" t="s">
        <v>2807</v>
      </c>
      <c r="H675" s="16"/>
      <c r="I675" s="16" t="s">
        <v>2930</v>
      </c>
      <c r="J675" s="16" t="s">
        <v>2931</v>
      </c>
      <c r="K675" s="16" t="s">
        <v>2932</v>
      </c>
    </row>
    <row r="676" spans="1:11" ht="390" hidden="1" x14ac:dyDescent="0.25">
      <c r="A676" s="22">
        <v>673</v>
      </c>
      <c r="B676" s="16" t="s">
        <v>2933</v>
      </c>
      <c r="C676" s="16" t="s">
        <v>2934</v>
      </c>
      <c r="D676" s="16">
        <v>132100000</v>
      </c>
      <c r="E676" s="16">
        <v>2</v>
      </c>
      <c r="F676" s="16">
        <v>2</v>
      </c>
      <c r="G676" s="21" t="s">
        <v>2807</v>
      </c>
      <c r="H676" s="16"/>
      <c r="I676" s="16" t="s">
        <v>2935</v>
      </c>
      <c r="J676" s="16" t="s">
        <v>2936</v>
      </c>
      <c r="K676" s="16" t="s">
        <v>2937</v>
      </c>
    </row>
    <row r="677" spans="1:11" ht="255" hidden="1" x14ac:dyDescent="0.25">
      <c r="A677" s="22">
        <v>674</v>
      </c>
      <c r="B677" s="16" t="s">
        <v>2938</v>
      </c>
      <c r="C677" s="16" t="s">
        <v>2939</v>
      </c>
      <c r="D677" s="16">
        <v>13000000</v>
      </c>
      <c r="E677" s="16">
        <v>2</v>
      </c>
      <c r="F677" s="16">
        <v>2</v>
      </c>
      <c r="G677" s="21" t="s">
        <v>2807</v>
      </c>
      <c r="H677" s="16"/>
      <c r="I677" s="16" t="s">
        <v>2940</v>
      </c>
      <c r="J677" s="16" t="s">
        <v>2941</v>
      </c>
      <c r="K677" s="16" t="s">
        <v>2942</v>
      </c>
    </row>
    <row r="678" spans="1:11" ht="165" hidden="1" x14ac:dyDescent="0.25">
      <c r="A678" s="22">
        <v>675</v>
      </c>
      <c r="B678" s="16" t="s">
        <v>2943</v>
      </c>
      <c r="C678" s="16" t="s">
        <v>2944</v>
      </c>
      <c r="D678" s="16">
        <v>7705000</v>
      </c>
      <c r="E678" s="16">
        <v>1</v>
      </c>
      <c r="F678" s="16">
        <v>3</v>
      </c>
      <c r="G678" s="21" t="s">
        <v>2807</v>
      </c>
      <c r="H678" s="16"/>
      <c r="I678" s="16" t="s">
        <v>2945</v>
      </c>
      <c r="J678" s="16" t="s">
        <v>2946</v>
      </c>
      <c r="K678" s="16" t="s">
        <v>2947</v>
      </c>
    </row>
    <row r="679" spans="1:11" ht="409.5" hidden="1" x14ac:dyDescent="0.25">
      <c r="A679" s="22">
        <v>676</v>
      </c>
      <c r="B679" s="16" t="s">
        <v>2948</v>
      </c>
      <c r="C679" s="16" t="s">
        <v>2949</v>
      </c>
      <c r="D679" s="16">
        <v>10000000</v>
      </c>
      <c r="E679" s="16">
        <v>1</v>
      </c>
      <c r="F679" s="16">
        <v>3</v>
      </c>
      <c r="G679" s="21" t="s">
        <v>2807</v>
      </c>
      <c r="H679" s="16"/>
      <c r="I679" s="16" t="s">
        <v>2950</v>
      </c>
      <c r="J679" s="16" t="s">
        <v>2951</v>
      </c>
      <c r="K679" s="16" t="s">
        <v>2952</v>
      </c>
    </row>
    <row r="680" spans="1:11" ht="409.5" hidden="1" x14ac:dyDescent="0.25">
      <c r="A680" s="22">
        <v>677</v>
      </c>
      <c r="B680" s="16" t="s">
        <v>2953</v>
      </c>
      <c r="C680" s="16" t="s">
        <v>2954</v>
      </c>
      <c r="D680" s="16">
        <v>6000000</v>
      </c>
      <c r="E680" s="16">
        <v>2</v>
      </c>
      <c r="F680" s="16">
        <v>1</v>
      </c>
      <c r="G680" s="21" t="s">
        <v>2807</v>
      </c>
      <c r="H680" s="16"/>
      <c r="I680" s="16" t="s">
        <v>2955</v>
      </c>
      <c r="J680" s="16" t="s">
        <v>2956</v>
      </c>
      <c r="K680" s="16" t="s">
        <v>2957</v>
      </c>
    </row>
    <row r="681" spans="1:11" ht="409.5" hidden="1" x14ac:dyDescent="0.25">
      <c r="A681" s="22">
        <v>678</v>
      </c>
      <c r="B681" s="16" t="s">
        <v>2958</v>
      </c>
      <c r="C681" s="16" t="s">
        <v>2959</v>
      </c>
      <c r="D681" s="16">
        <v>6000000</v>
      </c>
      <c r="E681" s="16">
        <v>2</v>
      </c>
      <c r="F681" s="16">
        <v>1</v>
      </c>
      <c r="G681" s="21" t="s">
        <v>2807</v>
      </c>
      <c r="H681" s="16"/>
      <c r="I681" s="16" t="s">
        <v>2960</v>
      </c>
      <c r="J681" s="16" t="s">
        <v>2961</v>
      </c>
      <c r="K681" s="16" t="s">
        <v>2957</v>
      </c>
    </row>
    <row r="682" spans="1:11" ht="285" hidden="1" x14ac:dyDescent="0.25">
      <c r="A682" s="22">
        <v>679</v>
      </c>
      <c r="B682" s="16" t="s">
        <v>2962</v>
      </c>
      <c r="C682" s="16" t="s">
        <v>2963</v>
      </c>
      <c r="D682" s="16">
        <v>23720000</v>
      </c>
      <c r="E682" s="16">
        <v>2</v>
      </c>
      <c r="F682" s="16">
        <v>2</v>
      </c>
      <c r="G682" s="21" t="s">
        <v>2807</v>
      </c>
      <c r="H682" s="16"/>
      <c r="I682" s="16" t="s">
        <v>2964</v>
      </c>
      <c r="J682" s="16" t="s">
        <v>2965</v>
      </c>
      <c r="K682" s="16" t="s">
        <v>2966</v>
      </c>
    </row>
    <row r="683" spans="1:11" ht="330" hidden="1" x14ac:dyDescent="0.25">
      <c r="A683" s="22">
        <v>680</v>
      </c>
      <c r="B683" s="16" t="s">
        <v>2967</v>
      </c>
      <c r="C683" s="16" t="s">
        <v>2968</v>
      </c>
      <c r="D683" s="16">
        <v>99230000</v>
      </c>
      <c r="E683" s="16">
        <v>1</v>
      </c>
      <c r="F683" s="16">
        <v>3</v>
      </c>
      <c r="G683" s="21" t="s">
        <v>2807</v>
      </c>
      <c r="H683" s="16"/>
      <c r="I683" s="16" t="s">
        <v>1663</v>
      </c>
      <c r="J683" s="16" t="s">
        <v>2969</v>
      </c>
      <c r="K683" s="16" t="s">
        <v>2970</v>
      </c>
    </row>
    <row r="684" spans="1:11" ht="180" hidden="1" x14ac:dyDescent="0.25">
      <c r="A684" s="22">
        <v>681</v>
      </c>
      <c r="B684" s="16" t="s">
        <v>2971</v>
      </c>
      <c r="C684" s="16" t="s">
        <v>2972</v>
      </c>
      <c r="D684" s="16">
        <v>4000000</v>
      </c>
      <c r="E684" s="16">
        <v>1</v>
      </c>
      <c r="F684" s="16">
        <v>1</v>
      </c>
      <c r="G684" s="21" t="s">
        <v>2807</v>
      </c>
      <c r="H684" s="16"/>
      <c r="I684" s="16" t="s">
        <v>2973</v>
      </c>
      <c r="J684" s="16" t="s">
        <v>2974</v>
      </c>
      <c r="K684" s="16" t="s">
        <v>2975</v>
      </c>
    </row>
    <row r="685" spans="1:11" ht="315" hidden="1" x14ac:dyDescent="0.25">
      <c r="A685" s="22">
        <v>682</v>
      </c>
      <c r="B685" s="16" t="s">
        <v>2976</v>
      </c>
      <c r="C685" s="16" t="s">
        <v>2977</v>
      </c>
      <c r="D685" s="16">
        <v>40600000</v>
      </c>
      <c r="E685" s="16">
        <v>1</v>
      </c>
      <c r="F685" s="16">
        <v>4</v>
      </c>
      <c r="G685" s="21" t="s">
        <v>2807</v>
      </c>
      <c r="H685" s="16"/>
      <c r="I685" s="16" t="s">
        <v>2978</v>
      </c>
      <c r="J685" s="16" t="s">
        <v>2979</v>
      </c>
      <c r="K685" s="16" t="s">
        <v>2311</v>
      </c>
    </row>
    <row r="686" spans="1:11" ht="360" hidden="1" x14ac:dyDescent="0.25">
      <c r="A686" s="22">
        <v>683</v>
      </c>
      <c r="B686" s="16" t="s">
        <v>2980</v>
      </c>
      <c r="C686" s="16" t="s">
        <v>2981</v>
      </c>
      <c r="D686" s="16">
        <v>29378750</v>
      </c>
      <c r="E686" s="16">
        <v>1</v>
      </c>
      <c r="F686" s="16">
        <v>5</v>
      </c>
      <c r="G686" s="21" t="s">
        <v>2807</v>
      </c>
      <c r="H686" s="16"/>
      <c r="I686" s="16" t="s">
        <v>2314</v>
      </c>
      <c r="J686" s="16" t="s">
        <v>2982</v>
      </c>
      <c r="K686" s="16" t="s">
        <v>2311</v>
      </c>
    </row>
    <row r="687" spans="1:11" ht="409.5" hidden="1" x14ac:dyDescent="0.25">
      <c r="A687" s="22">
        <v>684</v>
      </c>
      <c r="B687" s="16" t="s">
        <v>2983</v>
      </c>
      <c r="C687" s="16" t="s">
        <v>2984</v>
      </c>
      <c r="D687" s="16">
        <v>6000000</v>
      </c>
      <c r="E687" s="16">
        <v>2</v>
      </c>
      <c r="F687" s="16">
        <v>1</v>
      </c>
      <c r="G687" s="21" t="s">
        <v>2807</v>
      </c>
      <c r="H687" s="16"/>
      <c r="I687" s="16" t="s">
        <v>2985</v>
      </c>
      <c r="J687" s="16" t="s">
        <v>2986</v>
      </c>
      <c r="K687" s="16" t="s">
        <v>2987</v>
      </c>
    </row>
    <row r="688" spans="1:11" ht="225" hidden="1" x14ac:dyDescent="0.25">
      <c r="A688" s="22">
        <v>685</v>
      </c>
      <c r="B688" s="16" t="s">
        <v>2988</v>
      </c>
      <c r="C688" s="16" t="s">
        <v>2989</v>
      </c>
      <c r="D688" s="16">
        <v>7500000</v>
      </c>
      <c r="E688" s="16">
        <v>2</v>
      </c>
      <c r="F688" s="16">
        <v>2</v>
      </c>
      <c r="G688" s="21" t="s">
        <v>2807</v>
      </c>
      <c r="H688" s="16"/>
      <c r="I688" s="16" t="s">
        <v>2343</v>
      </c>
      <c r="J688" s="16" t="s">
        <v>2990</v>
      </c>
      <c r="K688" s="16" t="s">
        <v>2345</v>
      </c>
    </row>
    <row r="689" spans="1:11" ht="330" hidden="1" x14ac:dyDescent="0.25">
      <c r="A689" s="22">
        <v>686</v>
      </c>
      <c r="B689" s="16" t="s">
        <v>2991</v>
      </c>
      <c r="C689" s="16" t="s">
        <v>2992</v>
      </c>
      <c r="D689" s="16">
        <v>15150000</v>
      </c>
      <c r="E689" s="16">
        <v>2</v>
      </c>
      <c r="F689" s="16">
        <v>1</v>
      </c>
      <c r="G689" s="21" t="s">
        <v>2807</v>
      </c>
      <c r="H689" s="16"/>
      <c r="I689" s="16" t="s">
        <v>2993</v>
      </c>
      <c r="J689" s="16" t="s">
        <v>2994</v>
      </c>
      <c r="K689" s="16" t="s">
        <v>2995</v>
      </c>
    </row>
    <row r="690" spans="1:11" ht="405" hidden="1" x14ac:dyDescent="0.25">
      <c r="A690" s="22">
        <v>687</v>
      </c>
      <c r="B690" s="16" t="s">
        <v>2996</v>
      </c>
      <c r="C690" s="16" t="s">
        <v>2997</v>
      </c>
      <c r="D690" s="16">
        <v>4000000</v>
      </c>
      <c r="E690" s="16">
        <v>2</v>
      </c>
      <c r="F690" s="16">
        <v>2</v>
      </c>
      <c r="G690" s="21" t="s">
        <v>2807</v>
      </c>
      <c r="H690" s="16"/>
      <c r="I690" s="16" t="s">
        <v>2998</v>
      </c>
      <c r="J690" s="16" t="s">
        <v>2999</v>
      </c>
      <c r="K690" s="16" t="s">
        <v>3000</v>
      </c>
    </row>
    <row r="691" spans="1:11" ht="315" hidden="1" x14ac:dyDescent="0.25">
      <c r="A691" s="22">
        <v>688</v>
      </c>
      <c r="B691" s="16" t="s">
        <v>3001</v>
      </c>
      <c r="C691" s="16" t="s">
        <v>3002</v>
      </c>
      <c r="D691" s="16">
        <v>121200550</v>
      </c>
      <c r="E691" s="16">
        <v>1</v>
      </c>
      <c r="F691" s="16">
        <v>4</v>
      </c>
      <c r="G691" s="21" t="s">
        <v>2807</v>
      </c>
      <c r="H691" s="16"/>
      <c r="I691" s="16" t="s">
        <v>3003</v>
      </c>
      <c r="J691" s="16" t="s">
        <v>3004</v>
      </c>
      <c r="K691" s="16" t="s">
        <v>3005</v>
      </c>
    </row>
    <row r="692" spans="1:11" ht="409.5" hidden="1" x14ac:dyDescent="0.25">
      <c r="A692" s="22">
        <v>689</v>
      </c>
      <c r="B692" s="16" t="s">
        <v>3006</v>
      </c>
      <c r="C692" s="16" t="s">
        <v>3007</v>
      </c>
      <c r="D692" s="16">
        <v>15074000</v>
      </c>
      <c r="E692" s="16">
        <v>1</v>
      </c>
      <c r="F692" s="16">
        <v>5</v>
      </c>
      <c r="G692" s="21" t="s">
        <v>2807</v>
      </c>
      <c r="H692" s="16"/>
      <c r="I692" s="16" t="s">
        <v>3008</v>
      </c>
      <c r="J692" s="16" t="s">
        <v>3009</v>
      </c>
      <c r="K692" s="16" t="s">
        <v>3010</v>
      </c>
    </row>
    <row r="693" spans="1:11" ht="409.5" hidden="1" x14ac:dyDescent="0.25">
      <c r="A693" s="22">
        <v>690</v>
      </c>
      <c r="B693" s="16" t="s">
        <v>3011</v>
      </c>
      <c r="C693" s="16" t="s">
        <v>3012</v>
      </c>
      <c r="D693" s="16">
        <v>30000000</v>
      </c>
      <c r="E693" s="16">
        <v>1</v>
      </c>
      <c r="F693" s="16">
        <v>5</v>
      </c>
      <c r="G693" s="21" t="s">
        <v>2807</v>
      </c>
      <c r="H693" s="16"/>
      <c r="I693" s="16" t="s">
        <v>3008</v>
      </c>
      <c r="J693" s="16" t="s">
        <v>3013</v>
      </c>
      <c r="K693" s="16" t="s">
        <v>3014</v>
      </c>
    </row>
    <row r="694" spans="1:11" ht="255" hidden="1" x14ac:dyDescent="0.25">
      <c r="A694" s="22">
        <v>691</v>
      </c>
      <c r="B694" s="16" t="s">
        <v>3015</v>
      </c>
      <c r="C694" s="16" t="s">
        <v>3016</v>
      </c>
      <c r="D694" s="16">
        <v>7215000</v>
      </c>
      <c r="E694" s="16">
        <v>2</v>
      </c>
      <c r="F694" s="16">
        <v>1</v>
      </c>
      <c r="G694" s="21" t="s">
        <v>2807</v>
      </c>
      <c r="H694" s="16"/>
      <c r="I694" s="16" t="s">
        <v>3017</v>
      </c>
      <c r="J694" s="16" t="s">
        <v>3018</v>
      </c>
      <c r="K694" s="16" t="s">
        <v>3019</v>
      </c>
    </row>
    <row r="695" spans="1:11" ht="210" hidden="1" x14ac:dyDescent="0.25">
      <c r="A695" s="22">
        <v>692</v>
      </c>
      <c r="B695" s="16" t="s">
        <v>3020</v>
      </c>
      <c r="C695" s="16" t="s">
        <v>3021</v>
      </c>
      <c r="D695" s="16">
        <v>4275000</v>
      </c>
      <c r="E695" s="16">
        <v>2</v>
      </c>
      <c r="F695" s="16">
        <v>1</v>
      </c>
      <c r="G695" s="21" t="s">
        <v>2807</v>
      </c>
      <c r="H695" s="16"/>
      <c r="I695" s="16" t="s">
        <v>3022</v>
      </c>
      <c r="J695" s="16" t="s">
        <v>3023</v>
      </c>
      <c r="K695" s="16" t="s">
        <v>3024</v>
      </c>
    </row>
    <row r="696" spans="1:11" ht="270" hidden="1" x14ac:dyDescent="0.25">
      <c r="A696" s="22">
        <v>693</v>
      </c>
      <c r="B696" s="16" t="s">
        <v>3025</v>
      </c>
      <c r="C696" s="16" t="s">
        <v>3026</v>
      </c>
      <c r="D696" s="16">
        <v>6275000</v>
      </c>
      <c r="E696" s="16">
        <v>2</v>
      </c>
      <c r="F696" s="16">
        <v>1</v>
      </c>
      <c r="G696" s="21" t="s">
        <v>2807</v>
      </c>
      <c r="H696" s="16"/>
      <c r="I696" s="16" t="s">
        <v>3027</v>
      </c>
      <c r="J696" s="16" t="s">
        <v>3028</v>
      </c>
      <c r="K696" s="16" t="s">
        <v>3029</v>
      </c>
    </row>
    <row r="697" spans="1:11" ht="195" hidden="1" x14ac:dyDescent="0.25">
      <c r="A697" s="22">
        <v>694</v>
      </c>
      <c r="B697" s="16" t="s">
        <v>3030</v>
      </c>
      <c r="C697" s="16" t="s">
        <v>3031</v>
      </c>
      <c r="D697" s="16">
        <v>22608000</v>
      </c>
      <c r="E697" s="16">
        <v>1</v>
      </c>
      <c r="F697" s="16">
        <v>4</v>
      </c>
      <c r="G697" s="21" t="s">
        <v>2807</v>
      </c>
      <c r="H697" s="16"/>
      <c r="I697" s="16" t="s">
        <v>129</v>
      </c>
      <c r="J697" s="16" t="s">
        <v>3032</v>
      </c>
      <c r="K697" s="16"/>
    </row>
    <row r="698" spans="1:11" ht="409.5" hidden="1" x14ac:dyDescent="0.25">
      <c r="A698" s="22">
        <v>695</v>
      </c>
      <c r="B698" s="16" t="s">
        <v>3033</v>
      </c>
      <c r="C698" s="16" t="s">
        <v>3034</v>
      </c>
      <c r="D698" s="16">
        <v>20000000</v>
      </c>
      <c r="E698" s="16">
        <v>2</v>
      </c>
      <c r="F698" s="16">
        <v>2</v>
      </c>
      <c r="G698" s="21" t="s">
        <v>2807</v>
      </c>
      <c r="H698" s="16"/>
      <c r="I698" s="16" t="s">
        <v>3035</v>
      </c>
      <c r="J698" s="16" t="s">
        <v>3036</v>
      </c>
      <c r="K698" s="16" t="s">
        <v>2421</v>
      </c>
    </row>
    <row r="699" spans="1:11" ht="300" hidden="1" x14ac:dyDescent="0.25">
      <c r="A699" s="22">
        <v>696</v>
      </c>
      <c r="B699" s="16" t="s">
        <v>3037</v>
      </c>
      <c r="C699" s="16" t="s">
        <v>3038</v>
      </c>
      <c r="D699" s="16">
        <v>15000000</v>
      </c>
      <c r="E699" s="16">
        <v>1</v>
      </c>
      <c r="F699" s="16">
        <v>4</v>
      </c>
      <c r="G699" s="21" t="s">
        <v>2807</v>
      </c>
      <c r="H699" s="16"/>
      <c r="I699" s="16" t="s">
        <v>3039</v>
      </c>
      <c r="J699" s="16" t="s">
        <v>3040</v>
      </c>
      <c r="K699" s="16" t="s">
        <v>3041</v>
      </c>
    </row>
    <row r="700" spans="1:11" ht="105" hidden="1" x14ac:dyDescent="0.25">
      <c r="A700" s="22">
        <v>697</v>
      </c>
      <c r="B700" s="16" t="s">
        <v>3042</v>
      </c>
      <c r="C700" s="16" t="s">
        <v>3043</v>
      </c>
      <c r="D700" s="16">
        <v>10145000</v>
      </c>
      <c r="E700" s="16">
        <v>2</v>
      </c>
      <c r="F700" s="16">
        <v>2</v>
      </c>
      <c r="G700" s="21" t="s">
        <v>2807</v>
      </c>
      <c r="H700" s="16"/>
      <c r="I700" s="16" t="s">
        <v>2584</v>
      </c>
      <c r="J700" s="16" t="s">
        <v>3044</v>
      </c>
      <c r="K700" s="16" t="s">
        <v>3045</v>
      </c>
    </row>
    <row r="701" spans="1:11" ht="90" hidden="1" x14ac:dyDescent="0.25">
      <c r="A701" s="22">
        <v>698</v>
      </c>
      <c r="B701" s="16" t="s">
        <v>3046</v>
      </c>
      <c r="C701" s="16" t="s">
        <v>3047</v>
      </c>
      <c r="D701" s="16">
        <v>16200000</v>
      </c>
      <c r="E701" s="16">
        <v>2</v>
      </c>
      <c r="F701" s="16">
        <v>2</v>
      </c>
      <c r="G701" s="21" t="s">
        <v>2807</v>
      </c>
      <c r="H701" s="16"/>
      <c r="I701" s="16" t="s">
        <v>3048</v>
      </c>
      <c r="J701" s="16" t="s">
        <v>3049</v>
      </c>
      <c r="K701" s="16" t="s">
        <v>3050</v>
      </c>
    </row>
    <row r="702" spans="1:11" ht="105" hidden="1" x14ac:dyDescent="0.25">
      <c r="A702" s="22">
        <v>699</v>
      </c>
      <c r="B702" s="16" t="s">
        <v>3051</v>
      </c>
      <c r="C702" s="16" t="s">
        <v>3052</v>
      </c>
      <c r="D702" s="16">
        <v>10100000</v>
      </c>
      <c r="E702" s="16">
        <v>2</v>
      </c>
      <c r="F702" s="16">
        <v>2</v>
      </c>
      <c r="G702" s="21" t="s">
        <v>2807</v>
      </c>
      <c r="H702" s="16"/>
      <c r="I702" s="16" t="s">
        <v>3053</v>
      </c>
      <c r="J702" s="16" t="s">
        <v>3054</v>
      </c>
      <c r="K702" s="16" t="s">
        <v>3055</v>
      </c>
    </row>
    <row r="703" spans="1:11" ht="120" hidden="1" x14ac:dyDescent="0.25">
      <c r="A703" s="22">
        <v>700</v>
      </c>
      <c r="B703" s="16" t="s">
        <v>3056</v>
      </c>
      <c r="C703" s="16" t="s">
        <v>3057</v>
      </c>
      <c r="D703" s="16">
        <v>28330000</v>
      </c>
      <c r="E703" s="16">
        <v>1</v>
      </c>
      <c r="F703" s="16">
        <v>3</v>
      </c>
      <c r="G703" s="21" t="s">
        <v>2807</v>
      </c>
      <c r="H703" s="16"/>
      <c r="I703" s="16" t="s">
        <v>3058</v>
      </c>
      <c r="J703" s="16" t="s">
        <v>3059</v>
      </c>
      <c r="K703" s="16" t="s">
        <v>3060</v>
      </c>
    </row>
    <row r="704" spans="1:11" ht="165" hidden="1" x14ac:dyDescent="0.25">
      <c r="A704" s="22">
        <v>701</v>
      </c>
      <c r="B704" s="16" t="s">
        <v>3061</v>
      </c>
      <c r="C704" s="16" t="s">
        <v>3062</v>
      </c>
      <c r="D704" s="16">
        <v>29840000</v>
      </c>
      <c r="E704" s="16">
        <v>2</v>
      </c>
      <c r="F704" s="16">
        <v>2</v>
      </c>
      <c r="G704" s="21" t="s">
        <v>2807</v>
      </c>
      <c r="H704" s="16"/>
      <c r="I704" s="16" t="s">
        <v>3063</v>
      </c>
      <c r="J704" s="16" t="s">
        <v>3064</v>
      </c>
      <c r="K704" s="16" t="s">
        <v>3065</v>
      </c>
    </row>
    <row r="705" spans="1:11" ht="120" hidden="1" x14ac:dyDescent="0.25">
      <c r="A705" s="22">
        <v>702</v>
      </c>
      <c r="B705" s="16" t="s">
        <v>3066</v>
      </c>
      <c r="C705" s="16" t="s">
        <v>3067</v>
      </c>
      <c r="D705" s="16">
        <v>34400000</v>
      </c>
      <c r="E705" s="16">
        <v>1</v>
      </c>
      <c r="F705" s="16">
        <v>1</v>
      </c>
      <c r="G705" s="21" t="s">
        <v>2807</v>
      </c>
      <c r="H705" s="16"/>
      <c r="I705" s="16" t="s">
        <v>3068</v>
      </c>
      <c r="J705" s="16" t="s">
        <v>3069</v>
      </c>
      <c r="K705" s="16" t="s">
        <v>3070</v>
      </c>
    </row>
    <row r="706" spans="1:11" ht="120" hidden="1" x14ac:dyDescent="0.25">
      <c r="A706" s="22">
        <v>703</v>
      </c>
      <c r="B706" s="16" t="s">
        <v>3071</v>
      </c>
      <c r="C706" s="16" t="s">
        <v>3072</v>
      </c>
      <c r="D706" s="16">
        <v>6851000</v>
      </c>
      <c r="E706" s="16">
        <v>1</v>
      </c>
      <c r="F706" s="16">
        <v>1</v>
      </c>
      <c r="G706" s="21" t="s">
        <v>2807</v>
      </c>
      <c r="H706" s="16"/>
      <c r="I706" s="16" t="s">
        <v>3073</v>
      </c>
      <c r="J706" s="16" t="s">
        <v>3074</v>
      </c>
      <c r="K706" s="16" t="s">
        <v>3075</v>
      </c>
    </row>
    <row r="707" spans="1:11" ht="225" hidden="1" x14ac:dyDescent="0.25">
      <c r="A707" s="22">
        <v>704</v>
      </c>
      <c r="B707" s="16" t="s">
        <v>3076</v>
      </c>
      <c r="C707" s="16" t="s">
        <v>3077</v>
      </c>
      <c r="D707" s="16">
        <v>62435000</v>
      </c>
      <c r="E707" s="16">
        <v>1</v>
      </c>
      <c r="F707" s="16">
        <v>1</v>
      </c>
      <c r="G707" s="21" t="s">
        <v>2807</v>
      </c>
      <c r="H707" s="16"/>
      <c r="I707" s="16" t="s">
        <v>3078</v>
      </c>
      <c r="J707" s="16" t="s">
        <v>3079</v>
      </c>
      <c r="K707" s="16" t="s">
        <v>3080</v>
      </c>
    </row>
    <row r="708" spans="1:11" ht="240" hidden="1" x14ac:dyDescent="0.25">
      <c r="A708" s="22">
        <v>705</v>
      </c>
      <c r="B708" s="16" t="s">
        <v>3081</v>
      </c>
      <c r="C708" s="16" t="s">
        <v>3082</v>
      </c>
      <c r="D708" s="16">
        <v>230275000</v>
      </c>
      <c r="E708" s="16">
        <v>1</v>
      </c>
      <c r="F708" s="16">
        <v>5</v>
      </c>
      <c r="G708" s="21" t="s">
        <v>2807</v>
      </c>
      <c r="H708" s="16"/>
      <c r="I708" s="16" t="s">
        <v>3083</v>
      </c>
      <c r="J708" s="16" t="s">
        <v>3084</v>
      </c>
      <c r="K708" s="16" t="s">
        <v>3085</v>
      </c>
    </row>
    <row r="709" spans="1:11" ht="315" hidden="1" x14ac:dyDescent="0.25">
      <c r="A709" s="22">
        <v>706</v>
      </c>
      <c r="B709" s="16" t="s">
        <v>3086</v>
      </c>
      <c r="C709" s="16" t="s">
        <v>3087</v>
      </c>
      <c r="D709" s="16">
        <v>89905000</v>
      </c>
      <c r="E709" s="16">
        <v>1</v>
      </c>
      <c r="F709" s="16">
        <v>3</v>
      </c>
      <c r="G709" s="21" t="s">
        <v>2807</v>
      </c>
      <c r="H709" s="16"/>
      <c r="I709" s="16" t="s">
        <v>3088</v>
      </c>
      <c r="J709" s="16" t="s">
        <v>3089</v>
      </c>
      <c r="K709" s="16" t="s">
        <v>3090</v>
      </c>
    </row>
    <row r="710" spans="1:11" ht="270" hidden="1" x14ac:dyDescent="0.25">
      <c r="A710" s="22">
        <v>707</v>
      </c>
      <c r="B710" s="16" t="s">
        <v>3091</v>
      </c>
      <c r="C710" s="16" t="s">
        <v>3092</v>
      </c>
      <c r="D710" s="16">
        <v>181150000</v>
      </c>
      <c r="E710" s="16">
        <v>1</v>
      </c>
      <c r="F710" s="16">
        <v>5</v>
      </c>
      <c r="G710" s="21" t="s">
        <v>2807</v>
      </c>
      <c r="H710" s="16"/>
      <c r="I710" s="16" t="s">
        <v>3093</v>
      </c>
      <c r="J710" s="16" t="s">
        <v>3094</v>
      </c>
      <c r="K710" s="16" t="s">
        <v>3095</v>
      </c>
    </row>
    <row r="711" spans="1:11" ht="240" hidden="1" x14ac:dyDescent="0.25">
      <c r="A711" s="22">
        <v>708</v>
      </c>
      <c r="B711" s="16" t="s">
        <v>3096</v>
      </c>
      <c r="C711" s="16" t="s">
        <v>3097</v>
      </c>
      <c r="D711" s="16">
        <v>1491000000</v>
      </c>
      <c r="E711" s="16">
        <v>1</v>
      </c>
      <c r="F711" s="16">
        <v>5</v>
      </c>
      <c r="G711" s="21" t="s">
        <v>2807</v>
      </c>
      <c r="H711" s="16"/>
      <c r="I711" s="16" t="s">
        <v>3098</v>
      </c>
      <c r="J711" s="16" t="s">
        <v>2626</v>
      </c>
      <c r="K711" s="16" t="s">
        <v>753</v>
      </c>
    </row>
    <row r="712" spans="1:11" ht="300" hidden="1" x14ac:dyDescent="0.25">
      <c r="A712" s="22">
        <v>709</v>
      </c>
      <c r="B712" s="16" t="s">
        <v>3099</v>
      </c>
      <c r="C712" s="16" t="s">
        <v>3100</v>
      </c>
      <c r="D712" s="16">
        <v>150000000</v>
      </c>
      <c r="E712" s="16">
        <v>2</v>
      </c>
      <c r="F712" s="16">
        <v>2</v>
      </c>
      <c r="G712" s="21" t="s">
        <v>2807</v>
      </c>
      <c r="H712" s="16"/>
      <c r="I712" s="16" t="s">
        <v>3101</v>
      </c>
      <c r="J712" s="16" t="s">
        <v>3102</v>
      </c>
      <c r="K712" s="16" t="s">
        <v>788</v>
      </c>
    </row>
    <row r="713" spans="1:11" ht="270" hidden="1" x14ac:dyDescent="0.25">
      <c r="A713" s="22">
        <v>710</v>
      </c>
      <c r="B713" s="16" t="s">
        <v>3103</v>
      </c>
      <c r="C713" s="16" t="s">
        <v>3104</v>
      </c>
      <c r="D713" s="16">
        <v>78662790000</v>
      </c>
      <c r="E713" s="16">
        <v>1</v>
      </c>
      <c r="F713" s="16">
        <v>4</v>
      </c>
      <c r="G713" s="21" t="s">
        <v>2807</v>
      </c>
      <c r="H713" s="16"/>
      <c r="I713" s="16" t="s">
        <v>3105</v>
      </c>
      <c r="J713" s="16" t="s">
        <v>3106</v>
      </c>
      <c r="K713" s="16" t="s">
        <v>753</v>
      </c>
    </row>
    <row r="714" spans="1:11" ht="270" hidden="1" x14ac:dyDescent="0.25">
      <c r="A714" s="22">
        <v>711</v>
      </c>
      <c r="B714" s="16" t="s">
        <v>3107</v>
      </c>
      <c r="C714" s="16" t="s">
        <v>3108</v>
      </c>
      <c r="D714" s="16">
        <v>78662790000</v>
      </c>
      <c r="E714" s="16">
        <v>1</v>
      </c>
      <c r="F714" s="16">
        <v>4</v>
      </c>
      <c r="G714" s="21" t="s">
        <v>2807</v>
      </c>
      <c r="H714" s="16"/>
      <c r="I714" s="16" t="s">
        <v>3105</v>
      </c>
      <c r="J714" s="16" t="s">
        <v>3106</v>
      </c>
      <c r="K714" s="16" t="s">
        <v>753</v>
      </c>
    </row>
    <row r="715" spans="1:11" ht="240" hidden="1" x14ac:dyDescent="0.25">
      <c r="A715" s="22">
        <v>712</v>
      </c>
      <c r="B715" s="16" t="s">
        <v>3109</v>
      </c>
      <c r="C715" s="16" t="s">
        <v>3110</v>
      </c>
      <c r="D715" s="16">
        <v>1491000000</v>
      </c>
      <c r="E715" s="16">
        <v>1</v>
      </c>
      <c r="F715" s="16">
        <v>5</v>
      </c>
      <c r="G715" s="21" t="s">
        <v>2807</v>
      </c>
      <c r="H715" s="16"/>
      <c r="I715" s="16" t="s">
        <v>3098</v>
      </c>
      <c r="J715" s="16" t="s">
        <v>2626</v>
      </c>
      <c r="K715" s="16" t="s">
        <v>753</v>
      </c>
    </row>
    <row r="716" spans="1:11" ht="285" hidden="1" x14ac:dyDescent="0.25">
      <c r="A716" s="22">
        <v>713</v>
      </c>
      <c r="B716" s="16" t="s">
        <v>3111</v>
      </c>
      <c r="C716" s="16" t="s">
        <v>3112</v>
      </c>
      <c r="D716" s="16">
        <v>47155000</v>
      </c>
      <c r="E716" s="16">
        <v>2</v>
      </c>
      <c r="F716" s="16">
        <v>2</v>
      </c>
      <c r="G716" s="21" t="s">
        <v>2807</v>
      </c>
      <c r="H716" s="16"/>
      <c r="I716" s="16" t="s">
        <v>3113</v>
      </c>
      <c r="J716" s="16" t="s">
        <v>3114</v>
      </c>
      <c r="K716" s="16" t="s">
        <v>3115</v>
      </c>
    </row>
    <row r="717" spans="1:11" ht="225" hidden="1" x14ac:dyDescent="0.25">
      <c r="A717" s="22">
        <v>714</v>
      </c>
      <c r="B717" s="16" t="s">
        <v>3116</v>
      </c>
      <c r="C717" s="16" t="s">
        <v>3117</v>
      </c>
      <c r="D717" s="16">
        <v>47535000</v>
      </c>
      <c r="E717" s="16">
        <v>1</v>
      </c>
      <c r="F717" s="16">
        <v>1</v>
      </c>
      <c r="G717" s="21" t="s">
        <v>2807</v>
      </c>
      <c r="H717" s="16"/>
      <c r="I717" s="16" t="s">
        <v>3118</v>
      </c>
      <c r="J717" s="16" t="s">
        <v>3119</v>
      </c>
      <c r="K717" s="16" t="s">
        <v>2761</v>
      </c>
    </row>
  </sheetData>
  <autoFilter ref="B3:K717" xr:uid="{22330958-A91F-47B9-BB27-CA44F383C25A}">
    <filterColumn colId="0">
      <filters>
        <filter val="D-III   Teknik Listrik-1"/>
        <filter val="D-III  Teknik Elektronika-1"/>
        <filter val="D-III  Teknik Telekomunikasi-1"/>
      </filters>
    </filterColumn>
  </autoFilter>
  <mergeCells count="1">
    <mergeCell ref="B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FAC-03E8-42CD-A11D-6F8BA105E399}">
  <sheetPr filterMode="1"/>
  <dimension ref="A1:L75"/>
  <sheetViews>
    <sheetView zoomScaleNormal="100" workbookViewId="0">
      <selection activeCell="G50" sqref="G50"/>
    </sheetView>
  </sheetViews>
  <sheetFormatPr defaultColWidth="8.85546875" defaultRowHeight="18.75" x14ac:dyDescent="0.25"/>
  <cols>
    <col min="1" max="1" width="8.85546875" style="26"/>
    <col min="2" max="11" width="20" style="14" customWidth="1"/>
    <col min="12" max="16384" width="8.85546875" style="14"/>
  </cols>
  <sheetData>
    <row r="1" spans="1:12" x14ac:dyDescent="0.3">
      <c r="B1" s="215" t="s">
        <v>18</v>
      </c>
      <c r="C1" s="216"/>
      <c r="D1" s="216"/>
      <c r="E1" s="216"/>
      <c r="F1" s="216"/>
      <c r="G1" s="216"/>
      <c r="H1" s="216"/>
      <c r="I1" s="216"/>
      <c r="J1" s="216"/>
      <c r="K1" s="216"/>
    </row>
    <row r="3" spans="1:12" x14ac:dyDescent="0.25">
      <c r="B3" s="15" t="s">
        <v>19</v>
      </c>
      <c r="C3" s="15" t="s">
        <v>20</v>
      </c>
      <c r="D3" s="15" t="s">
        <v>21</v>
      </c>
      <c r="E3" s="15" t="s">
        <v>22</v>
      </c>
      <c r="F3" s="15" t="s">
        <v>23</v>
      </c>
      <c r="G3" s="15" t="s">
        <v>24</v>
      </c>
      <c r="H3" s="15" t="s">
        <v>25</v>
      </c>
      <c r="I3" s="15" t="s">
        <v>26</v>
      </c>
      <c r="J3" s="15" t="s">
        <v>27</v>
      </c>
      <c r="K3" s="15" t="s">
        <v>28</v>
      </c>
    </row>
    <row r="4" spans="1:12" ht="285" hidden="1" x14ac:dyDescent="0.25">
      <c r="A4" s="22">
        <v>18</v>
      </c>
      <c r="B4" s="16" t="s">
        <v>106</v>
      </c>
      <c r="C4" s="16" t="s">
        <v>107</v>
      </c>
      <c r="D4" s="16">
        <v>204269000</v>
      </c>
      <c r="E4" s="16">
        <v>4</v>
      </c>
      <c r="F4" s="16">
        <v>4</v>
      </c>
      <c r="G4" s="18" t="s">
        <v>108</v>
      </c>
      <c r="H4" s="16"/>
      <c r="I4" s="16" t="s">
        <v>109</v>
      </c>
      <c r="J4" s="16" t="s">
        <v>110</v>
      </c>
      <c r="K4" s="16" t="s">
        <v>111</v>
      </c>
      <c r="L4" s="26">
        <v>1</v>
      </c>
    </row>
    <row r="5" spans="1:12" ht="240" hidden="1" x14ac:dyDescent="0.25">
      <c r="A5" s="22">
        <v>19</v>
      </c>
      <c r="B5" s="16" t="s">
        <v>112</v>
      </c>
      <c r="C5" s="16" t="s">
        <v>113</v>
      </c>
      <c r="D5" s="16">
        <v>122758000</v>
      </c>
      <c r="E5" s="16">
        <v>4</v>
      </c>
      <c r="F5" s="16">
        <v>4</v>
      </c>
      <c r="G5" s="18" t="s">
        <v>108</v>
      </c>
      <c r="H5" s="16"/>
      <c r="I5" s="16" t="s">
        <v>114</v>
      </c>
      <c r="J5" s="16" t="s">
        <v>115</v>
      </c>
      <c r="K5" s="16" t="s">
        <v>116</v>
      </c>
      <c r="L5" s="26">
        <v>2</v>
      </c>
    </row>
    <row r="6" spans="1:12" ht="240" hidden="1" x14ac:dyDescent="0.25">
      <c r="A6" s="22">
        <v>20</v>
      </c>
      <c r="B6" s="16" t="s">
        <v>117</v>
      </c>
      <c r="C6" s="16" t="s">
        <v>118</v>
      </c>
      <c r="D6" s="16">
        <v>47600000</v>
      </c>
      <c r="E6" s="16">
        <v>4</v>
      </c>
      <c r="F6" s="16">
        <v>5</v>
      </c>
      <c r="G6" s="18" t="s">
        <v>108</v>
      </c>
      <c r="H6" s="16"/>
      <c r="I6" s="16" t="s">
        <v>119</v>
      </c>
      <c r="J6" s="16" t="s">
        <v>120</v>
      </c>
      <c r="K6" s="16" t="s">
        <v>121</v>
      </c>
      <c r="L6" s="26">
        <v>3</v>
      </c>
    </row>
    <row r="7" spans="1:12" ht="210" hidden="1" x14ac:dyDescent="0.25">
      <c r="A7" s="22">
        <v>21</v>
      </c>
      <c r="B7" s="16" t="s">
        <v>122</v>
      </c>
      <c r="C7" s="16" t="s">
        <v>123</v>
      </c>
      <c r="D7" s="16">
        <v>17240000</v>
      </c>
      <c r="E7" s="16">
        <v>4</v>
      </c>
      <c r="F7" s="16">
        <v>5</v>
      </c>
      <c r="G7" s="18" t="s">
        <v>108</v>
      </c>
      <c r="H7" s="16"/>
      <c r="I7" s="16" t="s">
        <v>124</v>
      </c>
      <c r="J7" s="16" t="s">
        <v>125</v>
      </c>
      <c r="K7" s="16" t="s">
        <v>126</v>
      </c>
      <c r="L7" s="26">
        <v>4</v>
      </c>
    </row>
    <row r="8" spans="1:12" ht="240" hidden="1" x14ac:dyDescent="0.25">
      <c r="A8" s="22">
        <v>22</v>
      </c>
      <c r="B8" s="16" t="s">
        <v>127</v>
      </c>
      <c r="C8" s="16" t="s">
        <v>128</v>
      </c>
      <c r="D8" s="16">
        <v>11312000</v>
      </c>
      <c r="E8" s="16">
        <v>4</v>
      </c>
      <c r="F8" s="16">
        <v>5</v>
      </c>
      <c r="G8" s="18" t="s">
        <v>108</v>
      </c>
      <c r="H8" s="16"/>
      <c r="I8" s="16" t="s">
        <v>129</v>
      </c>
      <c r="J8" s="16" t="s">
        <v>130</v>
      </c>
      <c r="K8" s="16" t="s">
        <v>131</v>
      </c>
      <c r="L8" s="26">
        <v>5</v>
      </c>
    </row>
    <row r="9" spans="1:12" ht="240" hidden="1" x14ac:dyDescent="0.25">
      <c r="A9" s="22">
        <v>23</v>
      </c>
      <c r="B9" s="16" t="s">
        <v>132</v>
      </c>
      <c r="C9" s="16" t="s">
        <v>133</v>
      </c>
      <c r="D9" s="16">
        <v>11312000</v>
      </c>
      <c r="E9" s="16">
        <v>4</v>
      </c>
      <c r="F9" s="16">
        <v>5</v>
      </c>
      <c r="G9" s="18" t="s">
        <v>108</v>
      </c>
      <c r="H9" s="16"/>
      <c r="I9" s="16" t="s">
        <v>129</v>
      </c>
      <c r="J9" s="16" t="s">
        <v>130</v>
      </c>
      <c r="K9" s="16" t="s">
        <v>131</v>
      </c>
      <c r="L9" s="26">
        <v>6</v>
      </c>
    </row>
    <row r="10" spans="1:12" ht="240" hidden="1" x14ac:dyDescent="0.25">
      <c r="A10" s="22">
        <v>24</v>
      </c>
      <c r="B10" s="16" t="s">
        <v>134</v>
      </c>
      <c r="C10" s="16" t="s">
        <v>135</v>
      </c>
      <c r="D10" s="16">
        <v>29470000</v>
      </c>
      <c r="E10" s="16">
        <v>4</v>
      </c>
      <c r="F10" s="16">
        <v>5</v>
      </c>
      <c r="G10" s="18" t="s">
        <v>108</v>
      </c>
      <c r="H10" s="16"/>
      <c r="I10" s="16" t="s">
        <v>136</v>
      </c>
      <c r="J10" s="16" t="s">
        <v>120</v>
      </c>
      <c r="K10" s="16" t="s">
        <v>137</v>
      </c>
      <c r="L10" s="26">
        <v>7</v>
      </c>
    </row>
    <row r="11" spans="1:12" ht="270" hidden="1" x14ac:dyDescent="0.25">
      <c r="A11" s="22">
        <v>25</v>
      </c>
      <c r="B11" s="16" t="s">
        <v>138</v>
      </c>
      <c r="C11" s="16" t="s">
        <v>139</v>
      </c>
      <c r="D11" s="16">
        <v>139690303</v>
      </c>
      <c r="E11" s="16">
        <v>4</v>
      </c>
      <c r="F11" s="16">
        <v>5</v>
      </c>
      <c r="G11" s="18" t="s">
        <v>108</v>
      </c>
      <c r="H11" s="16"/>
      <c r="I11" s="16" t="s">
        <v>140</v>
      </c>
      <c r="J11" s="16" t="s">
        <v>141</v>
      </c>
      <c r="K11" s="16" t="s">
        <v>142</v>
      </c>
      <c r="L11" s="26">
        <v>8</v>
      </c>
    </row>
    <row r="12" spans="1:12" ht="255" hidden="1" x14ac:dyDescent="0.25">
      <c r="A12" s="22">
        <v>193</v>
      </c>
      <c r="B12" s="16" t="s">
        <v>902</v>
      </c>
      <c r="C12" s="16" t="s">
        <v>903</v>
      </c>
      <c r="D12" s="16">
        <v>29851000</v>
      </c>
      <c r="E12" s="16">
        <v>3</v>
      </c>
      <c r="F12" s="16">
        <v>5</v>
      </c>
      <c r="G12" s="19" t="s">
        <v>842</v>
      </c>
      <c r="H12" s="16"/>
      <c r="I12" s="16" t="s">
        <v>904</v>
      </c>
      <c r="J12" s="16" t="s">
        <v>905</v>
      </c>
      <c r="K12" s="16" t="s">
        <v>906</v>
      </c>
      <c r="L12" s="26">
        <v>9</v>
      </c>
    </row>
    <row r="13" spans="1:12" ht="225" hidden="1" x14ac:dyDescent="0.25">
      <c r="A13" s="22">
        <v>1</v>
      </c>
      <c r="B13" s="16" t="s">
        <v>29</v>
      </c>
      <c r="C13" s="16" t="s">
        <v>30</v>
      </c>
      <c r="D13" s="16">
        <v>15790000</v>
      </c>
      <c r="E13" s="16">
        <v>5</v>
      </c>
      <c r="F13" s="16">
        <v>5</v>
      </c>
      <c r="G13" s="17" t="s">
        <v>31</v>
      </c>
      <c r="H13" s="16"/>
      <c r="I13" s="16" t="s">
        <v>32</v>
      </c>
      <c r="J13" s="16" t="s">
        <v>33</v>
      </c>
      <c r="K13" s="16" t="s">
        <v>34</v>
      </c>
      <c r="L13" s="26">
        <v>10</v>
      </c>
    </row>
    <row r="14" spans="1:12" ht="225" hidden="1" x14ac:dyDescent="0.25">
      <c r="A14" s="22">
        <v>2</v>
      </c>
      <c r="B14" s="16" t="s">
        <v>35</v>
      </c>
      <c r="C14" s="16" t="s">
        <v>36</v>
      </c>
      <c r="D14" s="16">
        <v>8320000</v>
      </c>
      <c r="E14" s="16">
        <v>5</v>
      </c>
      <c r="F14" s="16">
        <v>5</v>
      </c>
      <c r="G14" s="17" t="s">
        <v>31</v>
      </c>
      <c r="H14" s="16"/>
      <c r="I14" s="16" t="s">
        <v>32</v>
      </c>
      <c r="J14" s="16" t="s">
        <v>33</v>
      </c>
      <c r="K14" s="16" t="s">
        <v>34</v>
      </c>
      <c r="L14" s="26">
        <v>11</v>
      </c>
    </row>
    <row r="15" spans="1:12" ht="270" hidden="1" x14ac:dyDescent="0.25">
      <c r="A15" s="22">
        <v>26</v>
      </c>
      <c r="B15" s="16" t="s">
        <v>143</v>
      </c>
      <c r="C15" s="16" t="s">
        <v>144</v>
      </c>
      <c r="D15" s="16">
        <v>45000000</v>
      </c>
      <c r="E15" s="16">
        <v>4</v>
      </c>
      <c r="F15" s="16">
        <v>5</v>
      </c>
      <c r="G15" s="18" t="s">
        <v>108</v>
      </c>
      <c r="H15" s="16"/>
      <c r="I15" s="16" t="s">
        <v>145</v>
      </c>
      <c r="J15" s="16" t="s">
        <v>146</v>
      </c>
      <c r="K15" s="16" t="s">
        <v>147</v>
      </c>
      <c r="L15" s="26">
        <v>12</v>
      </c>
    </row>
    <row r="16" spans="1:12" ht="240" hidden="1" x14ac:dyDescent="0.25">
      <c r="A16" s="22">
        <v>27</v>
      </c>
      <c r="B16" s="16" t="s">
        <v>148</v>
      </c>
      <c r="C16" s="16" t="s">
        <v>149</v>
      </c>
      <c r="D16" s="16">
        <v>22190700</v>
      </c>
      <c r="E16" s="16">
        <v>4</v>
      </c>
      <c r="F16" s="16">
        <v>5</v>
      </c>
      <c r="G16" s="18" t="s">
        <v>108</v>
      </c>
      <c r="H16" s="16"/>
      <c r="I16" s="16" t="s">
        <v>119</v>
      </c>
      <c r="J16" s="16" t="s">
        <v>120</v>
      </c>
      <c r="K16" s="16" t="s">
        <v>121</v>
      </c>
      <c r="L16" s="26">
        <v>13</v>
      </c>
    </row>
    <row r="17" spans="1:12" ht="225" hidden="1" x14ac:dyDescent="0.25">
      <c r="A17" s="22">
        <v>28</v>
      </c>
      <c r="B17" s="16" t="s">
        <v>150</v>
      </c>
      <c r="C17" s="16" t="s">
        <v>151</v>
      </c>
      <c r="D17" s="16">
        <v>17315000</v>
      </c>
      <c r="E17" s="16">
        <v>4</v>
      </c>
      <c r="F17" s="16">
        <v>4</v>
      </c>
      <c r="G17" s="18" t="s">
        <v>108</v>
      </c>
      <c r="H17" s="16"/>
      <c r="I17" s="16" t="s">
        <v>152</v>
      </c>
      <c r="J17" s="16" t="s">
        <v>153</v>
      </c>
      <c r="K17" s="16" t="s">
        <v>154</v>
      </c>
      <c r="L17" s="26">
        <v>14</v>
      </c>
    </row>
    <row r="18" spans="1:12" ht="240" hidden="1" x14ac:dyDescent="0.25">
      <c r="A18" s="22">
        <v>29</v>
      </c>
      <c r="B18" s="16" t="s">
        <v>155</v>
      </c>
      <c r="C18" s="16" t="s">
        <v>156</v>
      </c>
      <c r="D18" s="16">
        <v>13295000</v>
      </c>
      <c r="E18" s="16">
        <v>4</v>
      </c>
      <c r="F18" s="16">
        <v>4</v>
      </c>
      <c r="G18" s="18" t="s">
        <v>108</v>
      </c>
      <c r="H18" s="16"/>
      <c r="I18" s="16" t="s">
        <v>157</v>
      </c>
      <c r="J18" s="16" t="s">
        <v>158</v>
      </c>
      <c r="K18" s="16" t="s">
        <v>159</v>
      </c>
      <c r="L18" s="26">
        <v>15</v>
      </c>
    </row>
    <row r="19" spans="1:12" ht="285" hidden="1" x14ac:dyDescent="0.25">
      <c r="A19" s="22">
        <v>30</v>
      </c>
      <c r="B19" s="16" t="s">
        <v>160</v>
      </c>
      <c r="C19" s="16" t="s">
        <v>161</v>
      </c>
      <c r="D19" s="16">
        <v>37675000</v>
      </c>
      <c r="E19" s="16">
        <v>4</v>
      </c>
      <c r="F19" s="16">
        <v>4</v>
      </c>
      <c r="G19" s="18" t="s">
        <v>108</v>
      </c>
      <c r="H19" s="16"/>
      <c r="I19" s="16" t="s">
        <v>162</v>
      </c>
      <c r="J19" s="16" t="s">
        <v>163</v>
      </c>
      <c r="K19" s="16" t="s">
        <v>164</v>
      </c>
      <c r="L19" s="26">
        <v>16</v>
      </c>
    </row>
    <row r="20" spans="1:12" ht="409.5" hidden="1" x14ac:dyDescent="0.25">
      <c r="A20" s="22">
        <v>31</v>
      </c>
      <c r="B20" s="16" t="s">
        <v>165</v>
      </c>
      <c r="C20" s="16" t="s">
        <v>166</v>
      </c>
      <c r="D20" s="16">
        <v>26095000</v>
      </c>
      <c r="E20" s="16">
        <v>4</v>
      </c>
      <c r="F20" s="16">
        <v>4</v>
      </c>
      <c r="G20" s="18" t="s">
        <v>108</v>
      </c>
      <c r="H20" s="16"/>
      <c r="I20" s="16" t="s">
        <v>167</v>
      </c>
      <c r="J20" s="16" t="s">
        <v>168</v>
      </c>
      <c r="K20" s="16" t="s">
        <v>169</v>
      </c>
      <c r="L20" s="26">
        <v>17</v>
      </c>
    </row>
    <row r="21" spans="1:12" ht="345" hidden="1" x14ac:dyDescent="0.25">
      <c r="A21" s="22">
        <v>32</v>
      </c>
      <c r="B21" s="16" t="s">
        <v>170</v>
      </c>
      <c r="C21" s="16" t="s">
        <v>171</v>
      </c>
      <c r="D21" s="16">
        <v>43415000</v>
      </c>
      <c r="E21" s="16">
        <v>4</v>
      </c>
      <c r="F21" s="16">
        <v>4</v>
      </c>
      <c r="G21" s="18" t="s">
        <v>108</v>
      </c>
      <c r="H21" s="16"/>
      <c r="I21" s="16" t="s">
        <v>172</v>
      </c>
      <c r="J21" s="16" t="s">
        <v>173</v>
      </c>
      <c r="K21" s="16" t="s">
        <v>174</v>
      </c>
      <c r="L21" s="26">
        <v>18</v>
      </c>
    </row>
    <row r="22" spans="1:12" ht="390" hidden="1" x14ac:dyDescent="0.25">
      <c r="A22" s="22">
        <v>33</v>
      </c>
      <c r="B22" s="16" t="s">
        <v>175</v>
      </c>
      <c r="C22" s="16" t="s">
        <v>176</v>
      </c>
      <c r="D22" s="16">
        <v>26147000</v>
      </c>
      <c r="E22" s="16">
        <v>4</v>
      </c>
      <c r="F22" s="16">
        <v>4</v>
      </c>
      <c r="G22" s="18" t="s">
        <v>108</v>
      </c>
      <c r="H22" s="16"/>
      <c r="I22" s="16" t="s">
        <v>177</v>
      </c>
      <c r="J22" s="16" t="s">
        <v>178</v>
      </c>
      <c r="K22" s="16" t="s">
        <v>179</v>
      </c>
      <c r="L22" s="26">
        <v>19</v>
      </c>
    </row>
    <row r="23" spans="1:12" ht="285" hidden="1" x14ac:dyDescent="0.25">
      <c r="A23" s="22">
        <v>34</v>
      </c>
      <c r="B23" s="16" t="s">
        <v>180</v>
      </c>
      <c r="C23" s="16" t="s">
        <v>181</v>
      </c>
      <c r="D23" s="16">
        <v>25835000</v>
      </c>
      <c r="E23" s="16">
        <v>4</v>
      </c>
      <c r="F23" s="16">
        <v>4</v>
      </c>
      <c r="G23" s="18" t="s">
        <v>108</v>
      </c>
      <c r="H23" s="16"/>
      <c r="I23" s="16" t="s">
        <v>182</v>
      </c>
      <c r="J23" s="16" t="s">
        <v>183</v>
      </c>
      <c r="K23" s="16" t="s">
        <v>184</v>
      </c>
      <c r="L23" s="26">
        <v>20</v>
      </c>
    </row>
    <row r="24" spans="1:12" ht="285" hidden="1" x14ac:dyDescent="0.25">
      <c r="A24" s="22">
        <v>35</v>
      </c>
      <c r="B24" s="16" t="s">
        <v>185</v>
      </c>
      <c r="C24" s="16" t="s">
        <v>186</v>
      </c>
      <c r="D24" s="16">
        <v>17315000</v>
      </c>
      <c r="E24" s="16">
        <v>4</v>
      </c>
      <c r="F24" s="16">
        <v>4</v>
      </c>
      <c r="G24" s="18" t="s">
        <v>108</v>
      </c>
      <c r="H24" s="16"/>
      <c r="I24" s="16" t="s">
        <v>187</v>
      </c>
      <c r="J24" s="16" t="s">
        <v>188</v>
      </c>
      <c r="K24" s="16" t="s">
        <v>189</v>
      </c>
      <c r="L24" s="26">
        <v>21</v>
      </c>
    </row>
    <row r="25" spans="1:12" ht="225" hidden="1" x14ac:dyDescent="0.25">
      <c r="A25" s="22">
        <v>36</v>
      </c>
      <c r="B25" s="16" t="s">
        <v>190</v>
      </c>
      <c r="C25" s="16" t="s">
        <v>191</v>
      </c>
      <c r="D25" s="16">
        <v>21123000</v>
      </c>
      <c r="E25" s="16">
        <v>4</v>
      </c>
      <c r="F25" s="16">
        <v>4</v>
      </c>
      <c r="G25" s="18" t="s">
        <v>108</v>
      </c>
      <c r="H25" s="16"/>
      <c r="I25" s="16" t="s">
        <v>192</v>
      </c>
      <c r="J25" s="16" t="s">
        <v>193</v>
      </c>
      <c r="K25" s="16" t="s">
        <v>194</v>
      </c>
      <c r="L25" s="26">
        <v>22</v>
      </c>
    </row>
    <row r="26" spans="1:12" ht="409.5" hidden="1" x14ac:dyDescent="0.25">
      <c r="A26" s="22">
        <v>40</v>
      </c>
      <c r="B26" s="16" t="s">
        <v>210</v>
      </c>
      <c r="C26" s="16" t="s">
        <v>211</v>
      </c>
      <c r="D26" s="16">
        <v>190009000</v>
      </c>
      <c r="E26" s="16">
        <v>4</v>
      </c>
      <c r="F26" s="16">
        <v>5</v>
      </c>
      <c r="G26" s="18" t="s">
        <v>108</v>
      </c>
      <c r="H26" s="16"/>
      <c r="I26" s="16" t="s">
        <v>212</v>
      </c>
      <c r="J26" s="16" t="s">
        <v>212</v>
      </c>
      <c r="K26" s="16" t="s">
        <v>213</v>
      </c>
      <c r="L26" s="26">
        <v>23</v>
      </c>
    </row>
    <row r="27" spans="1:12" ht="225" hidden="1" x14ac:dyDescent="0.25">
      <c r="A27" s="22">
        <v>3</v>
      </c>
      <c r="B27" s="16" t="s">
        <v>37</v>
      </c>
      <c r="C27" s="16" t="s">
        <v>38</v>
      </c>
      <c r="D27" s="16">
        <v>28817500</v>
      </c>
      <c r="E27" s="16">
        <v>5</v>
      </c>
      <c r="F27" s="16">
        <v>5</v>
      </c>
      <c r="G27" s="17" t="s">
        <v>31</v>
      </c>
      <c r="H27" s="16"/>
      <c r="I27" s="16" t="s">
        <v>32</v>
      </c>
      <c r="J27" s="16" t="s">
        <v>33</v>
      </c>
      <c r="K27" s="16" t="s">
        <v>34</v>
      </c>
      <c r="L27" s="26">
        <v>24</v>
      </c>
    </row>
    <row r="28" spans="1:12" ht="300" hidden="1" x14ac:dyDescent="0.25">
      <c r="A28" s="22">
        <v>6</v>
      </c>
      <c r="B28" s="16" t="s">
        <v>49</v>
      </c>
      <c r="C28" s="16" t="s">
        <v>50</v>
      </c>
      <c r="D28" s="16">
        <v>40887000</v>
      </c>
      <c r="E28" s="16">
        <v>5</v>
      </c>
      <c r="F28" s="16">
        <v>5</v>
      </c>
      <c r="G28" s="17" t="s">
        <v>31</v>
      </c>
      <c r="H28" s="16"/>
      <c r="I28" s="16" t="s">
        <v>51</v>
      </c>
      <c r="J28" s="16" t="s">
        <v>52</v>
      </c>
      <c r="K28" s="16" t="s">
        <v>53</v>
      </c>
      <c r="L28" s="26">
        <v>25</v>
      </c>
    </row>
    <row r="29" spans="1:12" ht="330" hidden="1" x14ac:dyDescent="0.25">
      <c r="A29" s="22">
        <v>7</v>
      </c>
      <c r="B29" s="16" t="s">
        <v>54</v>
      </c>
      <c r="C29" s="16" t="s">
        <v>55</v>
      </c>
      <c r="D29" s="16">
        <v>44084580</v>
      </c>
      <c r="E29" s="16">
        <v>5</v>
      </c>
      <c r="F29" s="16">
        <v>5</v>
      </c>
      <c r="G29" s="17" t="s">
        <v>31</v>
      </c>
      <c r="H29" s="16"/>
      <c r="I29" s="16" t="s">
        <v>56</v>
      </c>
      <c r="J29" s="16" t="s">
        <v>57</v>
      </c>
      <c r="K29" s="16" t="s">
        <v>58</v>
      </c>
      <c r="L29" s="26">
        <v>26</v>
      </c>
    </row>
    <row r="30" spans="1:12" ht="240" hidden="1" x14ac:dyDescent="0.25">
      <c r="A30" s="22">
        <v>4</v>
      </c>
      <c r="B30" s="16" t="s">
        <v>39</v>
      </c>
      <c r="C30" s="16" t="s">
        <v>40</v>
      </c>
      <c r="D30" s="16">
        <v>21845000</v>
      </c>
      <c r="E30" s="16">
        <v>5</v>
      </c>
      <c r="F30" s="16">
        <v>5</v>
      </c>
      <c r="G30" s="17" t="s">
        <v>31</v>
      </c>
      <c r="H30" s="16"/>
      <c r="I30" s="16" t="s">
        <v>41</v>
      </c>
      <c r="J30" s="16" t="s">
        <v>42</v>
      </c>
      <c r="K30" s="16" t="s">
        <v>43</v>
      </c>
      <c r="L30" s="26">
        <v>27</v>
      </c>
    </row>
    <row r="31" spans="1:12" ht="300" hidden="1" x14ac:dyDescent="0.25">
      <c r="A31" s="22">
        <v>5</v>
      </c>
      <c r="B31" s="16" t="s">
        <v>44</v>
      </c>
      <c r="C31" s="16" t="s">
        <v>45</v>
      </c>
      <c r="D31" s="16">
        <v>13821000</v>
      </c>
      <c r="E31" s="16">
        <v>5</v>
      </c>
      <c r="F31" s="16">
        <v>5</v>
      </c>
      <c r="G31" s="17" t="s">
        <v>31</v>
      </c>
      <c r="H31" s="16"/>
      <c r="I31" s="16" t="s">
        <v>46</v>
      </c>
      <c r="J31" s="16" t="s">
        <v>47</v>
      </c>
      <c r="K31" s="16" t="s">
        <v>48</v>
      </c>
      <c r="L31" s="26">
        <v>28</v>
      </c>
    </row>
    <row r="32" spans="1:12" ht="255" hidden="1" x14ac:dyDescent="0.25">
      <c r="A32" s="22">
        <v>402</v>
      </c>
      <c r="B32" s="16" t="s">
        <v>1828</v>
      </c>
      <c r="C32" s="16" t="s">
        <v>1829</v>
      </c>
      <c r="D32" s="16">
        <v>38395000</v>
      </c>
      <c r="E32" s="16">
        <v>2</v>
      </c>
      <c r="F32" s="16">
        <v>4</v>
      </c>
      <c r="G32" s="20" t="s">
        <v>1443</v>
      </c>
      <c r="H32" s="16"/>
      <c r="I32" s="16" t="s">
        <v>1830</v>
      </c>
      <c r="J32" s="16" t="s">
        <v>1831</v>
      </c>
      <c r="K32" s="16" t="s">
        <v>1832</v>
      </c>
      <c r="L32" s="26">
        <v>29</v>
      </c>
    </row>
    <row r="33" spans="1:12" ht="210" hidden="1" x14ac:dyDescent="0.25">
      <c r="A33" s="22">
        <v>67</v>
      </c>
      <c r="B33" s="16" t="s">
        <v>326</v>
      </c>
      <c r="C33" s="16" t="s">
        <v>327</v>
      </c>
      <c r="D33" s="16">
        <v>23549000</v>
      </c>
      <c r="E33" s="16">
        <v>4</v>
      </c>
      <c r="F33" s="16">
        <v>4</v>
      </c>
      <c r="G33" s="18" t="s">
        <v>108</v>
      </c>
      <c r="H33" s="16"/>
      <c r="I33" s="16" t="s">
        <v>321</v>
      </c>
      <c r="J33" s="16" t="s">
        <v>322</v>
      </c>
      <c r="K33" s="16" t="s">
        <v>323</v>
      </c>
      <c r="L33" s="26">
        <v>30</v>
      </c>
    </row>
    <row r="34" spans="1:12" ht="285" hidden="1" x14ac:dyDescent="0.25">
      <c r="A34" s="22">
        <v>68</v>
      </c>
      <c r="B34" s="16" t="s">
        <v>328</v>
      </c>
      <c r="C34" s="16" t="s">
        <v>329</v>
      </c>
      <c r="D34" s="16">
        <v>7000000</v>
      </c>
      <c r="E34" s="16">
        <v>4</v>
      </c>
      <c r="F34" s="16">
        <v>5</v>
      </c>
      <c r="G34" s="18" t="s">
        <v>108</v>
      </c>
      <c r="H34" s="16"/>
      <c r="I34" s="16" t="s">
        <v>330</v>
      </c>
      <c r="J34" s="16" t="s">
        <v>331</v>
      </c>
      <c r="K34" s="16" t="s">
        <v>225</v>
      </c>
      <c r="L34" s="26">
        <v>31</v>
      </c>
    </row>
    <row r="35" spans="1:12" ht="300" hidden="1" x14ac:dyDescent="0.25">
      <c r="A35" s="22">
        <v>8</v>
      </c>
      <c r="B35" s="16" t="s">
        <v>59</v>
      </c>
      <c r="C35" s="16" t="s">
        <v>60</v>
      </c>
      <c r="D35" s="16">
        <v>12760000</v>
      </c>
      <c r="E35" s="16">
        <v>5</v>
      </c>
      <c r="F35" s="16">
        <v>5</v>
      </c>
      <c r="G35" s="17" t="s">
        <v>31</v>
      </c>
      <c r="H35" s="16"/>
      <c r="I35" s="16" t="s">
        <v>61</v>
      </c>
      <c r="J35" s="16" t="s">
        <v>62</v>
      </c>
      <c r="K35" s="16" t="s">
        <v>63</v>
      </c>
      <c r="L35" s="26">
        <v>32</v>
      </c>
    </row>
    <row r="36" spans="1:12" ht="255" hidden="1" x14ac:dyDescent="0.25">
      <c r="A36" s="22">
        <v>9</v>
      </c>
      <c r="B36" s="16" t="s">
        <v>64</v>
      </c>
      <c r="C36" s="16" t="s">
        <v>65</v>
      </c>
      <c r="D36" s="16">
        <v>4095000</v>
      </c>
      <c r="E36" s="16">
        <v>5</v>
      </c>
      <c r="F36" s="16">
        <v>5</v>
      </c>
      <c r="G36" s="17" t="s">
        <v>31</v>
      </c>
      <c r="H36" s="16"/>
      <c r="I36" s="16" t="s">
        <v>66</v>
      </c>
      <c r="J36" s="16" t="s">
        <v>67</v>
      </c>
      <c r="K36" s="16" t="s">
        <v>68</v>
      </c>
      <c r="L36" s="26">
        <v>33</v>
      </c>
    </row>
    <row r="37" spans="1:12" ht="390" hidden="1" x14ac:dyDescent="0.25">
      <c r="A37" s="22">
        <v>10</v>
      </c>
      <c r="B37" s="16" t="s">
        <v>69</v>
      </c>
      <c r="C37" s="16" t="s">
        <v>70</v>
      </c>
      <c r="D37" s="16">
        <v>4595000</v>
      </c>
      <c r="E37" s="16">
        <v>5</v>
      </c>
      <c r="F37" s="16">
        <v>5</v>
      </c>
      <c r="G37" s="17" t="s">
        <v>31</v>
      </c>
      <c r="H37" s="16"/>
      <c r="I37" s="16"/>
      <c r="J37" s="16" t="s">
        <v>71</v>
      </c>
      <c r="K37" s="16" t="s">
        <v>72</v>
      </c>
      <c r="L37" s="26">
        <v>34</v>
      </c>
    </row>
    <row r="38" spans="1:12" ht="360" hidden="1" x14ac:dyDescent="0.25">
      <c r="A38" s="22">
        <v>11</v>
      </c>
      <c r="B38" s="16" t="s">
        <v>73</v>
      </c>
      <c r="C38" s="16" t="s">
        <v>74</v>
      </c>
      <c r="D38" s="16">
        <v>6455000</v>
      </c>
      <c r="E38" s="16">
        <v>5</v>
      </c>
      <c r="F38" s="16">
        <v>5</v>
      </c>
      <c r="G38" s="17" t="s">
        <v>31</v>
      </c>
      <c r="H38" s="16"/>
      <c r="I38" s="16" t="s">
        <v>75</v>
      </c>
      <c r="J38" s="16" t="s">
        <v>76</v>
      </c>
      <c r="K38" s="16" t="s">
        <v>77</v>
      </c>
      <c r="L38" s="26">
        <v>35</v>
      </c>
    </row>
    <row r="39" spans="1:12" ht="225" hidden="1" x14ac:dyDescent="0.25">
      <c r="A39" s="22">
        <v>12</v>
      </c>
      <c r="B39" s="16" t="s">
        <v>78</v>
      </c>
      <c r="C39" s="16" t="s">
        <v>79</v>
      </c>
      <c r="D39" s="16">
        <v>17500000</v>
      </c>
      <c r="E39" s="16">
        <v>5</v>
      </c>
      <c r="F39" s="16">
        <v>5</v>
      </c>
      <c r="G39" s="17" t="s">
        <v>31</v>
      </c>
      <c r="H39" s="16"/>
      <c r="I39" s="16" t="s">
        <v>80</v>
      </c>
      <c r="J39" s="16" t="s">
        <v>81</v>
      </c>
      <c r="K39" s="16" t="s">
        <v>82</v>
      </c>
      <c r="L39" s="26">
        <v>36</v>
      </c>
    </row>
    <row r="40" spans="1:12" ht="330" hidden="1" x14ac:dyDescent="0.25">
      <c r="A40" s="22">
        <v>112</v>
      </c>
      <c r="B40" s="16" t="s">
        <v>535</v>
      </c>
      <c r="C40" s="16" t="s">
        <v>536</v>
      </c>
      <c r="D40" s="16">
        <v>2530154350</v>
      </c>
      <c r="E40" s="16">
        <v>4</v>
      </c>
      <c r="F40" s="16">
        <v>5</v>
      </c>
      <c r="G40" s="18" t="s">
        <v>108</v>
      </c>
      <c r="H40" s="16"/>
      <c r="I40" s="16" t="s">
        <v>85</v>
      </c>
      <c r="J40" s="16" t="s">
        <v>537</v>
      </c>
      <c r="K40" s="16" t="s">
        <v>538</v>
      </c>
      <c r="L40" s="26">
        <v>37</v>
      </c>
    </row>
    <row r="41" spans="1:12" ht="330" hidden="1" x14ac:dyDescent="0.25">
      <c r="A41" s="22">
        <v>13</v>
      </c>
      <c r="B41" s="16" t="s">
        <v>83</v>
      </c>
      <c r="C41" s="16" t="s">
        <v>84</v>
      </c>
      <c r="D41" s="16">
        <v>5440155000</v>
      </c>
      <c r="E41" s="16">
        <v>5</v>
      </c>
      <c r="F41" s="16">
        <v>5</v>
      </c>
      <c r="G41" s="17" t="s">
        <v>31</v>
      </c>
      <c r="H41" s="16"/>
      <c r="I41" s="16" t="s">
        <v>85</v>
      </c>
      <c r="J41" s="16" t="s">
        <v>86</v>
      </c>
      <c r="K41" s="16" t="s">
        <v>87</v>
      </c>
      <c r="L41" s="26">
        <v>38</v>
      </c>
    </row>
    <row r="42" spans="1:12" ht="210" hidden="1" x14ac:dyDescent="0.25">
      <c r="A42" s="22">
        <v>505</v>
      </c>
      <c r="B42" s="16" t="s">
        <v>2250</v>
      </c>
      <c r="C42" s="16" t="s">
        <v>2251</v>
      </c>
      <c r="D42" s="16">
        <v>1946143150</v>
      </c>
      <c r="E42" s="16">
        <v>2</v>
      </c>
      <c r="F42" s="16">
        <v>4</v>
      </c>
      <c r="G42" s="20" t="s">
        <v>1443</v>
      </c>
      <c r="H42" s="16"/>
      <c r="I42" s="16" t="s">
        <v>2252</v>
      </c>
      <c r="J42" s="16" t="s">
        <v>2253</v>
      </c>
      <c r="K42" s="16" t="s">
        <v>2254</v>
      </c>
      <c r="L42" s="26">
        <v>39</v>
      </c>
    </row>
    <row r="43" spans="1:12" ht="195" hidden="1" x14ac:dyDescent="0.25">
      <c r="A43" s="22">
        <v>507</v>
      </c>
      <c r="B43" s="16" t="s">
        <v>2259</v>
      </c>
      <c r="C43" s="16" t="s">
        <v>2260</v>
      </c>
      <c r="D43" s="16">
        <v>3698315264</v>
      </c>
      <c r="E43" s="16">
        <v>2</v>
      </c>
      <c r="F43" s="16">
        <v>4</v>
      </c>
      <c r="G43" s="20" t="s">
        <v>1443</v>
      </c>
      <c r="H43" s="16"/>
      <c r="I43" s="16" t="s">
        <v>2261</v>
      </c>
      <c r="J43" s="16" t="s">
        <v>2262</v>
      </c>
      <c r="K43" s="16" t="s">
        <v>2254</v>
      </c>
      <c r="L43" s="26">
        <v>40</v>
      </c>
    </row>
    <row r="44" spans="1:12" ht="330" hidden="1" x14ac:dyDescent="0.25">
      <c r="A44" s="22">
        <v>496</v>
      </c>
      <c r="B44" s="16" t="s">
        <v>2207</v>
      </c>
      <c r="C44" s="16" t="s">
        <v>2208</v>
      </c>
      <c r="D44" s="16">
        <v>1646400000</v>
      </c>
      <c r="E44" s="16">
        <v>2</v>
      </c>
      <c r="F44" s="16">
        <v>4</v>
      </c>
      <c r="G44" s="20" t="s">
        <v>1443</v>
      </c>
      <c r="H44" s="16"/>
      <c r="I44" s="16" t="s">
        <v>2209</v>
      </c>
      <c r="J44" s="16" t="s">
        <v>2210</v>
      </c>
      <c r="K44" s="16" t="s">
        <v>2211</v>
      </c>
      <c r="L44" s="26">
        <v>41</v>
      </c>
    </row>
    <row r="45" spans="1:12" ht="409.5" hidden="1" x14ac:dyDescent="0.25">
      <c r="A45" s="22">
        <v>511</v>
      </c>
      <c r="B45" s="16" t="s">
        <v>2278</v>
      </c>
      <c r="C45" s="16" t="s">
        <v>2279</v>
      </c>
      <c r="D45" s="16">
        <v>1761377200</v>
      </c>
      <c r="E45" s="16">
        <v>2</v>
      </c>
      <c r="F45" s="16">
        <v>5</v>
      </c>
      <c r="G45" s="20" t="s">
        <v>1443</v>
      </c>
      <c r="H45" s="16"/>
      <c r="I45" s="16" t="s">
        <v>2280</v>
      </c>
      <c r="J45" s="16" t="s">
        <v>2281</v>
      </c>
      <c r="K45" s="16" t="s">
        <v>2282</v>
      </c>
      <c r="L45" s="26">
        <v>42</v>
      </c>
    </row>
    <row r="46" spans="1:12" ht="405" hidden="1" x14ac:dyDescent="0.25">
      <c r="A46" s="22">
        <v>553</v>
      </c>
      <c r="B46" s="16" t="s">
        <v>2475</v>
      </c>
      <c r="C46" s="16" t="s">
        <v>2476</v>
      </c>
      <c r="D46" s="16">
        <v>1506265000</v>
      </c>
      <c r="E46" s="16">
        <v>2</v>
      </c>
      <c r="F46" s="16">
        <v>5</v>
      </c>
      <c r="G46" s="20" t="s">
        <v>1443</v>
      </c>
      <c r="H46" s="16"/>
      <c r="I46" s="16" t="s">
        <v>642</v>
      </c>
      <c r="J46" s="16" t="s">
        <v>2477</v>
      </c>
      <c r="K46" s="16" t="s">
        <v>2478</v>
      </c>
      <c r="L46" s="26">
        <v>43</v>
      </c>
    </row>
    <row r="47" spans="1:12" ht="409.5" hidden="1" x14ac:dyDescent="0.25">
      <c r="A47" s="22">
        <v>15</v>
      </c>
      <c r="B47" s="16" t="s">
        <v>93</v>
      </c>
      <c r="C47" s="16" t="s">
        <v>94</v>
      </c>
      <c r="D47" s="16">
        <v>302568000</v>
      </c>
      <c r="E47" s="16">
        <v>5</v>
      </c>
      <c r="F47" s="16">
        <v>5</v>
      </c>
      <c r="G47" s="17" t="s">
        <v>31</v>
      </c>
      <c r="H47" s="16"/>
      <c r="I47" s="16" t="s">
        <v>95</v>
      </c>
      <c r="J47" s="16" t="s">
        <v>96</v>
      </c>
      <c r="K47" s="16" t="s">
        <v>97</v>
      </c>
      <c r="L47" s="26">
        <v>44</v>
      </c>
    </row>
    <row r="48" spans="1:12" ht="195" hidden="1" x14ac:dyDescent="0.25">
      <c r="A48" s="22">
        <v>14</v>
      </c>
      <c r="B48" s="16" t="s">
        <v>88</v>
      </c>
      <c r="C48" s="16" t="s">
        <v>89</v>
      </c>
      <c r="D48" s="16">
        <v>77080000</v>
      </c>
      <c r="E48" s="16">
        <v>5</v>
      </c>
      <c r="F48" s="16">
        <v>5</v>
      </c>
      <c r="G48" s="17" t="s">
        <v>31</v>
      </c>
      <c r="H48" s="16"/>
      <c r="I48" s="16" t="s">
        <v>90</v>
      </c>
      <c r="J48" s="16" t="s">
        <v>91</v>
      </c>
      <c r="K48" s="16" t="s">
        <v>92</v>
      </c>
      <c r="L48" s="26">
        <v>45</v>
      </c>
    </row>
    <row r="49" spans="1:12" ht="240" hidden="1" x14ac:dyDescent="0.25">
      <c r="A49" s="22">
        <v>592</v>
      </c>
      <c r="B49" s="16" t="s">
        <v>2616</v>
      </c>
      <c r="C49" s="16" t="s">
        <v>2617</v>
      </c>
      <c r="D49" s="16">
        <v>3618671150</v>
      </c>
      <c r="E49" s="16">
        <v>2</v>
      </c>
      <c r="F49" s="16">
        <v>5</v>
      </c>
      <c r="G49" s="20" t="s">
        <v>1443</v>
      </c>
      <c r="H49" s="16"/>
      <c r="I49" s="16" t="s">
        <v>2618</v>
      </c>
      <c r="J49" s="16" t="s">
        <v>2619</v>
      </c>
      <c r="K49" s="16" t="s">
        <v>2620</v>
      </c>
      <c r="L49" s="26">
        <v>46</v>
      </c>
    </row>
    <row r="50" spans="1:12" ht="300" x14ac:dyDescent="0.25">
      <c r="A50" s="22">
        <v>311</v>
      </c>
      <c r="B50" s="16" t="s">
        <v>1425</v>
      </c>
      <c r="C50" s="16" t="s">
        <v>1426</v>
      </c>
      <c r="D50" s="16">
        <v>2581827000</v>
      </c>
      <c r="E50" s="16">
        <v>4</v>
      </c>
      <c r="F50" s="16">
        <v>3</v>
      </c>
      <c r="G50" s="19" t="s">
        <v>842</v>
      </c>
      <c r="H50" s="16"/>
      <c r="I50" s="16" t="s">
        <v>1427</v>
      </c>
      <c r="J50" s="16" t="s">
        <v>1428</v>
      </c>
      <c r="K50" s="16" t="s">
        <v>1429</v>
      </c>
      <c r="L50" s="26">
        <v>47</v>
      </c>
    </row>
    <row r="51" spans="1:12" ht="409.5" x14ac:dyDescent="0.25">
      <c r="A51" s="22">
        <v>179</v>
      </c>
      <c r="B51" s="16" t="s">
        <v>835</v>
      </c>
      <c r="C51" s="16" t="s">
        <v>836</v>
      </c>
      <c r="D51" s="16">
        <v>1891000000</v>
      </c>
      <c r="E51" s="16">
        <v>4</v>
      </c>
      <c r="F51" s="16">
        <v>4</v>
      </c>
      <c r="G51" s="18" t="s">
        <v>108</v>
      </c>
      <c r="H51" s="16"/>
      <c r="I51" s="16" t="s">
        <v>837</v>
      </c>
      <c r="J51" s="16" t="s">
        <v>838</v>
      </c>
      <c r="K51" s="16" t="s">
        <v>839</v>
      </c>
      <c r="L51" s="26">
        <v>48</v>
      </c>
    </row>
    <row r="52" spans="1:12" ht="240" x14ac:dyDescent="0.25">
      <c r="A52" s="22">
        <v>599</v>
      </c>
      <c r="B52" s="16" t="s">
        <v>2635</v>
      </c>
      <c r="C52" s="16" t="s">
        <v>2636</v>
      </c>
      <c r="D52" s="16">
        <v>7529773200</v>
      </c>
      <c r="E52" s="16">
        <v>2</v>
      </c>
      <c r="F52" s="16">
        <v>5</v>
      </c>
      <c r="G52" s="20" t="s">
        <v>1443</v>
      </c>
      <c r="H52" s="16"/>
      <c r="I52" s="16" t="s">
        <v>2637</v>
      </c>
      <c r="J52" s="16" t="s">
        <v>2638</v>
      </c>
      <c r="K52" s="16" t="s">
        <v>753</v>
      </c>
      <c r="L52" s="26">
        <v>49</v>
      </c>
    </row>
    <row r="53" spans="1:12" ht="180" x14ac:dyDescent="0.25">
      <c r="A53" s="22">
        <v>157</v>
      </c>
      <c r="B53" s="16" t="s">
        <v>744</v>
      </c>
      <c r="C53" s="16" t="s">
        <v>745</v>
      </c>
      <c r="D53" s="16">
        <v>5827086050</v>
      </c>
      <c r="E53" s="16">
        <v>4</v>
      </c>
      <c r="F53" s="16">
        <v>4</v>
      </c>
      <c r="G53" s="18" t="s">
        <v>108</v>
      </c>
      <c r="H53" s="16"/>
      <c r="I53" s="16" t="s">
        <v>746</v>
      </c>
      <c r="J53" s="16" t="s">
        <v>747</v>
      </c>
      <c r="K53" s="16" t="s">
        <v>748</v>
      </c>
      <c r="L53" s="26">
        <v>50</v>
      </c>
    </row>
    <row r="54" spans="1:12" ht="210" x14ac:dyDescent="0.25">
      <c r="A54" s="22">
        <v>617</v>
      </c>
      <c r="B54" s="16" t="s">
        <v>2692</v>
      </c>
      <c r="C54" s="16" t="s">
        <v>2693</v>
      </c>
      <c r="D54" s="16">
        <v>3162000000</v>
      </c>
      <c r="E54" s="16">
        <v>2</v>
      </c>
      <c r="F54" s="16">
        <v>4</v>
      </c>
      <c r="G54" s="20" t="s">
        <v>1443</v>
      </c>
      <c r="H54" s="16"/>
      <c r="I54" s="16" t="s">
        <v>2694</v>
      </c>
      <c r="J54" s="16" t="s">
        <v>2695</v>
      </c>
      <c r="K54" s="16" t="s">
        <v>2696</v>
      </c>
      <c r="L54" s="26">
        <v>51</v>
      </c>
    </row>
    <row r="55" spans="1:12" ht="210" x14ac:dyDescent="0.25">
      <c r="A55" s="22">
        <v>615</v>
      </c>
      <c r="B55" s="16" t="s">
        <v>2682</v>
      </c>
      <c r="C55" s="16" t="s">
        <v>2683</v>
      </c>
      <c r="D55" s="16">
        <v>1464000000</v>
      </c>
      <c r="E55" s="16">
        <v>2</v>
      </c>
      <c r="F55" s="16">
        <v>5</v>
      </c>
      <c r="G55" s="20" t="s">
        <v>1443</v>
      </c>
      <c r="H55" s="16"/>
      <c r="I55" s="16" t="s">
        <v>2684</v>
      </c>
      <c r="J55" s="16" t="s">
        <v>2685</v>
      </c>
      <c r="K55" s="16" t="s">
        <v>2686</v>
      </c>
      <c r="L55" s="26">
        <v>52</v>
      </c>
    </row>
    <row r="56" spans="1:12" ht="195" x14ac:dyDescent="0.25">
      <c r="A56" s="22">
        <v>308</v>
      </c>
      <c r="B56" s="16" t="s">
        <v>1412</v>
      </c>
      <c r="C56" s="16" t="s">
        <v>1413</v>
      </c>
      <c r="D56" s="16">
        <v>5054030000</v>
      </c>
      <c r="E56" s="16">
        <v>3</v>
      </c>
      <c r="F56" s="16">
        <v>5</v>
      </c>
      <c r="G56" s="19" t="s">
        <v>842</v>
      </c>
      <c r="H56" s="16"/>
      <c r="I56" s="16" t="s">
        <v>791</v>
      </c>
      <c r="J56" s="16" t="s">
        <v>1414</v>
      </c>
      <c r="K56" s="16" t="s">
        <v>1415</v>
      </c>
      <c r="L56" s="26">
        <v>53</v>
      </c>
    </row>
    <row r="57" spans="1:12" ht="255" x14ac:dyDescent="0.25">
      <c r="A57" s="22">
        <v>171</v>
      </c>
      <c r="B57" s="16" t="s">
        <v>800</v>
      </c>
      <c r="C57" s="16" t="s">
        <v>801</v>
      </c>
      <c r="D57" s="16">
        <v>1825639730</v>
      </c>
      <c r="E57" s="16">
        <v>4</v>
      </c>
      <c r="F57" s="16">
        <v>5</v>
      </c>
      <c r="G57" s="18" t="s">
        <v>108</v>
      </c>
      <c r="H57" s="16"/>
      <c r="I57" s="16" t="s">
        <v>771</v>
      </c>
      <c r="J57" s="16" t="s">
        <v>802</v>
      </c>
      <c r="K57" s="16" t="s">
        <v>803</v>
      </c>
      <c r="L57" s="26">
        <v>54</v>
      </c>
    </row>
    <row r="58" spans="1:12" ht="285" x14ac:dyDescent="0.25">
      <c r="A58" s="22">
        <v>170</v>
      </c>
      <c r="B58" s="16" t="s">
        <v>798</v>
      </c>
      <c r="C58" s="16" t="s">
        <v>799</v>
      </c>
      <c r="D58" s="16">
        <v>50000000000</v>
      </c>
      <c r="E58" s="16">
        <v>4</v>
      </c>
      <c r="F58" s="16">
        <v>5</v>
      </c>
      <c r="G58" s="18" t="s">
        <v>108</v>
      </c>
      <c r="H58" s="16"/>
      <c r="I58" s="16" t="s">
        <v>761</v>
      </c>
      <c r="J58" s="16" t="s">
        <v>768</v>
      </c>
      <c r="K58" s="16" t="s">
        <v>753</v>
      </c>
      <c r="L58" s="26">
        <v>55</v>
      </c>
    </row>
    <row r="59" spans="1:12" ht="285" x14ac:dyDescent="0.25">
      <c r="A59" s="22">
        <v>169</v>
      </c>
      <c r="B59" s="16" t="s">
        <v>796</v>
      </c>
      <c r="C59" s="16" t="s">
        <v>797</v>
      </c>
      <c r="D59" s="16">
        <v>11000000000</v>
      </c>
      <c r="E59" s="16">
        <v>4</v>
      </c>
      <c r="F59" s="16">
        <v>5</v>
      </c>
      <c r="G59" s="18" t="s">
        <v>108</v>
      </c>
      <c r="H59" s="16"/>
      <c r="I59" s="16" t="s">
        <v>761</v>
      </c>
      <c r="J59" s="16" t="s">
        <v>765</v>
      </c>
      <c r="K59" s="16" t="s">
        <v>753</v>
      </c>
      <c r="L59" s="26">
        <v>56</v>
      </c>
    </row>
    <row r="60" spans="1:12" ht="240" x14ac:dyDescent="0.25">
      <c r="A60" s="22">
        <v>608</v>
      </c>
      <c r="B60" s="16" t="s">
        <v>2668</v>
      </c>
      <c r="C60" s="16" t="s">
        <v>2669</v>
      </c>
      <c r="D60" s="16">
        <v>7529773200</v>
      </c>
      <c r="E60" s="16">
        <v>2</v>
      </c>
      <c r="F60" s="16">
        <v>5</v>
      </c>
      <c r="G60" s="20" t="s">
        <v>1443</v>
      </c>
      <c r="H60" s="16"/>
      <c r="I60" s="16" t="s">
        <v>2637</v>
      </c>
      <c r="J60" s="16" t="s">
        <v>2638</v>
      </c>
      <c r="K60" s="16" t="s">
        <v>753</v>
      </c>
      <c r="L60" s="26">
        <v>57</v>
      </c>
    </row>
    <row r="61" spans="1:12" ht="240" x14ac:dyDescent="0.25">
      <c r="A61" s="22">
        <v>607</v>
      </c>
      <c r="B61" s="16" t="s">
        <v>2666</v>
      </c>
      <c r="C61" s="16" t="s">
        <v>2667</v>
      </c>
      <c r="D61" s="16">
        <v>3070000000</v>
      </c>
      <c r="E61" s="16">
        <v>2</v>
      </c>
      <c r="F61" s="16">
        <v>5</v>
      </c>
      <c r="G61" s="20" t="s">
        <v>1443</v>
      </c>
      <c r="H61" s="16"/>
      <c r="I61" s="16" t="s">
        <v>2637</v>
      </c>
      <c r="J61" s="16" t="s">
        <v>2638</v>
      </c>
      <c r="K61" s="16" t="s">
        <v>753</v>
      </c>
      <c r="L61" s="26">
        <v>58</v>
      </c>
    </row>
    <row r="62" spans="1:12" ht="270" x14ac:dyDescent="0.25">
      <c r="A62" s="22">
        <v>711</v>
      </c>
      <c r="B62" s="16" t="s">
        <v>3107</v>
      </c>
      <c r="C62" s="16" t="s">
        <v>3108</v>
      </c>
      <c r="D62" s="16">
        <v>78662790000</v>
      </c>
      <c r="E62" s="16">
        <v>1</v>
      </c>
      <c r="F62" s="16">
        <v>4</v>
      </c>
      <c r="G62" s="21" t="s">
        <v>2807</v>
      </c>
      <c r="H62" s="16"/>
      <c r="I62" s="16" t="s">
        <v>3105</v>
      </c>
      <c r="J62" s="16" t="s">
        <v>3106</v>
      </c>
      <c r="K62" s="16" t="s">
        <v>753</v>
      </c>
      <c r="L62" s="26">
        <v>59</v>
      </c>
    </row>
    <row r="63" spans="1:12" ht="270" x14ac:dyDescent="0.25">
      <c r="A63" s="22">
        <v>710</v>
      </c>
      <c r="B63" s="16" t="s">
        <v>3103</v>
      </c>
      <c r="C63" s="16" t="s">
        <v>3104</v>
      </c>
      <c r="D63" s="16">
        <v>78662790000</v>
      </c>
      <c r="E63" s="16">
        <v>1</v>
      </c>
      <c r="F63" s="16">
        <v>4</v>
      </c>
      <c r="G63" s="21" t="s">
        <v>2807</v>
      </c>
      <c r="H63" s="16"/>
      <c r="I63" s="16" t="s">
        <v>3105</v>
      </c>
      <c r="J63" s="16" t="s">
        <v>3106</v>
      </c>
      <c r="K63" s="16" t="s">
        <v>753</v>
      </c>
      <c r="L63" s="26">
        <v>60</v>
      </c>
    </row>
    <row r="64" spans="1:12" ht="255" x14ac:dyDescent="0.25">
      <c r="A64" s="22">
        <v>166</v>
      </c>
      <c r="B64" s="16" t="s">
        <v>784</v>
      </c>
      <c r="C64" s="16" t="s">
        <v>785</v>
      </c>
      <c r="D64" s="16">
        <v>2091125000</v>
      </c>
      <c r="E64" s="16">
        <v>4</v>
      </c>
      <c r="F64" s="16">
        <v>4</v>
      </c>
      <c r="G64" s="18" t="s">
        <v>108</v>
      </c>
      <c r="H64" s="16"/>
      <c r="I64" s="16" t="s">
        <v>786</v>
      </c>
      <c r="J64" s="16" t="s">
        <v>787</v>
      </c>
      <c r="K64" s="16" t="s">
        <v>788</v>
      </c>
      <c r="L64" s="26">
        <v>61</v>
      </c>
    </row>
    <row r="65" spans="1:12" ht="315" x14ac:dyDescent="0.25">
      <c r="A65" s="22">
        <v>306</v>
      </c>
      <c r="B65" s="16" t="s">
        <v>1403</v>
      </c>
      <c r="C65" s="16" t="s">
        <v>1404</v>
      </c>
      <c r="D65" s="16">
        <v>1543230803</v>
      </c>
      <c r="E65" s="16">
        <v>4</v>
      </c>
      <c r="F65" s="16">
        <v>3</v>
      </c>
      <c r="G65" s="19" t="s">
        <v>842</v>
      </c>
      <c r="H65" s="16"/>
      <c r="I65" s="16" t="s">
        <v>1400</v>
      </c>
      <c r="J65" s="16" t="s">
        <v>1405</v>
      </c>
      <c r="K65" s="16" t="s">
        <v>1406</v>
      </c>
      <c r="L65" s="26">
        <v>62</v>
      </c>
    </row>
    <row r="66" spans="1:12" ht="210" x14ac:dyDescent="0.25">
      <c r="A66" s="22">
        <v>17</v>
      </c>
      <c r="B66" s="16" t="s">
        <v>103</v>
      </c>
      <c r="C66" s="16" t="s">
        <v>104</v>
      </c>
      <c r="D66" s="16">
        <v>87468000000</v>
      </c>
      <c r="E66" s="16">
        <v>5</v>
      </c>
      <c r="F66" s="16">
        <v>5</v>
      </c>
      <c r="G66" s="17" t="s">
        <v>31</v>
      </c>
      <c r="H66" s="16"/>
      <c r="I66" s="16" t="s">
        <v>100</v>
      </c>
      <c r="J66" s="16" t="s">
        <v>101</v>
      </c>
      <c r="K66" s="16" t="s">
        <v>105</v>
      </c>
      <c r="L66" s="26">
        <v>63</v>
      </c>
    </row>
    <row r="67" spans="1:12" ht="270" x14ac:dyDescent="0.25">
      <c r="A67" s="22">
        <v>164</v>
      </c>
      <c r="B67" s="16" t="s">
        <v>774</v>
      </c>
      <c r="C67" s="16" t="s">
        <v>775</v>
      </c>
      <c r="D67" s="16">
        <v>1500000000</v>
      </c>
      <c r="E67" s="16">
        <v>5</v>
      </c>
      <c r="F67" s="16">
        <v>4</v>
      </c>
      <c r="G67" s="18" t="s">
        <v>108</v>
      </c>
      <c r="H67" s="16"/>
      <c r="I67" s="16" t="s">
        <v>776</v>
      </c>
      <c r="J67" s="16" t="s">
        <v>777</v>
      </c>
      <c r="K67" s="16" t="s">
        <v>778</v>
      </c>
      <c r="L67" s="26">
        <v>64</v>
      </c>
    </row>
    <row r="68" spans="1:12" ht="240" x14ac:dyDescent="0.25">
      <c r="A68" s="22">
        <v>605</v>
      </c>
      <c r="B68" s="16" t="s">
        <v>2662</v>
      </c>
      <c r="C68" s="16" t="s">
        <v>2663</v>
      </c>
      <c r="D68" s="16">
        <v>3070000000</v>
      </c>
      <c r="E68" s="16">
        <v>2</v>
      </c>
      <c r="F68" s="16">
        <v>5</v>
      </c>
      <c r="G68" s="20" t="s">
        <v>1443</v>
      </c>
      <c r="H68" s="16"/>
      <c r="I68" s="16" t="s">
        <v>2637</v>
      </c>
      <c r="J68" s="16" t="s">
        <v>2638</v>
      </c>
      <c r="K68" s="16" t="s">
        <v>753</v>
      </c>
      <c r="L68" s="26">
        <v>65</v>
      </c>
    </row>
    <row r="69" spans="1:12" ht="285" x14ac:dyDescent="0.25">
      <c r="A69" s="22">
        <v>162</v>
      </c>
      <c r="B69" s="16" t="s">
        <v>766</v>
      </c>
      <c r="C69" s="16" t="s">
        <v>767</v>
      </c>
      <c r="D69" s="16">
        <v>50000000000</v>
      </c>
      <c r="E69" s="16">
        <v>4</v>
      </c>
      <c r="F69" s="16">
        <v>5</v>
      </c>
      <c r="G69" s="18" t="s">
        <v>108</v>
      </c>
      <c r="H69" s="16"/>
      <c r="I69" s="16" t="s">
        <v>761</v>
      </c>
      <c r="J69" s="16" t="s">
        <v>768</v>
      </c>
      <c r="K69" s="16" t="s">
        <v>753</v>
      </c>
      <c r="L69" s="26">
        <v>66</v>
      </c>
    </row>
    <row r="70" spans="1:12" ht="285" x14ac:dyDescent="0.25">
      <c r="A70" s="22">
        <v>161</v>
      </c>
      <c r="B70" s="16" t="s">
        <v>763</v>
      </c>
      <c r="C70" s="16" t="s">
        <v>764</v>
      </c>
      <c r="D70" s="16">
        <v>11000000000</v>
      </c>
      <c r="E70" s="16">
        <v>4</v>
      </c>
      <c r="F70" s="16">
        <v>5</v>
      </c>
      <c r="G70" s="18" t="s">
        <v>108</v>
      </c>
      <c r="H70" s="16"/>
      <c r="I70" s="16" t="s">
        <v>761</v>
      </c>
      <c r="J70" s="16" t="s">
        <v>765</v>
      </c>
      <c r="K70" s="16" t="s">
        <v>753</v>
      </c>
      <c r="L70" s="26">
        <v>67</v>
      </c>
    </row>
    <row r="71" spans="1:12" ht="225" x14ac:dyDescent="0.25">
      <c r="A71" s="22">
        <v>304</v>
      </c>
      <c r="B71" s="16" t="s">
        <v>1393</v>
      </c>
      <c r="C71" s="16" t="s">
        <v>1394</v>
      </c>
      <c r="D71" s="16">
        <v>1942000000</v>
      </c>
      <c r="E71" s="16">
        <v>5</v>
      </c>
      <c r="F71" s="16">
        <v>3</v>
      </c>
      <c r="G71" s="19" t="s">
        <v>842</v>
      </c>
      <c r="H71" s="16"/>
      <c r="I71" s="16" t="s">
        <v>1395</v>
      </c>
      <c r="J71" s="16" t="s">
        <v>1396</v>
      </c>
      <c r="K71" s="16" t="s">
        <v>1397</v>
      </c>
      <c r="L71" s="26">
        <v>68</v>
      </c>
    </row>
    <row r="72" spans="1:12" ht="225" x14ac:dyDescent="0.25">
      <c r="A72" s="22">
        <v>603</v>
      </c>
      <c r="B72" s="16" t="s">
        <v>2652</v>
      </c>
      <c r="C72" s="16" t="s">
        <v>2653</v>
      </c>
      <c r="D72" s="16">
        <v>3217922425</v>
      </c>
      <c r="E72" s="16">
        <v>2</v>
      </c>
      <c r="F72" s="16">
        <v>3</v>
      </c>
      <c r="G72" s="20" t="s">
        <v>1443</v>
      </c>
      <c r="H72" s="16"/>
      <c r="I72" s="16" t="s">
        <v>2654</v>
      </c>
      <c r="J72" s="16" t="s">
        <v>2655</v>
      </c>
      <c r="K72" s="16" t="s">
        <v>2656</v>
      </c>
      <c r="L72" s="26">
        <v>69</v>
      </c>
    </row>
    <row r="73" spans="1:12" ht="285" x14ac:dyDescent="0.25">
      <c r="A73" s="22">
        <v>602</v>
      </c>
      <c r="B73" s="16" t="s">
        <v>2647</v>
      </c>
      <c r="C73" s="16" t="s">
        <v>2648</v>
      </c>
      <c r="D73" s="16">
        <v>7560987522</v>
      </c>
      <c r="E73" s="16">
        <v>2</v>
      </c>
      <c r="F73" s="16">
        <v>5</v>
      </c>
      <c r="G73" s="20" t="s">
        <v>1443</v>
      </c>
      <c r="H73" s="16"/>
      <c r="I73" s="16" t="s">
        <v>2649</v>
      </c>
      <c r="J73" s="16" t="s">
        <v>2650</v>
      </c>
      <c r="K73" s="16" t="s">
        <v>2651</v>
      </c>
      <c r="L73" s="26">
        <v>70</v>
      </c>
    </row>
    <row r="74" spans="1:12" ht="210" x14ac:dyDescent="0.25">
      <c r="A74" s="22">
        <v>16</v>
      </c>
      <c r="B74" s="16" t="s">
        <v>98</v>
      </c>
      <c r="C74" s="16" t="s">
        <v>99</v>
      </c>
      <c r="D74" s="16">
        <v>40556300000</v>
      </c>
      <c r="E74" s="16">
        <v>5</v>
      </c>
      <c r="F74" s="16">
        <v>5</v>
      </c>
      <c r="G74" s="17" t="s">
        <v>31</v>
      </c>
      <c r="H74" s="16"/>
      <c r="I74" s="16" t="s">
        <v>100</v>
      </c>
      <c r="J74" s="16" t="s">
        <v>101</v>
      </c>
      <c r="K74" s="16" t="s">
        <v>102</v>
      </c>
      <c r="L74" s="26">
        <v>71</v>
      </c>
    </row>
    <row r="75" spans="1:12" ht="210" x14ac:dyDescent="0.25">
      <c r="A75" s="22">
        <v>16</v>
      </c>
      <c r="B75" s="16" t="s">
        <v>98</v>
      </c>
      <c r="C75" s="16" t="s">
        <v>99</v>
      </c>
      <c r="D75" s="16">
        <v>40556300000</v>
      </c>
      <c r="E75" s="16">
        <v>5</v>
      </c>
      <c r="F75" s="16">
        <v>5</v>
      </c>
      <c r="G75" s="17" t="s">
        <v>31</v>
      </c>
      <c r="H75" s="16"/>
      <c r="I75" s="16" t="s">
        <v>100</v>
      </c>
      <c r="J75" s="16" t="s">
        <v>101</v>
      </c>
      <c r="K75" s="16" t="s">
        <v>102</v>
      </c>
      <c r="L75" s="26">
        <v>72</v>
      </c>
    </row>
  </sheetData>
  <autoFilter ref="A3:K75" xr:uid="{54403197-1F1D-4A91-AB49-D842CF73F425}">
    <filterColumn colId="1">
      <filters>
        <filter val="WADIR II-10"/>
        <filter val="WADIR II-14"/>
        <filter val="WADIR II-15"/>
        <filter val="WADIR II-16"/>
        <filter val="WADIR II-19"/>
        <filter val="WADIR II-20"/>
        <filter val="WADIR II-22"/>
        <filter val="WADIR II-24"/>
        <filter val="WADIR II-25"/>
        <filter val="WADIR II-27"/>
        <filter val="WADIR II-29"/>
        <filter val="WADIR II-31"/>
        <filter val="WADIR II-32"/>
        <filter val="WADIR II-35"/>
        <filter val="WADIR II-36"/>
        <filter val="WADIR II-43"/>
        <filter val="WADIR II-44"/>
        <filter val="WADIR II-45"/>
        <filter val="WADIR II-47"/>
        <filter val="WADIR II-52"/>
        <filter val="WADIR II-54"/>
        <filter val="WADIR II-6"/>
        <filter val="WADIR II-7"/>
        <filter val="WADIR III-15"/>
        <filter val="WADIR III-8"/>
      </filters>
    </filterColumn>
    <sortState xmlns:xlrd2="http://schemas.microsoft.com/office/spreadsheetml/2017/richdata2" ref="A50:K75">
      <sortCondition descending="1" ref="B3:B75"/>
    </sortState>
  </autoFilter>
  <mergeCells count="1">
    <mergeCell ref="B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AF69-C7EF-4FD6-B7EA-8053CBD973E3}">
  <dimension ref="B1:C38"/>
  <sheetViews>
    <sheetView zoomScale="130" zoomScaleNormal="130" workbookViewId="0">
      <pane xSplit="1" ySplit="4" topLeftCell="C27" activePane="bottomRight" state="frozen"/>
      <selection pane="topRight" activeCell="B1" sqref="B1"/>
      <selection pane="bottomLeft" activeCell="A5" sqref="A5"/>
      <selection pane="bottomRight" activeCell="C38" sqref="C38"/>
    </sheetView>
  </sheetViews>
  <sheetFormatPr defaultColWidth="8.7109375" defaultRowHeight="15" x14ac:dyDescent="0.25"/>
  <cols>
    <col min="1" max="1" width="8.7109375" style="3"/>
    <col min="2" max="2" width="4.28515625" style="12" customWidth="1"/>
    <col min="3" max="3" width="134.5703125" style="13" customWidth="1"/>
    <col min="4" max="16384" width="8.7109375" style="3"/>
  </cols>
  <sheetData>
    <row r="1" spans="2:3" ht="17.25" x14ac:dyDescent="0.25">
      <c r="B1" s="217" t="s">
        <v>3301</v>
      </c>
      <c r="C1" s="217"/>
    </row>
    <row r="2" spans="2:3" ht="17.25" x14ac:dyDescent="0.25">
      <c r="B2" s="217" t="s">
        <v>3412</v>
      </c>
      <c r="C2" s="217"/>
    </row>
    <row r="3" spans="2:3" ht="17.25" x14ac:dyDescent="0.25">
      <c r="B3" s="217" t="s">
        <v>3339</v>
      </c>
      <c r="C3" s="217"/>
    </row>
    <row r="4" spans="2:3" ht="17.25" x14ac:dyDescent="0.25">
      <c r="B4" s="217" t="s">
        <v>3340</v>
      </c>
      <c r="C4" s="217"/>
    </row>
    <row r="5" spans="2:3" x14ac:dyDescent="0.25">
      <c r="C5" s="12"/>
    </row>
    <row r="6" spans="2:3" x14ac:dyDescent="0.25">
      <c r="B6" s="12" t="s">
        <v>3302</v>
      </c>
      <c r="C6" s="13" t="s">
        <v>3303</v>
      </c>
    </row>
    <row r="7" spans="2:3" ht="30" x14ac:dyDescent="0.25">
      <c r="B7" s="12" t="s">
        <v>3304</v>
      </c>
      <c r="C7" s="13" t="s">
        <v>3338</v>
      </c>
    </row>
    <row r="8" spans="2:3" x14ac:dyDescent="0.25">
      <c r="B8" s="12" t="s">
        <v>3305</v>
      </c>
      <c r="C8" s="13" t="s">
        <v>3337</v>
      </c>
    </row>
    <row r="9" spans="2:3" x14ac:dyDescent="0.25">
      <c r="B9" s="12" t="s">
        <v>3332</v>
      </c>
      <c r="C9" s="13" t="s">
        <v>3306</v>
      </c>
    </row>
    <row r="10" spans="2:3" x14ac:dyDescent="0.25">
      <c r="B10" s="12" t="s">
        <v>3310</v>
      </c>
      <c r="C10" s="13" t="s">
        <v>3311</v>
      </c>
    </row>
    <row r="11" spans="2:3" x14ac:dyDescent="0.25">
      <c r="C11" s="152" t="s">
        <v>3307</v>
      </c>
    </row>
    <row r="12" spans="2:3" x14ac:dyDescent="0.25">
      <c r="C12" s="152" t="s">
        <v>3308</v>
      </c>
    </row>
    <row r="13" spans="2:3" ht="15.75" thickBot="1" x14ac:dyDescent="0.3">
      <c r="C13" s="152" t="s">
        <v>3309</v>
      </c>
    </row>
    <row r="14" spans="2:3" ht="15.75" thickBot="1" x14ac:dyDescent="0.3">
      <c r="B14" s="12" t="s">
        <v>3318</v>
      </c>
      <c r="C14" s="167" t="s">
        <v>3413</v>
      </c>
    </row>
    <row r="15" spans="2:3" ht="15.75" thickBot="1" x14ac:dyDescent="0.3">
      <c r="C15" s="167" t="s">
        <v>3414</v>
      </c>
    </row>
    <row r="16" spans="2:3" ht="15.75" thickBot="1" x14ac:dyDescent="0.3">
      <c r="C16" s="168" t="s">
        <v>3415</v>
      </c>
    </row>
    <row r="17" spans="2:3" ht="15.75" thickBot="1" x14ac:dyDescent="0.3">
      <c r="C17" s="167" t="s">
        <v>3416</v>
      </c>
    </row>
    <row r="18" spans="2:3" ht="15.75" thickBot="1" x14ac:dyDescent="0.3">
      <c r="C18" s="168" t="s">
        <v>3417</v>
      </c>
    </row>
    <row r="19" spans="2:3" ht="15.75" thickBot="1" x14ac:dyDescent="0.3">
      <c r="B19" s="12" t="s">
        <v>3333</v>
      </c>
      <c r="C19" s="167" t="s">
        <v>3418</v>
      </c>
    </row>
    <row r="20" spans="2:3" ht="15.75" thickBot="1" x14ac:dyDescent="0.3">
      <c r="C20" s="168" t="s">
        <v>3419</v>
      </c>
    </row>
    <row r="21" spans="2:3" ht="15.75" thickBot="1" x14ac:dyDescent="0.3">
      <c r="C21" s="167" t="s">
        <v>3420</v>
      </c>
    </row>
    <row r="22" spans="2:3" x14ac:dyDescent="0.25">
      <c r="B22" s="12" t="s">
        <v>3322</v>
      </c>
      <c r="C22" s="13" t="s">
        <v>3312</v>
      </c>
    </row>
    <row r="23" spans="2:3" x14ac:dyDescent="0.25">
      <c r="C23" s="152" t="s">
        <v>3313</v>
      </c>
    </row>
    <row r="24" spans="2:3" x14ac:dyDescent="0.25">
      <c r="C24" s="152" t="s">
        <v>3314</v>
      </c>
    </row>
    <row r="25" spans="2:3" x14ac:dyDescent="0.25">
      <c r="C25" s="152" t="s">
        <v>3315</v>
      </c>
    </row>
    <row r="26" spans="2:3" x14ac:dyDescent="0.25">
      <c r="C26" s="152" t="s">
        <v>3316</v>
      </c>
    </row>
    <row r="27" spans="2:3" x14ac:dyDescent="0.25">
      <c r="C27" s="152" t="s">
        <v>3317</v>
      </c>
    </row>
    <row r="28" spans="2:3" x14ac:dyDescent="0.25">
      <c r="B28" s="12" t="s">
        <v>3324</v>
      </c>
      <c r="C28" s="13" t="s">
        <v>3319</v>
      </c>
    </row>
    <row r="29" spans="2:3" x14ac:dyDescent="0.25">
      <c r="C29" s="152" t="s">
        <v>3320</v>
      </c>
    </row>
    <row r="30" spans="2:3" x14ac:dyDescent="0.25">
      <c r="C30" s="152" t="s">
        <v>3321</v>
      </c>
    </row>
    <row r="31" spans="2:3" x14ac:dyDescent="0.25">
      <c r="C31" s="152" t="s">
        <v>3336</v>
      </c>
    </row>
    <row r="32" spans="2:3" x14ac:dyDescent="0.25">
      <c r="B32" s="12" t="s">
        <v>3325</v>
      </c>
      <c r="C32" s="13" t="s">
        <v>3331</v>
      </c>
    </row>
    <row r="33" spans="2:3" x14ac:dyDescent="0.25">
      <c r="B33" s="12" t="s">
        <v>3327</v>
      </c>
      <c r="C33" s="13" t="s">
        <v>3323</v>
      </c>
    </row>
    <row r="34" spans="2:3" ht="30" x14ac:dyDescent="0.25">
      <c r="B34" s="12" t="s">
        <v>3329</v>
      </c>
      <c r="C34" s="13" t="s">
        <v>3341</v>
      </c>
    </row>
    <row r="35" spans="2:3" x14ac:dyDescent="0.25">
      <c r="B35" s="12" t="s">
        <v>3334</v>
      </c>
      <c r="C35" s="13" t="s">
        <v>3326</v>
      </c>
    </row>
    <row r="36" spans="2:3" x14ac:dyDescent="0.25">
      <c r="B36" s="12" t="s">
        <v>3335</v>
      </c>
      <c r="C36" s="13" t="s">
        <v>3328</v>
      </c>
    </row>
    <row r="37" spans="2:3" x14ac:dyDescent="0.25">
      <c r="B37" s="12" t="s">
        <v>3373</v>
      </c>
      <c r="C37" s="13" t="s">
        <v>3330</v>
      </c>
    </row>
    <row r="38" spans="2:3" x14ac:dyDescent="0.25">
      <c r="B38" s="12" t="s">
        <v>3426</v>
      </c>
      <c r="C38" s="13" t="s">
        <v>3428</v>
      </c>
    </row>
  </sheetData>
  <mergeCells count="4">
    <mergeCell ref="B2:C2"/>
    <mergeCell ref="B1:C1"/>
    <mergeCell ref="B3:C3"/>
    <mergeCell ref="B4:C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B1C1-FB82-4207-9242-9C598135DA19}">
  <dimension ref="B3:H29"/>
  <sheetViews>
    <sheetView topLeftCell="A11" zoomScale="85" zoomScaleNormal="85" workbookViewId="0">
      <selection activeCell="C25" sqref="C25"/>
    </sheetView>
  </sheetViews>
  <sheetFormatPr defaultColWidth="8.7109375" defaultRowHeight="15" x14ac:dyDescent="0.25"/>
  <cols>
    <col min="1" max="2" width="8.7109375" style="3"/>
    <col min="3" max="3" width="26.42578125" style="3" customWidth="1"/>
    <col min="4" max="4" width="10.140625" style="12" customWidth="1"/>
    <col min="5" max="5" width="18.28515625" style="12" customWidth="1"/>
    <col min="6" max="6" width="32.42578125" style="3" customWidth="1"/>
    <col min="7" max="16384" width="8.7109375" style="3"/>
  </cols>
  <sheetData>
    <row r="3" spans="2:8" ht="15.75" thickBot="1" x14ac:dyDescent="0.3"/>
    <row r="4" spans="2:8" s="12" customFormat="1" x14ac:dyDescent="0.25">
      <c r="B4" s="220" t="s">
        <v>3132</v>
      </c>
      <c r="C4" s="218" t="s">
        <v>3262</v>
      </c>
      <c r="D4" s="222" t="s">
        <v>3263</v>
      </c>
      <c r="E4" s="120" t="s">
        <v>15</v>
      </c>
      <c r="F4" s="224" t="s">
        <v>10</v>
      </c>
      <c r="G4" s="218" t="s">
        <v>3429</v>
      </c>
      <c r="H4" s="218" t="s">
        <v>3430</v>
      </c>
    </row>
    <row r="5" spans="2:8" ht="15.75" thickBot="1" x14ac:dyDescent="0.3">
      <c r="B5" s="221"/>
      <c r="C5" s="219"/>
      <c r="D5" s="223"/>
      <c r="E5" s="121" t="s">
        <v>1</v>
      </c>
      <c r="F5" s="225"/>
      <c r="G5" s="219"/>
      <c r="H5" s="219"/>
    </row>
    <row r="6" spans="2:8" ht="15.75" thickTop="1" x14ac:dyDescent="0.25">
      <c r="B6" s="108">
        <v>1</v>
      </c>
      <c r="C6" s="109" t="s">
        <v>3184</v>
      </c>
      <c r="D6" s="110">
        <v>3</v>
      </c>
      <c r="E6" s="122" t="s">
        <v>3286</v>
      </c>
      <c r="F6" s="127" t="s">
        <v>3128</v>
      </c>
      <c r="G6" s="131">
        <v>1</v>
      </c>
      <c r="H6" s="132"/>
    </row>
    <row r="7" spans="2:8" x14ac:dyDescent="0.25">
      <c r="B7" s="111">
        <v>2</v>
      </c>
      <c r="C7" s="112" t="s">
        <v>3266</v>
      </c>
      <c r="D7" s="113">
        <v>4</v>
      </c>
      <c r="E7" s="123" t="s">
        <v>3285</v>
      </c>
      <c r="F7" s="128" t="s">
        <v>3128</v>
      </c>
      <c r="G7" s="133"/>
      <c r="H7" s="134">
        <v>1</v>
      </c>
    </row>
    <row r="8" spans="2:8" x14ac:dyDescent="0.25">
      <c r="B8" s="111">
        <v>3</v>
      </c>
      <c r="C8" s="112" t="s">
        <v>3264</v>
      </c>
      <c r="D8" s="113">
        <v>2</v>
      </c>
      <c r="E8" s="123" t="s">
        <v>3287</v>
      </c>
      <c r="F8" s="128" t="s">
        <v>3128</v>
      </c>
      <c r="G8" s="133">
        <v>1</v>
      </c>
      <c r="H8" s="134"/>
    </row>
    <row r="9" spans="2:8" x14ac:dyDescent="0.25">
      <c r="B9" s="111">
        <v>4</v>
      </c>
      <c r="C9" s="112" t="s">
        <v>3272</v>
      </c>
      <c r="D9" s="113">
        <v>1</v>
      </c>
      <c r="E9" s="123">
        <v>3</v>
      </c>
      <c r="F9" s="128" t="s">
        <v>3121</v>
      </c>
      <c r="G9" s="133"/>
      <c r="H9" s="134">
        <v>1</v>
      </c>
    </row>
    <row r="10" spans="2:8" x14ac:dyDescent="0.25">
      <c r="B10" s="111">
        <v>5</v>
      </c>
      <c r="C10" s="112" t="s">
        <v>3265</v>
      </c>
      <c r="D10" s="113">
        <v>2</v>
      </c>
      <c r="E10" s="123" t="s">
        <v>3288</v>
      </c>
      <c r="F10" s="128" t="s">
        <v>3121</v>
      </c>
      <c r="G10" s="133"/>
      <c r="H10" s="134">
        <v>1</v>
      </c>
    </row>
    <row r="11" spans="2:8" x14ac:dyDescent="0.25">
      <c r="B11" s="111">
        <v>6</v>
      </c>
      <c r="C11" s="112" t="s">
        <v>3273</v>
      </c>
      <c r="D11" s="113">
        <v>4</v>
      </c>
      <c r="E11" s="123" t="s">
        <v>3289</v>
      </c>
      <c r="F11" s="128" t="s">
        <v>3123</v>
      </c>
      <c r="G11" s="133">
        <v>1</v>
      </c>
      <c r="H11" s="134"/>
    </row>
    <row r="12" spans="2:8" x14ac:dyDescent="0.25">
      <c r="B12" s="111">
        <v>7</v>
      </c>
      <c r="C12" s="112" t="s">
        <v>3268</v>
      </c>
      <c r="D12" s="113">
        <v>4</v>
      </c>
      <c r="E12" s="123" t="s">
        <v>3290</v>
      </c>
      <c r="F12" s="128" t="s">
        <v>3123</v>
      </c>
      <c r="G12" s="133"/>
      <c r="H12" s="134">
        <v>1</v>
      </c>
    </row>
    <row r="13" spans="2:8" x14ac:dyDescent="0.25">
      <c r="B13" s="111">
        <v>8</v>
      </c>
      <c r="C13" s="112" t="s">
        <v>3270</v>
      </c>
      <c r="D13" s="113">
        <v>1</v>
      </c>
      <c r="E13" s="123">
        <v>40</v>
      </c>
      <c r="F13" s="128" t="s">
        <v>3123</v>
      </c>
      <c r="G13" s="133"/>
      <c r="H13" s="134">
        <v>1</v>
      </c>
    </row>
    <row r="14" spans="2:8" x14ac:dyDescent="0.25">
      <c r="B14" s="111">
        <v>9</v>
      </c>
      <c r="C14" s="112" t="s">
        <v>3281</v>
      </c>
      <c r="D14" s="113">
        <v>2</v>
      </c>
      <c r="E14" s="123" t="s">
        <v>3291</v>
      </c>
      <c r="F14" s="128" t="s">
        <v>3126</v>
      </c>
      <c r="G14" s="133"/>
      <c r="H14" s="134">
        <v>1</v>
      </c>
    </row>
    <row r="15" spans="2:8" x14ac:dyDescent="0.25">
      <c r="B15" s="111">
        <v>10</v>
      </c>
      <c r="C15" s="112" t="s">
        <v>3191</v>
      </c>
      <c r="D15" s="113">
        <v>1</v>
      </c>
      <c r="E15" s="123">
        <v>511</v>
      </c>
      <c r="F15" s="128" t="s">
        <v>3126</v>
      </c>
      <c r="G15" s="133">
        <v>1</v>
      </c>
      <c r="H15" s="134"/>
    </row>
    <row r="16" spans="2:8" x14ac:dyDescent="0.25">
      <c r="B16" s="111">
        <v>11</v>
      </c>
      <c r="C16" s="112" t="s">
        <v>3143</v>
      </c>
      <c r="D16" s="113">
        <v>1</v>
      </c>
      <c r="E16" s="123">
        <v>12</v>
      </c>
      <c r="F16" s="128" t="s">
        <v>3126</v>
      </c>
      <c r="G16" s="133"/>
      <c r="H16" s="134">
        <v>1</v>
      </c>
    </row>
    <row r="17" spans="2:8" x14ac:dyDescent="0.25">
      <c r="B17" s="111">
        <v>12</v>
      </c>
      <c r="C17" s="112" t="s">
        <v>3277</v>
      </c>
      <c r="D17" s="113">
        <v>1</v>
      </c>
      <c r="E17" s="123">
        <v>67</v>
      </c>
      <c r="F17" s="128" t="s">
        <v>3126</v>
      </c>
      <c r="G17" s="133"/>
      <c r="H17" s="134">
        <v>1</v>
      </c>
    </row>
    <row r="18" spans="2:8" x14ac:dyDescent="0.25">
      <c r="B18" s="111">
        <v>13</v>
      </c>
      <c r="C18" s="112" t="s">
        <v>3279</v>
      </c>
      <c r="D18" s="113">
        <v>4</v>
      </c>
      <c r="E18" s="123" t="s">
        <v>3292</v>
      </c>
      <c r="F18" s="128" t="s">
        <v>3126</v>
      </c>
      <c r="G18" s="133">
        <v>1</v>
      </c>
      <c r="H18" s="134"/>
    </row>
    <row r="19" spans="2:8" x14ac:dyDescent="0.25">
      <c r="B19" s="111">
        <v>14</v>
      </c>
      <c r="C19" s="112" t="s">
        <v>3275</v>
      </c>
      <c r="D19" s="113">
        <v>2</v>
      </c>
      <c r="E19" s="123" t="s">
        <v>3293</v>
      </c>
      <c r="F19" s="128" t="s">
        <v>3127</v>
      </c>
      <c r="G19" s="133">
        <v>1</v>
      </c>
      <c r="H19" s="134"/>
    </row>
    <row r="20" spans="2:8" x14ac:dyDescent="0.25">
      <c r="B20" s="111">
        <v>15</v>
      </c>
      <c r="C20" s="112" t="s">
        <v>3283</v>
      </c>
      <c r="D20" s="113">
        <v>1</v>
      </c>
      <c r="E20" s="123">
        <v>592</v>
      </c>
      <c r="F20" s="128" t="s">
        <v>3127</v>
      </c>
      <c r="G20" s="133">
        <v>1</v>
      </c>
      <c r="H20" s="134"/>
    </row>
    <row r="21" spans="2:8" x14ac:dyDescent="0.25">
      <c r="B21" s="111">
        <v>16</v>
      </c>
      <c r="C21" s="112" t="s">
        <v>3282</v>
      </c>
      <c r="D21" s="113">
        <v>1</v>
      </c>
      <c r="E21" s="123">
        <v>553</v>
      </c>
      <c r="F21" s="128" t="s">
        <v>3127</v>
      </c>
      <c r="G21" s="133">
        <v>1</v>
      </c>
      <c r="H21" s="134"/>
    </row>
    <row r="22" spans="2:8" x14ac:dyDescent="0.25">
      <c r="B22" s="111">
        <v>17</v>
      </c>
      <c r="C22" s="112" t="s">
        <v>3280</v>
      </c>
      <c r="D22" s="113">
        <v>2</v>
      </c>
      <c r="E22" s="123" t="s">
        <v>3294</v>
      </c>
      <c r="F22" s="128" t="s">
        <v>3127</v>
      </c>
      <c r="G22" s="133"/>
      <c r="H22" s="169">
        <v>1</v>
      </c>
    </row>
    <row r="23" spans="2:8" x14ac:dyDescent="0.25">
      <c r="B23" s="111">
        <v>18</v>
      </c>
      <c r="C23" s="112" t="s">
        <v>3278</v>
      </c>
      <c r="D23" s="113">
        <v>1</v>
      </c>
      <c r="E23" s="123">
        <v>68</v>
      </c>
      <c r="F23" s="128" t="s">
        <v>3127</v>
      </c>
      <c r="G23" s="133"/>
      <c r="H23" s="134">
        <v>1</v>
      </c>
    </row>
    <row r="24" spans="2:8" x14ac:dyDescent="0.25">
      <c r="B24" s="111">
        <v>19</v>
      </c>
      <c r="C24" s="112" t="s">
        <v>3276</v>
      </c>
      <c r="D24" s="113">
        <v>1</v>
      </c>
      <c r="E24" s="123">
        <v>402</v>
      </c>
      <c r="F24" s="128" t="s">
        <v>3127</v>
      </c>
      <c r="G24" s="133"/>
      <c r="H24" s="134">
        <v>1</v>
      </c>
    </row>
    <row r="25" spans="2:8" x14ac:dyDescent="0.25">
      <c r="B25" s="111">
        <v>20</v>
      </c>
      <c r="C25" s="112" t="s">
        <v>3267</v>
      </c>
      <c r="D25" s="113">
        <v>1</v>
      </c>
      <c r="E25" s="123">
        <v>193</v>
      </c>
      <c r="F25" s="128" t="s">
        <v>3127</v>
      </c>
      <c r="G25" s="133"/>
      <c r="H25" s="134">
        <v>1</v>
      </c>
    </row>
    <row r="26" spans="2:8" x14ac:dyDescent="0.25">
      <c r="B26" s="111">
        <v>21</v>
      </c>
      <c r="C26" s="112" t="s">
        <v>3271</v>
      </c>
      <c r="D26" s="113">
        <v>1</v>
      </c>
      <c r="E26" s="123">
        <v>36</v>
      </c>
      <c r="F26" s="128" t="s">
        <v>3122</v>
      </c>
      <c r="G26" s="133"/>
      <c r="H26" s="169">
        <v>1</v>
      </c>
    </row>
    <row r="27" spans="2:8" x14ac:dyDescent="0.25">
      <c r="B27" s="111">
        <v>22</v>
      </c>
      <c r="C27" s="112" t="s">
        <v>3269</v>
      </c>
      <c r="D27" s="113">
        <v>8</v>
      </c>
      <c r="E27" s="123" t="s">
        <v>3296</v>
      </c>
      <c r="F27" s="128" t="s">
        <v>3122</v>
      </c>
      <c r="G27" s="133">
        <v>1</v>
      </c>
      <c r="H27" s="134"/>
    </row>
    <row r="28" spans="2:8" ht="90.75" thickBot="1" x14ac:dyDescent="0.3">
      <c r="B28" s="114">
        <v>23</v>
      </c>
      <c r="C28" s="115" t="s">
        <v>3274</v>
      </c>
      <c r="D28" s="116">
        <v>24</v>
      </c>
      <c r="E28" s="125" t="s">
        <v>3297</v>
      </c>
      <c r="F28" s="129" t="s">
        <v>3295</v>
      </c>
      <c r="G28" s="133" t="s">
        <v>3431</v>
      </c>
      <c r="H28" s="134"/>
    </row>
    <row r="29" spans="2:8" ht="16.5" thickTop="1" thickBot="1" x14ac:dyDescent="0.3">
      <c r="B29" s="117"/>
      <c r="C29" s="118" t="s">
        <v>3284</v>
      </c>
      <c r="D29" s="119">
        <f>SUM(D6:D28)</f>
        <v>72</v>
      </c>
      <c r="E29" s="124"/>
      <c r="F29" s="130"/>
      <c r="G29" s="135"/>
      <c r="H29" s="136"/>
    </row>
  </sheetData>
  <autoFilter ref="C4:F28" xr:uid="{D75B0974-8368-4849-85B3-1BCAF232E9C3}">
    <sortState xmlns:xlrd2="http://schemas.microsoft.com/office/spreadsheetml/2017/richdata2" ref="C7:F29">
      <sortCondition ref="F4:F28"/>
    </sortState>
  </autoFilter>
  <mergeCells count="6">
    <mergeCell ref="H4:H5"/>
    <mergeCell ref="C4:C5"/>
    <mergeCell ref="B4:B5"/>
    <mergeCell ref="D4:D5"/>
    <mergeCell ref="F4:F5"/>
    <mergeCell ref="G4:G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D065E30-85E8-4AAD-AC0D-D7D98AF33836}">
          <x14:formula1>
            <xm:f>'Unit &amp; Pemonev'!$C$6:$C$13</xm:f>
          </x14:formula1>
          <xm:sqref>F7:F27 F6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21FD-19C8-435F-A72C-4DFB8ECD6DB0}">
  <dimension ref="A1:R717"/>
  <sheetViews>
    <sheetView topLeftCell="A39" zoomScale="55" zoomScaleNormal="55" workbookViewId="0">
      <selection activeCell="G40" sqref="G40"/>
    </sheetView>
  </sheetViews>
  <sheetFormatPr defaultColWidth="8.85546875" defaultRowHeight="18.75" x14ac:dyDescent="0.25"/>
  <cols>
    <col min="1" max="1" width="8.85546875" style="22"/>
    <col min="2" max="11" width="20" style="14" customWidth="1"/>
    <col min="12" max="12" width="8.85546875" style="26"/>
    <col min="13" max="13" width="8.85546875" style="27"/>
    <col min="14" max="16384" width="8.85546875" style="14"/>
  </cols>
  <sheetData>
    <row r="1" spans="1:13" x14ac:dyDescent="0.3">
      <c r="B1" s="215" t="s">
        <v>18</v>
      </c>
      <c r="C1" s="216"/>
      <c r="D1" s="216"/>
      <c r="E1" s="216"/>
      <c r="F1" s="216"/>
      <c r="G1" s="216"/>
      <c r="H1" s="216"/>
      <c r="I1" s="216"/>
      <c r="J1" s="216"/>
      <c r="K1" s="216"/>
    </row>
    <row r="3" spans="1:13" x14ac:dyDescent="0.25">
      <c r="A3" s="22" t="s">
        <v>15</v>
      </c>
      <c r="B3" s="15" t="s">
        <v>19</v>
      </c>
      <c r="C3" s="15" t="s">
        <v>20</v>
      </c>
      <c r="D3" s="15" t="s">
        <v>21</v>
      </c>
      <c r="E3" s="15" t="s">
        <v>22</v>
      </c>
      <c r="F3" s="15" t="s">
        <v>23</v>
      </c>
      <c r="G3" s="15" t="s">
        <v>24</v>
      </c>
      <c r="H3" s="15" t="s">
        <v>25</v>
      </c>
      <c r="I3" s="15" t="s">
        <v>26</v>
      </c>
      <c r="J3" s="15" t="s">
        <v>27</v>
      </c>
      <c r="K3" s="15" t="s">
        <v>28</v>
      </c>
    </row>
    <row r="4" spans="1:13" ht="210" x14ac:dyDescent="0.25">
      <c r="A4" s="22">
        <v>17</v>
      </c>
      <c r="B4" s="16" t="s">
        <v>103</v>
      </c>
      <c r="C4" s="16" t="s">
        <v>104</v>
      </c>
      <c r="D4" s="16">
        <v>87468000000</v>
      </c>
      <c r="E4" s="16">
        <v>5</v>
      </c>
      <c r="F4" s="16">
        <v>5</v>
      </c>
      <c r="G4" s="17" t="s">
        <v>31</v>
      </c>
      <c r="H4" s="16"/>
      <c r="I4" s="16" t="s">
        <v>100</v>
      </c>
      <c r="J4" s="16" t="s">
        <v>101</v>
      </c>
      <c r="K4" s="16" t="s">
        <v>105</v>
      </c>
      <c r="L4" s="26">
        <v>1</v>
      </c>
    </row>
    <row r="5" spans="1:13" ht="210" x14ac:dyDescent="0.25">
      <c r="A5" s="22">
        <v>16</v>
      </c>
      <c r="B5" s="16" t="s">
        <v>98</v>
      </c>
      <c r="C5" s="16" t="s">
        <v>99</v>
      </c>
      <c r="D5" s="16">
        <v>40556300000</v>
      </c>
      <c r="E5" s="16">
        <v>5</v>
      </c>
      <c r="F5" s="16">
        <v>5</v>
      </c>
      <c r="G5" s="17" t="s">
        <v>31</v>
      </c>
      <c r="H5" s="16"/>
      <c r="I5" s="16" t="s">
        <v>100</v>
      </c>
      <c r="J5" s="16" t="s">
        <v>101</v>
      </c>
      <c r="K5" s="16" t="s">
        <v>102</v>
      </c>
      <c r="L5" s="26">
        <v>2</v>
      </c>
      <c r="M5" s="28">
        <v>1</v>
      </c>
    </row>
    <row r="6" spans="1:13" ht="330" x14ac:dyDescent="0.25">
      <c r="A6" s="22">
        <v>13</v>
      </c>
      <c r="B6" s="16" t="s">
        <v>83</v>
      </c>
      <c r="C6" s="16" t="s">
        <v>84</v>
      </c>
      <c r="D6" s="16">
        <v>5440155000</v>
      </c>
      <c r="E6" s="16">
        <v>5</v>
      </c>
      <c r="F6" s="16">
        <v>5</v>
      </c>
      <c r="G6" s="17" t="s">
        <v>31</v>
      </c>
      <c r="H6" s="16"/>
      <c r="I6" s="16" t="s">
        <v>85</v>
      </c>
      <c r="J6" s="16" t="s">
        <v>86</v>
      </c>
      <c r="K6" s="16" t="s">
        <v>87</v>
      </c>
      <c r="L6" s="26">
        <v>3</v>
      </c>
      <c r="M6" s="28">
        <v>2</v>
      </c>
    </row>
    <row r="7" spans="1:13" ht="409.5" x14ac:dyDescent="0.25">
      <c r="A7" s="22">
        <v>15</v>
      </c>
      <c r="B7" s="16" t="s">
        <v>93</v>
      </c>
      <c r="C7" s="16" t="s">
        <v>94</v>
      </c>
      <c r="D7" s="16">
        <v>302568000</v>
      </c>
      <c r="E7" s="16">
        <v>5</v>
      </c>
      <c r="F7" s="16">
        <v>5</v>
      </c>
      <c r="G7" s="17" t="s">
        <v>31</v>
      </c>
      <c r="H7" s="16"/>
      <c r="I7" s="16" t="s">
        <v>95</v>
      </c>
      <c r="J7" s="16" t="s">
        <v>96</v>
      </c>
      <c r="K7" s="16" t="s">
        <v>97</v>
      </c>
      <c r="L7" s="26">
        <v>4</v>
      </c>
    </row>
    <row r="8" spans="1:13" ht="285" x14ac:dyDescent="0.25">
      <c r="A8" s="22">
        <v>162</v>
      </c>
      <c r="B8" s="16" t="s">
        <v>766</v>
      </c>
      <c r="C8" s="16" t="s">
        <v>767</v>
      </c>
      <c r="D8" s="16">
        <v>50000000000</v>
      </c>
      <c r="E8" s="16">
        <v>4</v>
      </c>
      <c r="F8" s="16">
        <v>5</v>
      </c>
      <c r="G8" s="18" t="s">
        <v>108</v>
      </c>
      <c r="H8" s="16"/>
      <c r="I8" s="16" t="s">
        <v>761</v>
      </c>
      <c r="J8" s="16" t="s">
        <v>768</v>
      </c>
      <c r="K8" s="16" t="s">
        <v>753</v>
      </c>
      <c r="L8" s="26">
        <v>5</v>
      </c>
    </row>
    <row r="9" spans="1:13" ht="285" x14ac:dyDescent="0.25">
      <c r="A9" s="22">
        <v>170</v>
      </c>
      <c r="B9" s="16" t="s">
        <v>798</v>
      </c>
      <c r="C9" s="16" t="s">
        <v>799</v>
      </c>
      <c r="D9" s="16">
        <v>50000000000</v>
      </c>
      <c r="E9" s="16">
        <v>4</v>
      </c>
      <c r="F9" s="16">
        <v>5</v>
      </c>
      <c r="G9" s="18" t="s">
        <v>108</v>
      </c>
      <c r="H9" s="16"/>
      <c r="I9" s="16" t="s">
        <v>761</v>
      </c>
      <c r="J9" s="16" t="s">
        <v>768</v>
      </c>
      <c r="K9" s="16" t="s">
        <v>753</v>
      </c>
      <c r="L9" s="26">
        <v>6</v>
      </c>
    </row>
    <row r="10" spans="1:13" ht="285" x14ac:dyDescent="0.25">
      <c r="A10" s="22">
        <v>161</v>
      </c>
      <c r="B10" s="16" t="s">
        <v>763</v>
      </c>
      <c r="C10" s="16" t="s">
        <v>764</v>
      </c>
      <c r="D10" s="16">
        <v>11000000000</v>
      </c>
      <c r="E10" s="16">
        <v>4</v>
      </c>
      <c r="F10" s="16">
        <v>5</v>
      </c>
      <c r="G10" s="18" t="s">
        <v>108</v>
      </c>
      <c r="H10" s="16"/>
      <c r="I10" s="16" t="s">
        <v>761</v>
      </c>
      <c r="J10" s="16" t="s">
        <v>765</v>
      </c>
      <c r="K10" s="16" t="s">
        <v>753</v>
      </c>
      <c r="L10" s="26">
        <v>7</v>
      </c>
    </row>
    <row r="11" spans="1:13" ht="285" x14ac:dyDescent="0.25">
      <c r="A11" s="22">
        <v>169</v>
      </c>
      <c r="B11" s="16" t="s">
        <v>796</v>
      </c>
      <c r="C11" s="16" t="s">
        <v>797</v>
      </c>
      <c r="D11" s="16">
        <v>11000000000</v>
      </c>
      <c r="E11" s="16">
        <v>4</v>
      </c>
      <c r="F11" s="16">
        <v>5</v>
      </c>
      <c r="G11" s="18" t="s">
        <v>108</v>
      </c>
      <c r="H11" s="16"/>
      <c r="I11" s="16" t="s">
        <v>761</v>
      </c>
      <c r="J11" s="16" t="s">
        <v>765</v>
      </c>
      <c r="K11" s="16" t="s">
        <v>753</v>
      </c>
      <c r="L11" s="26">
        <v>8</v>
      </c>
    </row>
    <row r="12" spans="1:13" ht="195" x14ac:dyDescent="0.25">
      <c r="A12" s="22">
        <v>157</v>
      </c>
      <c r="B12" s="16" t="s">
        <v>744</v>
      </c>
      <c r="C12" s="16" t="s">
        <v>745</v>
      </c>
      <c r="D12" s="16">
        <v>5827086050</v>
      </c>
      <c r="E12" s="16">
        <v>4</v>
      </c>
      <c r="F12" s="16">
        <v>4</v>
      </c>
      <c r="G12" s="18" t="s">
        <v>108</v>
      </c>
      <c r="H12" s="16"/>
      <c r="I12" s="16" t="s">
        <v>746</v>
      </c>
      <c r="J12" s="16" t="s">
        <v>747</v>
      </c>
      <c r="K12" s="16" t="s">
        <v>748</v>
      </c>
      <c r="L12" s="26">
        <v>9</v>
      </c>
    </row>
    <row r="13" spans="1:13" ht="330" x14ac:dyDescent="0.25">
      <c r="A13" s="22">
        <v>112</v>
      </c>
      <c r="B13" s="16" t="s">
        <v>535</v>
      </c>
      <c r="C13" s="16" t="s">
        <v>536</v>
      </c>
      <c r="D13" s="16">
        <v>2530154350</v>
      </c>
      <c r="E13" s="16">
        <v>4</v>
      </c>
      <c r="F13" s="16">
        <v>5</v>
      </c>
      <c r="G13" s="18" t="s">
        <v>108</v>
      </c>
      <c r="H13" s="16"/>
      <c r="I13" s="16" t="s">
        <v>85</v>
      </c>
      <c r="J13" s="16" t="s">
        <v>537</v>
      </c>
      <c r="K13" s="16" t="s">
        <v>538</v>
      </c>
      <c r="L13" s="26">
        <v>10</v>
      </c>
    </row>
    <row r="14" spans="1:13" ht="270" x14ac:dyDescent="0.25">
      <c r="A14" s="22">
        <v>166</v>
      </c>
      <c r="B14" s="16" t="s">
        <v>784</v>
      </c>
      <c r="C14" s="16" t="s">
        <v>785</v>
      </c>
      <c r="D14" s="16">
        <v>2091125000</v>
      </c>
      <c r="E14" s="16">
        <v>4</v>
      </c>
      <c r="F14" s="16">
        <v>4</v>
      </c>
      <c r="G14" s="18" t="s">
        <v>108</v>
      </c>
      <c r="H14" s="16"/>
      <c r="I14" s="16" t="s">
        <v>786</v>
      </c>
      <c r="J14" s="16" t="s">
        <v>787</v>
      </c>
      <c r="K14" s="16" t="s">
        <v>788</v>
      </c>
      <c r="L14" s="26">
        <v>11</v>
      </c>
    </row>
    <row r="15" spans="1:13" ht="409.5" x14ac:dyDescent="0.25">
      <c r="A15" s="22">
        <v>179</v>
      </c>
      <c r="B15" s="16" t="s">
        <v>835</v>
      </c>
      <c r="C15" s="16" t="s">
        <v>836</v>
      </c>
      <c r="D15" s="16">
        <v>1891000000</v>
      </c>
      <c r="E15" s="16">
        <v>4</v>
      </c>
      <c r="F15" s="16">
        <v>4</v>
      </c>
      <c r="G15" s="18" t="s">
        <v>108</v>
      </c>
      <c r="H15" s="16"/>
      <c r="I15" s="16" t="s">
        <v>837</v>
      </c>
      <c r="J15" s="16" t="s">
        <v>838</v>
      </c>
      <c r="K15" s="16" t="s">
        <v>839</v>
      </c>
      <c r="L15" s="26">
        <v>12</v>
      </c>
    </row>
    <row r="16" spans="1:13" ht="255" x14ac:dyDescent="0.25">
      <c r="A16" s="22">
        <v>171</v>
      </c>
      <c r="B16" s="16" t="s">
        <v>800</v>
      </c>
      <c r="C16" s="16" t="s">
        <v>801</v>
      </c>
      <c r="D16" s="16">
        <v>1825639730</v>
      </c>
      <c r="E16" s="16">
        <v>4</v>
      </c>
      <c r="F16" s="16">
        <v>5</v>
      </c>
      <c r="G16" s="18" t="s">
        <v>108</v>
      </c>
      <c r="H16" s="16"/>
      <c r="I16" s="16" t="s">
        <v>771</v>
      </c>
      <c r="J16" s="16" t="s">
        <v>802</v>
      </c>
      <c r="K16" s="16" t="s">
        <v>803</v>
      </c>
      <c r="L16" s="26">
        <v>13</v>
      </c>
    </row>
    <row r="17" spans="1:12" ht="270" x14ac:dyDescent="0.25">
      <c r="A17" s="22">
        <v>164</v>
      </c>
      <c r="B17" s="16" t="s">
        <v>774</v>
      </c>
      <c r="C17" s="16" t="s">
        <v>775</v>
      </c>
      <c r="D17" s="16">
        <v>1500000000</v>
      </c>
      <c r="E17" s="16">
        <v>5</v>
      </c>
      <c r="F17" s="16">
        <v>4</v>
      </c>
      <c r="G17" s="18" t="s">
        <v>108</v>
      </c>
      <c r="H17" s="16"/>
      <c r="I17" s="16" t="s">
        <v>776</v>
      </c>
      <c r="J17" s="16" t="s">
        <v>777</v>
      </c>
      <c r="K17" s="16" t="s">
        <v>778</v>
      </c>
      <c r="L17" s="26">
        <v>14</v>
      </c>
    </row>
    <row r="18" spans="1:12" ht="255" x14ac:dyDescent="0.25">
      <c r="A18" s="22">
        <v>151</v>
      </c>
      <c r="B18" s="16" t="s">
        <v>717</v>
      </c>
      <c r="C18" s="16" t="s">
        <v>718</v>
      </c>
      <c r="D18" s="16">
        <v>1185384800</v>
      </c>
      <c r="E18" s="16">
        <v>4</v>
      </c>
      <c r="F18" s="16">
        <v>5</v>
      </c>
      <c r="G18" s="18" t="s">
        <v>108</v>
      </c>
      <c r="H18" s="16"/>
      <c r="I18" s="16" t="s">
        <v>719</v>
      </c>
      <c r="J18" s="16" t="s">
        <v>720</v>
      </c>
      <c r="K18" s="16" t="s">
        <v>721</v>
      </c>
      <c r="L18" s="26">
        <v>15</v>
      </c>
    </row>
    <row r="19" spans="1:12" ht="409.5" x14ac:dyDescent="0.25">
      <c r="A19" s="22">
        <v>159</v>
      </c>
      <c r="B19" s="16" t="s">
        <v>754</v>
      </c>
      <c r="C19" s="16" t="s">
        <v>755</v>
      </c>
      <c r="D19" s="16">
        <v>950000000</v>
      </c>
      <c r="E19" s="16">
        <v>4</v>
      </c>
      <c r="F19" s="16">
        <v>5</v>
      </c>
      <c r="G19" s="18" t="s">
        <v>108</v>
      </c>
      <c r="H19" s="16"/>
      <c r="I19" s="16" t="s">
        <v>756</v>
      </c>
      <c r="J19" s="16" t="s">
        <v>757</v>
      </c>
      <c r="K19" s="16" t="s">
        <v>758</v>
      </c>
      <c r="L19" s="26">
        <v>16</v>
      </c>
    </row>
    <row r="20" spans="1:12" ht="409.5" x14ac:dyDescent="0.25">
      <c r="A20" s="22">
        <v>177</v>
      </c>
      <c r="B20" s="16" t="s">
        <v>825</v>
      </c>
      <c r="C20" s="16" t="s">
        <v>826</v>
      </c>
      <c r="D20" s="16">
        <v>855850000</v>
      </c>
      <c r="E20" s="16">
        <v>4</v>
      </c>
      <c r="F20" s="16">
        <v>4</v>
      </c>
      <c r="G20" s="18" t="s">
        <v>108</v>
      </c>
      <c r="H20" s="16"/>
      <c r="I20" s="16" t="s">
        <v>827</v>
      </c>
      <c r="J20" s="16" t="s">
        <v>828</v>
      </c>
      <c r="K20" s="16" t="s">
        <v>829</v>
      </c>
      <c r="L20" s="26">
        <v>17</v>
      </c>
    </row>
    <row r="21" spans="1:12" ht="315" x14ac:dyDescent="0.25">
      <c r="A21" s="22">
        <v>174</v>
      </c>
      <c r="B21" s="16" t="s">
        <v>810</v>
      </c>
      <c r="C21" s="16" t="s">
        <v>811</v>
      </c>
      <c r="D21" s="16">
        <v>800000000</v>
      </c>
      <c r="E21" s="16">
        <v>4</v>
      </c>
      <c r="F21" s="16">
        <v>4</v>
      </c>
      <c r="G21" s="18" t="s">
        <v>108</v>
      </c>
      <c r="H21" s="16"/>
      <c r="I21" s="16" t="s">
        <v>812</v>
      </c>
      <c r="J21" s="16" t="s">
        <v>813</v>
      </c>
      <c r="K21" s="16" t="s">
        <v>814</v>
      </c>
      <c r="L21" s="26">
        <v>18</v>
      </c>
    </row>
    <row r="22" spans="1:12" ht="195" x14ac:dyDescent="0.25">
      <c r="A22" s="22">
        <v>84</v>
      </c>
      <c r="B22" s="16" t="s">
        <v>403</v>
      </c>
      <c r="C22" s="16" t="s">
        <v>404</v>
      </c>
      <c r="D22" s="16">
        <v>662704800</v>
      </c>
      <c r="E22" s="16">
        <v>4</v>
      </c>
      <c r="F22" s="16">
        <v>4</v>
      </c>
      <c r="G22" s="18" t="s">
        <v>108</v>
      </c>
      <c r="H22" s="16"/>
      <c r="I22" s="16" t="s">
        <v>405</v>
      </c>
      <c r="J22" s="16" t="s">
        <v>406</v>
      </c>
      <c r="K22" s="16" t="s">
        <v>407</v>
      </c>
      <c r="L22" s="26">
        <v>19</v>
      </c>
    </row>
    <row r="23" spans="1:12" ht="225" x14ac:dyDescent="0.25">
      <c r="A23" s="22">
        <v>167</v>
      </c>
      <c r="B23" s="16" t="s">
        <v>789</v>
      </c>
      <c r="C23" s="16" t="s">
        <v>790</v>
      </c>
      <c r="D23" s="16">
        <v>650000000</v>
      </c>
      <c r="E23" s="16">
        <v>4</v>
      </c>
      <c r="F23" s="16">
        <v>4</v>
      </c>
      <c r="G23" s="18" t="s">
        <v>108</v>
      </c>
      <c r="H23" s="16"/>
      <c r="I23" s="16" t="s">
        <v>791</v>
      </c>
      <c r="J23" s="16" t="s">
        <v>792</v>
      </c>
      <c r="K23" s="16" t="s">
        <v>793</v>
      </c>
      <c r="L23" s="26">
        <v>20</v>
      </c>
    </row>
    <row r="24" spans="1:12" ht="150" x14ac:dyDescent="0.25">
      <c r="A24" s="22">
        <v>155</v>
      </c>
      <c r="B24" s="16" t="s">
        <v>734</v>
      </c>
      <c r="C24" s="16" t="s">
        <v>735</v>
      </c>
      <c r="D24" s="16">
        <v>626000000</v>
      </c>
      <c r="E24" s="16">
        <v>4</v>
      </c>
      <c r="F24" s="16">
        <v>5</v>
      </c>
      <c r="G24" s="18" t="s">
        <v>108</v>
      </c>
      <c r="H24" s="16"/>
      <c r="I24" s="16" t="s">
        <v>736</v>
      </c>
      <c r="J24" s="16" t="s">
        <v>737</v>
      </c>
      <c r="K24" s="16" t="s">
        <v>738</v>
      </c>
      <c r="L24" s="26">
        <v>21</v>
      </c>
    </row>
    <row r="25" spans="1:12" ht="375" x14ac:dyDescent="0.25">
      <c r="A25" s="22">
        <v>150</v>
      </c>
      <c r="B25" s="16" t="s">
        <v>712</v>
      </c>
      <c r="C25" s="16" t="s">
        <v>713</v>
      </c>
      <c r="D25" s="16">
        <v>573730000</v>
      </c>
      <c r="E25" s="16">
        <v>4</v>
      </c>
      <c r="F25" s="16">
        <v>4</v>
      </c>
      <c r="G25" s="18" t="s">
        <v>108</v>
      </c>
      <c r="H25" s="16"/>
      <c r="I25" s="16" t="s">
        <v>714</v>
      </c>
      <c r="J25" s="16" t="s">
        <v>715</v>
      </c>
      <c r="K25" s="16" t="s">
        <v>716</v>
      </c>
      <c r="L25" s="26">
        <v>22</v>
      </c>
    </row>
    <row r="26" spans="1:12" ht="195" x14ac:dyDescent="0.25">
      <c r="A26" s="22">
        <v>154</v>
      </c>
      <c r="B26" s="16" t="s">
        <v>729</v>
      </c>
      <c r="C26" s="16" t="s">
        <v>730</v>
      </c>
      <c r="D26" s="16">
        <v>488750000</v>
      </c>
      <c r="E26" s="16">
        <v>4</v>
      </c>
      <c r="F26" s="16">
        <v>5</v>
      </c>
      <c r="G26" s="18" t="s">
        <v>108</v>
      </c>
      <c r="H26" s="16"/>
      <c r="I26" s="16" t="s">
        <v>731</v>
      </c>
      <c r="J26" s="16" t="s">
        <v>732</v>
      </c>
      <c r="K26" s="16" t="s">
        <v>733</v>
      </c>
      <c r="L26" s="26">
        <v>23</v>
      </c>
    </row>
    <row r="27" spans="1:12" ht="360" x14ac:dyDescent="0.25">
      <c r="A27" s="22">
        <v>175</v>
      </c>
      <c r="B27" s="16" t="s">
        <v>815</v>
      </c>
      <c r="C27" s="16" t="s">
        <v>816</v>
      </c>
      <c r="D27" s="16">
        <v>462000000</v>
      </c>
      <c r="E27" s="16">
        <v>4</v>
      </c>
      <c r="F27" s="16">
        <v>4</v>
      </c>
      <c r="G27" s="18" t="s">
        <v>108</v>
      </c>
      <c r="H27" s="16"/>
      <c r="I27" s="16" t="s">
        <v>817</v>
      </c>
      <c r="J27" s="16" t="s">
        <v>818</v>
      </c>
      <c r="K27" s="16" t="s">
        <v>819</v>
      </c>
      <c r="L27" s="26">
        <v>24</v>
      </c>
    </row>
    <row r="28" spans="1:12" ht="165" x14ac:dyDescent="0.25">
      <c r="A28" s="22">
        <v>124</v>
      </c>
      <c r="B28" s="16" t="s">
        <v>592</v>
      </c>
      <c r="C28" s="16" t="s">
        <v>593</v>
      </c>
      <c r="D28" s="16">
        <v>367466000</v>
      </c>
      <c r="E28" s="16">
        <v>4</v>
      </c>
      <c r="F28" s="16">
        <v>5</v>
      </c>
      <c r="G28" s="18" t="s">
        <v>108</v>
      </c>
      <c r="H28" s="16"/>
      <c r="I28" s="16" t="s">
        <v>594</v>
      </c>
      <c r="J28" s="16" t="s">
        <v>595</v>
      </c>
      <c r="K28" s="16" t="s">
        <v>596</v>
      </c>
      <c r="L28" s="26">
        <v>25</v>
      </c>
    </row>
    <row r="29" spans="1:12" ht="285" x14ac:dyDescent="0.25">
      <c r="A29" s="22">
        <v>160</v>
      </c>
      <c r="B29" s="16" t="s">
        <v>759</v>
      </c>
      <c r="C29" s="16" t="s">
        <v>760</v>
      </c>
      <c r="D29" s="16">
        <v>355000000</v>
      </c>
      <c r="E29" s="16">
        <v>4</v>
      </c>
      <c r="F29" s="16">
        <v>5</v>
      </c>
      <c r="G29" s="18" t="s">
        <v>108</v>
      </c>
      <c r="H29" s="16"/>
      <c r="I29" s="16" t="s">
        <v>761</v>
      </c>
      <c r="J29" s="16" t="s">
        <v>762</v>
      </c>
      <c r="K29" s="16" t="s">
        <v>753</v>
      </c>
      <c r="L29" s="26">
        <v>26</v>
      </c>
    </row>
    <row r="30" spans="1:12" ht="285" x14ac:dyDescent="0.25">
      <c r="A30" s="22">
        <v>172</v>
      </c>
      <c r="B30" s="16" t="s">
        <v>804</v>
      </c>
      <c r="C30" s="16" t="s">
        <v>805</v>
      </c>
      <c r="D30" s="16">
        <v>355000000</v>
      </c>
      <c r="E30" s="16">
        <v>4</v>
      </c>
      <c r="F30" s="16">
        <v>5</v>
      </c>
      <c r="G30" s="18" t="s">
        <v>108</v>
      </c>
      <c r="H30" s="16"/>
      <c r="I30" s="16" t="s">
        <v>761</v>
      </c>
      <c r="J30" s="16" t="s">
        <v>762</v>
      </c>
      <c r="K30" s="16" t="s">
        <v>753</v>
      </c>
      <c r="L30" s="26">
        <v>27</v>
      </c>
    </row>
    <row r="31" spans="1:12" ht="135" x14ac:dyDescent="0.25">
      <c r="A31" s="22">
        <v>78</v>
      </c>
      <c r="B31" s="16" t="s">
        <v>375</v>
      </c>
      <c r="C31" s="16" t="s">
        <v>376</v>
      </c>
      <c r="D31" s="16">
        <v>351764210</v>
      </c>
      <c r="E31" s="16">
        <v>4</v>
      </c>
      <c r="F31" s="16">
        <v>5</v>
      </c>
      <c r="G31" s="18" t="s">
        <v>108</v>
      </c>
      <c r="H31" s="16"/>
      <c r="I31" s="16" t="s">
        <v>364</v>
      </c>
      <c r="J31" s="16" t="s">
        <v>377</v>
      </c>
      <c r="K31" s="16" t="s">
        <v>374</v>
      </c>
      <c r="L31" s="26">
        <v>28</v>
      </c>
    </row>
    <row r="32" spans="1:12" ht="375" x14ac:dyDescent="0.25">
      <c r="A32" s="22">
        <v>115</v>
      </c>
      <c r="B32" s="16" t="s">
        <v>549</v>
      </c>
      <c r="C32" s="16" t="s">
        <v>550</v>
      </c>
      <c r="D32" s="16">
        <v>325015100</v>
      </c>
      <c r="E32" s="16">
        <v>5</v>
      </c>
      <c r="F32" s="16">
        <v>4</v>
      </c>
      <c r="G32" s="18" t="s">
        <v>108</v>
      </c>
      <c r="H32" s="16"/>
      <c r="I32" s="16" t="s">
        <v>551</v>
      </c>
      <c r="J32" s="16" t="s">
        <v>552</v>
      </c>
      <c r="K32" s="16" t="s">
        <v>553</v>
      </c>
      <c r="L32" s="26">
        <v>29</v>
      </c>
    </row>
    <row r="33" spans="1:18" ht="300" x14ac:dyDescent="0.25">
      <c r="A33" s="22">
        <v>602</v>
      </c>
      <c r="B33" s="16" t="s">
        <v>2647</v>
      </c>
      <c r="C33" s="16" t="s">
        <v>2648</v>
      </c>
      <c r="D33" s="16">
        <v>7560987522</v>
      </c>
      <c r="E33" s="16">
        <v>2</v>
      </c>
      <c r="F33" s="16">
        <v>5</v>
      </c>
      <c r="G33" s="20" t="s">
        <v>1443</v>
      </c>
      <c r="H33" s="16"/>
      <c r="I33" s="16" t="s">
        <v>2649</v>
      </c>
      <c r="J33" s="16" t="s">
        <v>2650</v>
      </c>
      <c r="K33" s="16" t="s">
        <v>2651</v>
      </c>
      <c r="L33" s="26">
        <v>30</v>
      </c>
    </row>
    <row r="34" spans="1:18" ht="240" x14ac:dyDescent="0.25">
      <c r="A34" s="22">
        <v>599</v>
      </c>
      <c r="B34" s="16" t="s">
        <v>2635</v>
      </c>
      <c r="C34" s="16" t="s">
        <v>2636</v>
      </c>
      <c r="D34" s="16">
        <v>7529773200</v>
      </c>
      <c r="E34" s="16">
        <v>2</v>
      </c>
      <c r="F34" s="16">
        <v>5</v>
      </c>
      <c r="G34" s="20" t="s">
        <v>1443</v>
      </c>
      <c r="H34" s="16"/>
      <c r="I34" s="16" t="s">
        <v>2637</v>
      </c>
      <c r="J34" s="16" t="s">
        <v>2638</v>
      </c>
      <c r="K34" s="16" t="s">
        <v>753</v>
      </c>
      <c r="L34" s="26">
        <v>31</v>
      </c>
    </row>
    <row r="35" spans="1:18" ht="240" x14ac:dyDescent="0.25">
      <c r="A35" s="22">
        <v>608</v>
      </c>
      <c r="B35" s="16" t="s">
        <v>2668</v>
      </c>
      <c r="C35" s="16" t="s">
        <v>2669</v>
      </c>
      <c r="D35" s="16">
        <v>7529773200</v>
      </c>
      <c r="E35" s="16">
        <v>2</v>
      </c>
      <c r="F35" s="16">
        <v>5</v>
      </c>
      <c r="G35" s="20" t="s">
        <v>1443</v>
      </c>
      <c r="H35" s="16"/>
      <c r="I35" s="16" t="s">
        <v>2637</v>
      </c>
      <c r="J35" s="16" t="s">
        <v>2638</v>
      </c>
      <c r="K35" s="16" t="s">
        <v>753</v>
      </c>
      <c r="L35" s="26">
        <v>32</v>
      </c>
    </row>
    <row r="36" spans="1:18" ht="210" x14ac:dyDescent="0.25">
      <c r="A36" s="22">
        <v>507</v>
      </c>
      <c r="B36" s="16" t="s">
        <v>2259</v>
      </c>
      <c r="C36" s="16" t="s">
        <v>2260</v>
      </c>
      <c r="D36" s="16">
        <v>3698315264</v>
      </c>
      <c r="E36" s="16">
        <v>2</v>
      </c>
      <c r="F36" s="16">
        <v>4</v>
      </c>
      <c r="G36" s="20" t="s">
        <v>1443</v>
      </c>
      <c r="H36" s="16"/>
      <c r="I36" s="16" t="s">
        <v>2261</v>
      </c>
      <c r="J36" s="16" t="s">
        <v>2262</v>
      </c>
      <c r="K36" s="16" t="s">
        <v>2254</v>
      </c>
      <c r="L36" s="26">
        <v>33</v>
      </c>
    </row>
    <row r="37" spans="1:18" ht="255" x14ac:dyDescent="0.25">
      <c r="A37" s="22">
        <v>592</v>
      </c>
      <c r="B37" s="16" t="s">
        <v>2616</v>
      </c>
      <c r="C37" s="16" t="s">
        <v>2617</v>
      </c>
      <c r="D37" s="16">
        <v>3618671150</v>
      </c>
      <c r="E37" s="16">
        <v>2</v>
      </c>
      <c r="F37" s="16">
        <v>5</v>
      </c>
      <c r="G37" s="20" t="s">
        <v>1443</v>
      </c>
      <c r="H37" s="16"/>
      <c r="I37" s="16" t="s">
        <v>2618</v>
      </c>
      <c r="J37" s="16" t="s">
        <v>2619</v>
      </c>
      <c r="K37" s="16" t="s">
        <v>2620</v>
      </c>
      <c r="L37" s="26">
        <v>34</v>
      </c>
      <c r="M37" s="28">
        <v>3</v>
      </c>
    </row>
    <row r="38" spans="1:18" ht="240" x14ac:dyDescent="0.25">
      <c r="A38" s="22">
        <v>603</v>
      </c>
      <c r="B38" s="16" t="s">
        <v>2652</v>
      </c>
      <c r="C38" s="16" t="s">
        <v>2653</v>
      </c>
      <c r="D38" s="16">
        <v>3217922425</v>
      </c>
      <c r="E38" s="16">
        <v>2</v>
      </c>
      <c r="F38" s="16">
        <v>3</v>
      </c>
      <c r="G38" s="20" t="s">
        <v>1443</v>
      </c>
      <c r="H38" s="16"/>
      <c r="I38" s="16" t="s">
        <v>2654</v>
      </c>
      <c r="J38" s="16" t="s">
        <v>2655</v>
      </c>
      <c r="K38" s="16" t="s">
        <v>2656</v>
      </c>
      <c r="L38" s="26">
        <v>35</v>
      </c>
      <c r="M38" s="28">
        <v>4</v>
      </c>
    </row>
    <row r="39" spans="1:18" ht="210" x14ac:dyDescent="0.25">
      <c r="A39" s="22">
        <v>617</v>
      </c>
      <c r="B39" s="16" t="s">
        <v>2692</v>
      </c>
      <c r="C39" s="16" t="s">
        <v>2693</v>
      </c>
      <c r="D39" s="16">
        <v>3162000000</v>
      </c>
      <c r="E39" s="16">
        <v>2</v>
      </c>
      <c r="F39" s="16">
        <v>4</v>
      </c>
      <c r="G39" s="20" t="s">
        <v>1443</v>
      </c>
      <c r="H39" s="16"/>
      <c r="I39" s="16" t="s">
        <v>2694</v>
      </c>
      <c r="J39" s="16" t="s">
        <v>2695</v>
      </c>
      <c r="K39" s="16" t="s">
        <v>2696</v>
      </c>
      <c r="L39" s="26">
        <v>36</v>
      </c>
      <c r="N39" s="29"/>
      <c r="O39" s="29"/>
      <c r="P39" s="29"/>
      <c r="Q39" s="29"/>
      <c r="R39" s="29"/>
    </row>
    <row r="40" spans="1:18" ht="240" x14ac:dyDescent="0.25">
      <c r="A40" s="22">
        <v>605</v>
      </c>
      <c r="B40" s="16" t="s">
        <v>2662</v>
      </c>
      <c r="C40" s="16" t="s">
        <v>2663</v>
      </c>
      <c r="D40" s="16">
        <v>3070000000</v>
      </c>
      <c r="E40" s="16">
        <v>2</v>
      </c>
      <c r="F40" s="16">
        <v>5</v>
      </c>
      <c r="G40" s="20" t="s">
        <v>1443</v>
      </c>
      <c r="H40" s="16"/>
      <c r="I40" s="16" t="s">
        <v>2637</v>
      </c>
      <c r="J40" s="16" t="s">
        <v>2638</v>
      </c>
      <c r="K40" s="16" t="s">
        <v>753</v>
      </c>
      <c r="L40" s="26">
        <v>37</v>
      </c>
    </row>
    <row r="41" spans="1:18" ht="240" x14ac:dyDescent="0.25">
      <c r="A41" s="22">
        <v>607</v>
      </c>
      <c r="B41" s="16" t="s">
        <v>2666</v>
      </c>
      <c r="C41" s="16" t="s">
        <v>2667</v>
      </c>
      <c r="D41" s="16">
        <v>3070000000</v>
      </c>
      <c r="E41" s="16">
        <v>2</v>
      </c>
      <c r="F41" s="16">
        <v>5</v>
      </c>
      <c r="G41" s="20" t="s">
        <v>1443</v>
      </c>
      <c r="H41" s="16"/>
      <c r="I41" s="16" t="s">
        <v>2637</v>
      </c>
      <c r="J41" s="16" t="s">
        <v>2638</v>
      </c>
      <c r="K41" s="16" t="s">
        <v>753</v>
      </c>
      <c r="L41" s="26">
        <v>38</v>
      </c>
    </row>
    <row r="42" spans="1:18" ht="225" x14ac:dyDescent="0.25">
      <c r="A42" s="22">
        <v>505</v>
      </c>
      <c r="B42" s="16" t="s">
        <v>2250</v>
      </c>
      <c r="C42" s="16" t="s">
        <v>2251</v>
      </c>
      <c r="D42" s="16">
        <v>1946143150</v>
      </c>
      <c r="E42" s="16">
        <v>2</v>
      </c>
      <c r="F42" s="16">
        <v>4</v>
      </c>
      <c r="G42" s="20" t="s">
        <v>1443</v>
      </c>
      <c r="H42" s="16"/>
      <c r="I42" s="16" t="s">
        <v>2252</v>
      </c>
      <c r="J42" s="16" t="s">
        <v>2253</v>
      </c>
      <c r="K42" s="16" t="s">
        <v>2254</v>
      </c>
      <c r="L42" s="26">
        <v>39</v>
      </c>
    </row>
    <row r="43" spans="1:18" ht="409.5" x14ac:dyDescent="0.25">
      <c r="A43" s="22">
        <v>511</v>
      </c>
      <c r="B43" s="16" t="s">
        <v>2278</v>
      </c>
      <c r="C43" s="16" t="s">
        <v>2279</v>
      </c>
      <c r="D43" s="16">
        <v>1761377200</v>
      </c>
      <c r="E43" s="16">
        <v>2</v>
      </c>
      <c r="F43" s="16">
        <v>5</v>
      </c>
      <c r="G43" s="20" t="s">
        <v>1443</v>
      </c>
      <c r="H43" s="16"/>
      <c r="I43" s="16" t="s">
        <v>2280</v>
      </c>
      <c r="J43" s="16" t="s">
        <v>2281</v>
      </c>
      <c r="K43" s="16" t="s">
        <v>2282</v>
      </c>
      <c r="L43" s="26">
        <v>40</v>
      </c>
    </row>
    <row r="44" spans="1:18" ht="345" x14ac:dyDescent="0.25">
      <c r="A44" s="22">
        <v>496</v>
      </c>
      <c r="B44" s="16" t="s">
        <v>2207</v>
      </c>
      <c r="C44" s="16" t="s">
        <v>2208</v>
      </c>
      <c r="D44" s="16">
        <v>1646400000</v>
      </c>
      <c r="E44" s="16">
        <v>2</v>
      </c>
      <c r="F44" s="16">
        <v>4</v>
      </c>
      <c r="G44" s="20" t="s">
        <v>1443</v>
      </c>
      <c r="H44" s="16"/>
      <c r="I44" s="16" t="s">
        <v>2209</v>
      </c>
      <c r="J44" s="16" t="s">
        <v>2210</v>
      </c>
      <c r="K44" s="16" t="s">
        <v>2211</v>
      </c>
      <c r="L44" s="26">
        <v>41</v>
      </c>
    </row>
    <row r="45" spans="1:18" ht="405" x14ac:dyDescent="0.25">
      <c r="A45" s="22">
        <v>553</v>
      </c>
      <c r="B45" s="16" t="s">
        <v>2475</v>
      </c>
      <c r="C45" s="16" t="s">
        <v>2476</v>
      </c>
      <c r="D45" s="16">
        <v>1506265000</v>
      </c>
      <c r="E45" s="16">
        <v>2</v>
      </c>
      <c r="F45" s="16">
        <v>5</v>
      </c>
      <c r="G45" s="20" t="s">
        <v>1443</v>
      </c>
      <c r="H45" s="16"/>
      <c r="I45" s="16" t="s">
        <v>642</v>
      </c>
      <c r="J45" s="16" t="s">
        <v>2477</v>
      </c>
      <c r="K45" s="16" t="s">
        <v>2478</v>
      </c>
      <c r="L45" s="26">
        <v>42</v>
      </c>
    </row>
    <row r="46" spans="1:18" ht="210" x14ac:dyDescent="0.25">
      <c r="A46" s="22">
        <v>615</v>
      </c>
      <c r="B46" s="16" t="s">
        <v>2682</v>
      </c>
      <c r="C46" s="16" t="s">
        <v>2683</v>
      </c>
      <c r="D46" s="16">
        <v>1464000000</v>
      </c>
      <c r="E46" s="16">
        <v>2</v>
      </c>
      <c r="F46" s="16">
        <v>5</v>
      </c>
      <c r="G46" s="20" t="s">
        <v>1443</v>
      </c>
      <c r="H46" s="16"/>
      <c r="I46" s="16" t="s">
        <v>2684</v>
      </c>
      <c r="J46" s="16" t="s">
        <v>2685</v>
      </c>
      <c r="K46" s="16" t="s">
        <v>2686</v>
      </c>
      <c r="L46" s="26">
        <v>43</v>
      </c>
    </row>
    <row r="47" spans="1:18" ht="195" x14ac:dyDescent="0.25">
      <c r="A47" s="22">
        <v>506</v>
      </c>
      <c r="B47" s="16" t="s">
        <v>2255</v>
      </c>
      <c r="C47" s="16" t="s">
        <v>2256</v>
      </c>
      <c r="D47" s="16">
        <v>1292986606</v>
      </c>
      <c r="E47" s="16">
        <v>2</v>
      </c>
      <c r="F47" s="16">
        <v>4</v>
      </c>
      <c r="G47" s="20" t="s">
        <v>1443</v>
      </c>
      <c r="H47" s="16"/>
      <c r="I47" s="16" t="s">
        <v>2257</v>
      </c>
      <c r="J47" s="16" t="s">
        <v>2258</v>
      </c>
      <c r="K47" s="16" t="s">
        <v>2254</v>
      </c>
      <c r="L47" s="26">
        <v>44</v>
      </c>
    </row>
    <row r="48" spans="1:18" ht="210" x14ac:dyDescent="0.25">
      <c r="A48" s="22">
        <v>604</v>
      </c>
      <c r="B48" s="16" t="s">
        <v>2657</v>
      </c>
      <c r="C48" s="16" t="s">
        <v>2658</v>
      </c>
      <c r="D48" s="16">
        <v>1289000000</v>
      </c>
      <c r="E48" s="16">
        <v>2</v>
      </c>
      <c r="F48" s="16">
        <v>4</v>
      </c>
      <c r="G48" s="20" t="s">
        <v>1443</v>
      </c>
      <c r="H48" s="16"/>
      <c r="I48" s="16" t="s">
        <v>2659</v>
      </c>
      <c r="J48" s="16" t="s">
        <v>2660</v>
      </c>
      <c r="K48" s="16" t="s">
        <v>2661</v>
      </c>
      <c r="L48" s="26">
        <v>45</v>
      </c>
    </row>
    <row r="49" spans="1:12" ht="270" x14ac:dyDescent="0.25">
      <c r="A49" s="22">
        <v>601</v>
      </c>
      <c r="B49" s="16" t="s">
        <v>2642</v>
      </c>
      <c r="C49" s="16" t="s">
        <v>2643</v>
      </c>
      <c r="D49" s="16">
        <v>950000000</v>
      </c>
      <c r="E49" s="16">
        <v>2</v>
      </c>
      <c r="F49" s="16">
        <v>4</v>
      </c>
      <c r="G49" s="20" t="s">
        <v>1443</v>
      </c>
      <c r="H49" s="16"/>
      <c r="I49" s="16" t="s">
        <v>2644</v>
      </c>
      <c r="J49" s="16" t="s">
        <v>2645</v>
      </c>
      <c r="K49" s="16" t="s">
        <v>2646</v>
      </c>
      <c r="L49" s="26">
        <v>46</v>
      </c>
    </row>
    <row r="50" spans="1:12" ht="240" x14ac:dyDescent="0.25">
      <c r="A50" s="22">
        <v>598</v>
      </c>
      <c r="B50" s="16" t="s">
        <v>2633</v>
      </c>
      <c r="C50" s="16" t="s">
        <v>2634</v>
      </c>
      <c r="D50" s="16">
        <v>930000000</v>
      </c>
      <c r="E50" s="16">
        <v>2</v>
      </c>
      <c r="F50" s="16">
        <v>5</v>
      </c>
      <c r="G50" s="20" t="s">
        <v>1443</v>
      </c>
      <c r="H50" s="16"/>
      <c r="I50" s="16" t="s">
        <v>2625</v>
      </c>
      <c r="J50" s="16" t="s">
        <v>2626</v>
      </c>
      <c r="K50" s="16" t="s">
        <v>753</v>
      </c>
      <c r="L50" s="26">
        <v>47</v>
      </c>
    </row>
    <row r="51" spans="1:12" ht="240" x14ac:dyDescent="0.25">
      <c r="A51" s="22">
        <v>611</v>
      </c>
      <c r="B51" s="16" t="s">
        <v>2674</v>
      </c>
      <c r="C51" s="16" t="s">
        <v>2675</v>
      </c>
      <c r="D51" s="16">
        <v>930000000</v>
      </c>
      <c r="E51" s="16">
        <v>2</v>
      </c>
      <c r="F51" s="16">
        <v>5</v>
      </c>
      <c r="G51" s="20" t="s">
        <v>1443</v>
      </c>
      <c r="H51" s="16"/>
      <c r="I51" s="16" t="s">
        <v>2625</v>
      </c>
      <c r="J51" s="16" t="s">
        <v>2626</v>
      </c>
      <c r="K51" s="16" t="s">
        <v>753</v>
      </c>
      <c r="L51" s="26">
        <v>48</v>
      </c>
    </row>
    <row r="52" spans="1:12" ht="210" x14ac:dyDescent="0.25">
      <c r="A52" s="22">
        <v>494</v>
      </c>
      <c r="B52" s="16" t="s">
        <v>2197</v>
      </c>
      <c r="C52" s="16" t="s">
        <v>2198</v>
      </c>
      <c r="D52" s="16">
        <v>787456000</v>
      </c>
      <c r="E52" s="16">
        <v>2</v>
      </c>
      <c r="F52" s="16">
        <v>5</v>
      </c>
      <c r="G52" s="20" t="s">
        <v>1443</v>
      </c>
      <c r="H52" s="16"/>
      <c r="I52" s="16" t="s">
        <v>2199</v>
      </c>
      <c r="J52" s="16" t="s">
        <v>2200</v>
      </c>
      <c r="K52" s="16" t="s">
        <v>2201</v>
      </c>
      <c r="L52" s="26">
        <v>49</v>
      </c>
    </row>
    <row r="53" spans="1:12" ht="195" x14ac:dyDescent="0.25">
      <c r="A53" s="22">
        <v>616</v>
      </c>
      <c r="B53" s="16" t="s">
        <v>2687</v>
      </c>
      <c r="C53" s="16" t="s">
        <v>2688</v>
      </c>
      <c r="D53" s="16">
        <v>672500000</v>
      </c>
      <c r="E53" s="16">
        <v>2</v>
      </c>
      <c r="F53" s="16">
        <v>4</v>
      </c>
      <c r="G53" s="20" t="s">
        <v>1443</v>
      </c>
      <c r="H53" s="16"/>
      <c r="I53" s="16" t="s">
        <v>2689</v>
      </c>
      <c r="J53" s="16" t="s">
        <v>2690</v>
      </c>
      <c r="K53" s="16" t="s">
        <v>2691</v>
      </c>
      <c r="L53" s="26">
        <v>50</v>
      </c>
    </row>
    <row r="54" spans="1:12" ht="240" x14ac:dyDescent="0.25">
      <c r="A54" s="22">
        <v>597</v>
      </c>
      <c r="B54" s="16" t="s">
        <v>2631</v>
      </c>
      <c r="C54" s="16" t="s">
        <v>2632</v>
      </c>
      <c r="D54" s="16">
        <v>550000000</v>
      </c>
      <c r="E54" s="16">
        <v>2</v>
      </c>
      <c r="F54" s="16">
        <v>5</v>
      </c>
      <c r="G54" s="20" t="s">
        <v>1443</v>
      </c>
      <c r="H54" s="16"/>
      <c r="I54" s="16" t="s">
        <v>2625</v>
      </c>
      <c r="J54" s="16" t="s">
        <v>2626</v>
      </c>
      <c r="K54" s="16" t="s">
        <v>753</v>
      </c>
      <c r="L54" s="26">
        <v>51</v>
      </c>
    </row>
    <row r="55" spans="1:12" ht="240" x14ac:dyDescent="0.25">
      <c r="A55" s="22">
        <v>613</v>
      </c>
      <c r="B55" s="16" t="s">
        <v>2678</v>
      </c>
      <c r="C55" s="16" t="s">
        <v>2679</v>
      </c>
      <c r="D55" s="16">
        <v>550000000</v>
      </c>
      <c r="E55" s="16">
        <v>2</v>
      </c>
      <c r="F55" s="16">
        <v>5</v>
      </c>
      <c r="G55" s="20" t="s">
        <v>1443</v>
      </c>
      <c r="H55" s="16"/>
      <c r="I55" s="16" t="s">
        <v>2625</v>
      </c>
      <c r="J55" s="16" t="s">
        <v>2626</v>
      </c>
      <c r="K55" s="16" t="s">
        <v>753</v>
      </c>
      <c r="L55" s="26">
        <v>52</v>
      </c>
    </row>
    <row r="56" spans="1:12" ht="409.5" x14ac:dyDescent="0.25">
      <c r="A56" s="22">
        <v>509</v>
      </c>
      <c r="B56" s="16" t="s">
        <v>2268</v>
      </c>
      <c r="C56" s="16" t="s">
        <v>2269</v>
      </c>
      <c r="D56" s="16">
        <v>381600000</v>
      </c>
      <c r="E56" s="16">
        <v>3</v>
      </c>
      <c r="F56" s="16">
        <v>3</v>
      </c>
      <c r="G56" s="20" t="s">
        <v>1443</v>
      </c>
      <c r="H56" s="16"/>
      <c r="I56" s="16" t="s">
        <v>2270</v>
      </c>
      <c r="J56" s="16" t="s">
        <v>2271</v>
      </c>
      <c r="K56" s="16" t="s">
        <v>2272</v>
      </c>
      <c r="L56" s="26">
        <v>53</v>
      </c>
    </row>
    <row r="57" spans="1:12" ht="300" x14ac:dyDescent="0.25">
      <c r="A57" s="22">
        <v>591</v>
      </c>
      <c r="B57" s="16" t="s">
        <v>2611</v>
      </c>
      <c r="C57" s="16" t="s">
        <v>2612</v>
      </c>
      <c r="D57" s="16">
        <v>370000000</v>
      </c>
      <c r="E57" s="16">
        <v>2</v>
      </c>
      <c r="F57" s="16">
        <v>5</v>
      </c>
      <c r="G57" s="20" t="s">
        <v>1443</v>
      </c>
      <c r="H57" s="16"/>
      <c r="I57" s="16" t="s">
        <v>2613</v>
      </c>
      <c r="J57" s="16" t="s">
        <v>2614</v>
      </c>
      <c r="K57" s="16" t="s">
        <v>2615</v>
      </c>
      <c r="L57" s="26">
        <v>54</v>
      </c>
    </row>
    <row r="58" spans="1:12" ht="255" x14ac:dyDescent="0.25">
      <c r="A58" s="22">
        <v>639</v>
      </c>
      <c r="B58" s="16" t="s">
        <v>2800</v>
      </c>
      <c r="C58" s="16" t="s">
        <v>2801</v>
      </c>
      <c r="D58" s="16">
        <v>364249400</v>
      </c>
      <c r="E58" s="16">
        <v>3</v>
      </c>
      <c r="F58" s="16">
        <v>2</v>
      </c>
      <c r="G58" s="20" t="s">
        <v>1443</v>
      </c>
      <c r="H58" s="16"/>
      <c r="I58" s="16" t="s">
        <v>2802</v>
      </c>
      <c r="J58" s="16" t="s">
        <v>2803</v>
      </c>
      <c r="K58" s="16" t="s">
        <v>2804</v>
      </c>
      <c r="L58" s="26">
        <v>55</v>
      </c>
    </row>
    <row r="59" spans="1:12" ht="240" x14ac:dyDescent="0.25">
      <c r="A59" s="22">
        <v>600</v>
      </c>
      <c r="B59" s="16" t="s">
        <v>2639</v>
      </c>
      <c r="C59" s="16" t="s">
        <v>2640</v>
      </c>
      <c r="D59" s="16">
        <v>353000000</v>
      </c>
      <c r="E59" s="16">
        <v>2</v>
      </c>
      <c r="F59" s="16">
        <v>5</v>
      </c>
      <c r="G59" s="20" t="s">
        <v>1443</v>
      </c>
      <c r="H59" s="16"/>
      <c r="I59" s="16" t="s">
        <v>2641</v>
      </c>
      <c r="J59" s="16" t="s">
        <v>2638</v>
      </c>
      <c r="K59" s="16" t="s">
        <v>753</v>
      </c>
      <c r="L59" s="26">
        <v>56</v>
      </c>
    </row>
    <row r="60" spans="1:12" ht="240" x14ac:dyDescent="0.25">
      <c r="A60" s="22">
        <v>606</v>
      </c>
      <c r="B60" s="16" t="s">
        <v>2664</v>
      </c>
      <c r="C60" s="16" t="s">
        <v>2665</v>
      </c>
      <c r="D60" s="16">
        <v>353000000</v>
      </c>
      <c r="E60" s="16">
        <v>2</v>
      </c>
      <c r="F60" s="16">
        <v>5</v>
      </c>
      <c r="G60" s="20" t="s">
        <v>1443</v>
      </c>
      <c r="H60" s="16"/>
      <c r="I60" s="16" t="s">
        <v>2641</v>
      </c>
      <c r="J60" s="16" t="s">
        <v>2638</v>
      </c>
      <c r="K60" s="16" t="s">
        <v>753</v>
      </c>
      <c r="L60" s="26">
        <v>57</v>
      </c>
    </row>
    <row r="61" spans="1:12" ht="240" x14ac:dyDescent="0.25">
      <c r="A61" s="22">
        <v>595</v>
      </c>
      <c r="B61" s="16" t="s">
        <v>2627</v>
      </c>
      <c r="C61" s="16" t="s">
        <v>2628</v>
      </c>
      <c r="D61" s="16">
        <v>350000000</v>
      </c>
      <c r="E61" s="16">
        <v>2</v>
      </c>
      <c r="F61" s="16">
        <v>5</v>
      </c>
      <c r="G61" s="20" t="s">
        <v>1443</v>
      </c>
      <c r="H61" s="16"/>
      <c r="I61" s="16" t="s">
        <v>2625</v>
      </c>
      <c r="J61" s="16" t="s">
        <v>2626</v>
      </c>
      <c r="K61" s="16" t="s">
        <v>753</v>
      </c>
      <c r="L61" s="26">
        <v>58</v>
      </c>
    </row>
    <row r="62" spans="1:12" ht="240" x14ac:dyDescent="0.25">
      <c r="A62" s="22">
        <v>612</v>
      </c>
      <c r="B62" s="16" t="s">
        <v>2676</v>
      </c>
      <c r="C62" s="16" t="s">
        <v>2677</v>
      </c>
      <c r="D62" s="16">
        <v>350000000</v>
      </c>
      <c r="E62" s="16">
        <v>2</v>
      </c>
      <c r="F62" s="16">
        <v>5</v>
      </c>
      <c r="G62" s="20" t="s">
        <v>1443</v>
      </c>
      <c r="H62" s="16"/>
      <c r="I62" s="16" t="s">
        <v>2625</v>
      </c>
      <c r="J62" s="16" t="s">
        <v>2626</v>
      </c>
      <c r="K62" s="16" t="s">
        <v>753</v>
      </c>
      <c r="L62" s="26">
        <v>59</v>
      </c>
    </row>
    <row r="63" spans="1:12" ht="195" x14ac:dyDescent="0.25">
      <c r="A63" s="22">
        <v>308</v>
      </c>
      <c r="B63" s="16" t="s">
        <v>1412</v>
      </c>
      <c r="C63" s="16" t="s">
        <v>1413</v>
      </c>
      <c r="D63" s="16">
        <v>5054030000</v>
      </c>
      <c r="E63" s="16">
        <v>3</v>
      </c>
      <c r="F63" s="16">
        <v>5</v>
      </c>
      <c r="G63" s="19" t="s">
        <v>842</v>
      </c>
      <c r="H63" s="16"/>
      <c r="I63" s="16" t="s">
        <v>791</v>
      </c>
      <c r="J63" s="16" t="s">
        <v>1414</v>
      </c>
      <c r="K63" s="16" t="s">
        <v>1415</v>
      </c>
      <c r="L63" s="26">
        <v>60</v>
      </c>
    </row>
    <row r="64" spans="1:12" ht="315" x14ac:dyDescent="0.25">
      <c r="A64" s="22">
        <v>311</v>
      </c>
      <c r="B64" s="16" t="s">
        <v>1425</v>
      </c>
      <c r="C64" s="16" t="s">
        <v>1426</v>
      </c>
      <c r="D64" s="16">
        <v>2581827000</v>
      </c>
      <c r="E64" s="16">
        <v>4</v>
      </c>
      <c r="F64" s="16">
        <v>3</v>
      </c>
      <c r="G64" s="19" t="s">
        <v>842</v>
      </c>
      <c r="H64" s="16"/>
      <c r="I64" s="16" t="s">
        <v>1427</v>
      </c>
      <c r="J64" s="16" t="s">
        <v>1428</v>
      </c>
      <c r="K64" s="16" t="s">
        <v>1429</v>
      </c>
      <c r="L64" s="26">
        <v>61</v>
      </c>
    </row>
    <row r="65" spans="1:12" ht="225" x14ac:dyDescent="0.25">
      <c r="A65" s="22">
        <v>304</v>
      </c>
      <c r="B65" s="16" t="s">
        <v>1393</v>
      </c>
      <c r="C65" s="16" t="s">
        <v>1394</v>
      </c>
      <c r="D65" s="16">
        <v>1942000000</v>
      </c>
      <c r="E65" s="16">
        <v>5</v>
      </c>
      <c r="F65" s="16">
        <v>3</v>
      </c>
      <c r="G65" s="19" t="s">
        <v>842</v>
      </c>
      <c r="H65" s="16"/>
      <c r="I65" s="16" t="s">
        <v>1395</v>
      </c>
      <c r="J65" s="16" t="s">
        <v>1396</v>
      </c>
      <c r="K65" s="16" t="s">
        <v>1397</v>
      </c>
      <c r="L65" s="26">
        <v>62</v>
      </c>
    </row>
    <row r="66" spans="1:12" ht="315" x14ac:dyDescent="0.25">
      <c r="A66" s="22">
        <v>306</v>
      </c>
      <c r="B66" s="16" t="s">
        <v>1403</v>
      </c>
      <c r="C66" s="16" t="s">
        <v>1404</v>
      </c>
      <c r="D66" s="16">
        <v>1543230803</v>
      </c>
      <c r="E66" s="16">
        <v>4</v>
      </c>
      <c r="F66" s="16">
        <v>3</v>
      </c>
      <c r="G66" s="19" t="s">
        <v>842</v>
      </c>
      <c r="H66" s="16"/>
      <c r="I66" s="16" t="s">
        <v>1400</v>
      </c>
      <c r="J66" s="16" t="s">
        <v>1405</v>
      </c>
      <c r="K66" s="16" t="s">
        <v>1406</v>
      </c>
      <c r="L66" s="26">
        <v>63</v>
      </c>
    </row>
    <row r="67" spans="1:12" ht="270" x14ac:dyDescent="0.25">
      <c r="A67" s="22">
        <v>305</v>
      </c>
      <c r="B67" s="16" t="s">
        <v>1398</v>
      </c>
      <c r="C67" s="16" t="s">
        <v>1399</v>
      </c>
      <c r="D67" s="16">
        <v>1500000000</v>
      </c>
      <c r="E67" s="16">
        <v>5</v>
      </c>
      <c r="F67" s="16">
        <v>3</v>
      </c>
      <c r="G67" s="19" t="s">
        <v>842</v>
      </c>
      <c r="H67" s="16"/>
      <c r="I67" s="16" t="s">
        <v>1400</v>
      </c>
      <c r="J67" s="16" t="s">
        <v>1401</v>
      </c>
      <c r="K67" s="16" t="s">
        <v>1402</v>
      </c>
      <c r="L67" s="26">
        <v>64</v>
      </c>
    </row>
    <row r="68" spans="1:12" ht="285" x14ac:dyDescent="0.25">
      <c r="A68" s="22">
        <v>310</v>
      </c>
      <c r="B68" s="16" t="s">
        <v>1420</v>
      </c>
      <c r="C68" s="16" t="s">
        <v>1421</v>
      </c>
      <c r="D68" s="16">
        <v>660000000</v>
      </c>
      <c r="E68" s="16">
        <v>3</v>
      </c>
      <c r="F68" s="16">
        <v>4</v>
      </c>
      <c r="G68" s="19" t="s">
        <v>842</v>
      </c>
      <c r="H68" s="16"/>
      <c r="I68" s="16" t="s">
        <v>1422</v>
      </c>
      <c r="J68" s="16" t="s">
        <v>1423</v>
      </c>
      <c r="K68" s="16" t="s">
        <v>1424</v>
      </c>
      <c r="L68" s="26">
        <v>65</v>
      </c>
    </row>
    <row r="69" spans="1:12" ht="285" x14ac:dyDescent="0.25">
      <c r="A69" s="22">
        <v>281</v>
      </c>
      <c r="B69" s="16" t="s">
        <v>1286</v>
      </c>
      <c r="C69" s="16" t="s">
        <v>1287</v>
      </c>
      <c r="D69" s="16">
        <v>525260000</v>
      </c>
      <c r="E69" s="16">
        <v>3</v>
      </c>
      <c r="F69" s="16">
        <v>4</v>
      </c>
      <c r="G69" s="19" t="s">
        <v>842</v>
      </c>
      <c r="H69" s="16"/>
      <c r="I69" s="16" t="s">
        <v>1283</v>
      </c>
      <c r="J69" s="16" t="s">
        <v>1288</v>
      </c>
      <c r="K69" s="16" t="s">
        <v>1285</v>
      </c>
      <c r="L69" s="26">
        <v>66</v>
      </c>
    </row>
    <row r="70" spans="1:12" ht="210" x14ac:dyDescent="0.25">
      <c r="A70" s="22">
        <v>307</v>
      </c>
      <c r="B70" s="16" t="s">
        <v>1407</v>
      </c>
      <c r="C70" s="16" t="s">
        <v>1408</v>
      </c>
      <c r="D70" s="16">
        <v>500000000</v>
      </c>
      <c r="E70" s="16">
        <v>3</v>
      </c>
      <c r="F70" s="16">
        <v>4</v>
      </c>
      <c r="G70" s="19" t="s">
        <v>842</v>
      </c>
      <c r="H70" s="16"/>
      <c r="I70" s="16" t="s">
        <v>1409</v>
      </c>
      <c r="J70" s="16" t="s">
        <v>1410</v>
      </c>
      <c r="K70" s="16" t="s">
        <v>1411</v>
      </c>
      <c r="L70" s="26">
        <v>67</v>
      </c>
    </row>
    <row r="71" spans="1:12" ht="210" x14ac:dyDescent="0.25">
      <c r="A71" s="22">
        <v>309</v>
      </c>
      <c r="B71" s="16" t="s">
        <v>1416</v>
      </c>
      <c r="C71" s="16" t="s">
        <v>1417</v>
      </c>
      <c r="D71" s="16">
        <v>300000000</v>
      </c>
      <c r="E71" s="16">
        <v>3</v>
      </c>
      <c r="F71" s="16">
        <v>4</v>
      </c>
      <c r="G71" s="19" t="s">
        <v>842</v>
      </c>
      <c r="H71" s="16"/>
      <c r="I71" s="16" t="s">
        <v>791</v>
      </c>
      <c r="J71" s="16" t="s">
        <v>1418</v>
      </c>
      <c r="K71" s="16" t="s">
        <v>1419</v>
      </c>
      <c r="L71" s="26">
        <v>68</v>
      </c>
    </row>
    <row r="72" spans="1:12" ht="270" x14ac:dyDescent="0.25">
      <c r="A72" s="22">
        <v>710</v>
      </c>
      <c r="B72" s="16" t="s">
        <v>3103</v>
      </c>
      <c r="C72" s="16" t="s">
        <v>3104</v>
      </c>
      <c r="D72" s="16">
        <v>78662790000</v>
      </c>
      <c r="E72" s="16">
        <v>1</v>
      </c>
      <c r="F72" s="16">
        <v>4</v>
      </c>
      <c r="G72" s="21" t="s">
        <v>2807</v>
      </c>
      <c r="H72" s="16"/>
      <c r="I72" s="16" t="s">
        <v>3105</v>
      </c>
      <c r="J72" s="16" t="s">
        <v>3106</v>
      </c>
      <c r="K72" s="16" t="s">
        <v>753</v>
      </c>
      <c r="L72" s="26">
        <v>69</v>
      </c>
    </row>
    <row r="73" spans="1:12" ht="270" x14ac:dyDescent="0.25">
      <c r="A73" s="22">
        <v>711</v>
      </c>
      <c r="B73" s="16" t="s">
        <v>3107</v>
      </c>
      <c r="C73" s="16" t="s">
        <v>3108</v>
      </c>
      <c r="D73" s="16">
        <v>78662790000</v>
      </c>
      <c r="E73" s="16">
        <v>1</v>
      </c>
      <c r="F73" s="16">
        <v>4</v>
      </c>
      <c r="G73" s="21" t="s">
        <v>2807</v>
      </c>
      <c r="H73" s="16"/>
      <c r="I73" s="16" t="s">
        <v>3105</v>
      </c>
      <c r="J73" s="16" t="s">
        <v>3106</v>
      </c>
      <c r="K73" s="16" t="s">
        <v>753</v>
      </c>
      <c r="L73" s="26">
        <v>70</v>
      </c>
    </row>
    <row r="74" spans="1:12" ht="240" x14ac:dyDescent="0.25">
      <c r="A74" s="22">
        <v>708</v>
      </c>
      <c r="B74" s="16" t="s">
        <v>3096</v>
      </c>
      <c r="C74" s="16" t="s">
        <v>3097</v>
      </c>
      <c r="D74" s="16">
        <v>1491000000</v>
      </c>
      <c r="E74" s="16">
        <v>1</v>
      </c>
      <c r="F74" s="16">
        <v>5</v>
      </c>
      <c r="G74" s="21" t="s">
        <v>2807</v>
      </c>
      <c r="H74" s="16"/>
      <c r="I74" s="16" t="s">
        <v>3098</v>
      </c>
      <c r="J74" s="16" t="s">
        <v>2626</v>
      </c>
      <c r="K74" s="16" t="s">
        <v>753</v>
      </c>
      <c r="L74" s="26">
        <v>71</v>
      </c>
    </row>
    <row r="75" spans="1:12" ht="240" x14ac:dyDescent="0.25">
      <c r="A75" s="22">
        <v>712</v>
      </c>
      <c r="B75" s="16" t="s">
        <v>3109</v>
      </c>
      <c r="C75" s="16" t="s">
        <v>3110</v>
      </c>
      <c r="D75" s="16">
        <v>1491000000</v>
      </c>
      <c r="E75" s="16">
        <v>1</v>
      </c>
      <c r="F75" s="16">
        <v>5</v>
      </c>
      <c r="G75" s="21" t="s">
        <v>2807</v>
      </c>
      <c r="H75" s="16"/>
      <c r="I75" s="16" t="s">
        <v>3098</v>
      </c>
      <c r="J75" s="16" t="s">
        <v>2626</v>
      </c>
      <c r="K75" s="16" t="s">
        <v>753</v>
      </c>
      <c r="L75" s="26">
        <v>72</v>
      </c>
    </row>
    <row r="76" spans="1:12" ht="180" hidden="1" x14ac:dyDescent="0.25">
      <c r="A76" s="22">
        <v>634</v>
      </c>
      <c r="B76" s="16" t="s">
        <v>2775</v>
      </c>
      <c r="C76" s="16" t="s">
        <v>2776</v>
      </c>
      <c r="D76" s="16">
        <v>299700000</v>
      </c>
      <c r="E76" s="16">
        <v>3</v>
      </c>
      <c r="F76" s="16">
        <v>2</v>
      </c>
      <c r="G76" s="20" t="s">
        <v>1443</v>
      </c>
      <c r="H76" s="16"/>
      <c r="I76" s="16" t="s">
        <v>2777</v>
      </c>
      <c r="J76" s="16" t="s">
        <v>2778</v>
      </c>
      <c r="K76" s="16" t="s">
        <v>2779</v>
      </c>
      <c r="L76" s="26">
        <v>73</v>
      </c>
    </row>
    <row r="77" spans="1:12" ht="345" hidden="1" x14ac:dyDescent="0.25">
      <c r="A77" s="22">
        <v>126</v>
      </c>
      <c r="B77" s="16" t="s">
        <v>602</v>
      </c>
      <c r="C77" s="16" t="s">
        <v>603</v>
      </c>
      <c r="D77" s="16">
        <v>297360100</v>
      </c>
      <c r="E77" s="16">
        <v>4</v>
      </c>
      <c r="F77" s="16">
        <v>5</v>
      </c>
      <c r="G77" s="18" t="s">
        <v>108</v>
      </c>
      <c r="H77" s="16"/>
      <c r="I77" s="16" t="s">
        <v>604</v>
      </c>
      <c r="J77" s="16" t="s">
        <v>605</v>
      </c>
      <c r="K77" s="16" t="s">
        <v>606</v>
      </c>
    </row>
    <row r="78" spans="1:12" ht="270" hidden="1" x14ac:dyDescent="0.25">
      <c r="A78" s="22">
        <v>412</v>
      </c>
      <c r="B78" s="16" t="s">
        <v>1868</v>
      </c>
      <c r="C78" s="16" t="s">
        <v>1869</v>
      </c>
      <c r="D78" s="16">
        <v>285248955</v>
      </c>
      <c r="E78" s="16">
        <v>2</v>
      </c>
      <c r="F78" s="16">
        <v>5</v>
      </c>
      <c r="G78" s="20" t="s">
        <v>1443</v>
      </c>
      <c r="H78" s="16"/>
      <c r="I78" s="16" t="s">
        <v>140</v>
      </c>
      <c r="J78" s="16" t="s">
        <v>1870</v>
      </c>
      <c r="K78" s="16" t="s">
        <v>142</v>
      </c>
    </row>
    <row r="79" spans="1:12" ht="225" hidden="1" x14ac:dyDescent="0.25">
      <c r="A79" s="22">
        <v>117</v>
      </c>
      <c r="B79" s="16" t="s">
        <v>559</v>
      </c>
      <c r="C79" s="16" t="s">
        <v>560</v>
      </c>
      <c r="D79" s="16">
        <v>281092900</v>
      </c>
      <c r="E79" s="16">
        <v>5</v>
      </c>
      <c r="F79" s="16">
        <v>4</v>
      </c>
      <c r="G79" s="18" t="s">
        <v>108</v>
      </c>
      <c r="H79" s="16"/>
      <c r="I79" s="16" t="s">
        <v>561</v>
      </c>
      <c r="J79" s="16" t="s">
        <v>562</v>
      </c>
      <c r="K79" s="16" t="s">
        <v>563</v>
      </c>
    </row>
    <row r="80" spans="1:12" ht="409.5" hidden="1" x14ac:dyDescent="0.25">
      <c r="A80" s="22">
        <v>149</v>
      </c>
      <c r="B80" s="16" t="s">
        <v>707</v>
      </c>
      <c r="C80" s="16" t="s">
        <v>708</v>
      </c>
      <c r="D80" s="16">
        <v>276265000</v>
      </c>
      <c r="E80" s="16">
        <v>4</v>
      </c>
      <c r="F80" s="16">
        <v>4</v>
      </c>
      <c r="G80" s="18" t="s">
        <v>108</v>
      </c>
      <c r="H80" s="16"/>
      <c r="I80" s="16" t="s">
        <v>709</v>
      </c>
      <c r="J80" s="16" t="s">
        <v>710</v>
      </c>
      <c r="K80" s="16" t="s">
        <v>711</v>
      </c>
    </row>
    <row r="81" spans="1:11" ht="390" hidden="1" x14ac:dyDescent="0.25">
      <c r="A81" s="22">
        <v>314</v>
      </c>
      <c r="B81" s="16" t="s">
        <v>1438</v>
      </c>
      <c r="C81" s="16" t="s">
        <v>1439</v>
      </c>
      <c r="D81" s="16">
        <v>269100000</v>
      </c>
      <c r="E81" s="16">
        <v>4</v>
      </c>
      <c r="F81" s="16">
        <v>3</v>
      </c>
      <c r="G81" s="19" t="s">
        <v>842</v>
      </c>
      <c r="H81" s="16"/>
      <c r="I81" s="16" t="s">
        <v>1432</v>
      </c>
      <c r="J81" s="16" t="s">
        <v>1440</v>
      </c>
      <c r="K81" s="16" t="s">
        <v>1434</v>
      </c>
    </row>
    <row r="82" spans="1:11" ht="225" hidden="1" x14ac:dyDescent="0.25">
      <c r="A82" s="22">
        <v>497</v>
      </c>
      <c r="B82" s="16" t="s">
        <v>2212</v>
      </c>
      <c r="C82" s="16" t="s">
        <v>2213</v>
      </c>
      <c r="D82" s="16">
        <v>268425000</v>
      </c>
      <c r="E82" s="16">
        <v>2</v>
      </c>
      <c r="F82" s="16">
        <v>4</v>
      </c>
      <c r="G82" s="20" t="s">
        <v>1443</v>
      </c>
      <c r="H82" s="16"/>
      <c r="I82" s="16" t="s">
        <v>2214</v>
      </c>
      <c r="J82" s="16" t="s">
        <v>2215</v>
      </c>
      <c r="K82" s="16" t="s">
        <v>2216</v>
      </c>
    </row>
    <row r="83" spans="1:11" ht="210" hidden="1" x14ac:dyDescent="0.25">
      <c r="A83" s="22">
        <v>328</v>
      </c>
      <c r="B83" s="16" t="s">
        <v>1504</v>
      </c>
      <c r="C83" s="16" t="s">
        <v>1505</v>
      </c>
      <c r="D83" s="16">
        <v>267300000</v>
      </c>
      <c r="E83" s="16">
        <v>2</v>
      </c>
      <c r="F83" s="16">
        <v>3</v>
      </c>
      <c r="G83" s="20" t="s">
        <v>1443</v>
      </c>
      <c r="H83" s="16"/>
      <c r="I83" s="16" t="s">
        <v>1501</v>
      </c>
      <c r="J83" s="16" t="s">
        <v>1506</v>
      </c>
      <c r="K83" s="16" t="s">
        <v>1503</v>
      </c>
    </row>
    <row r="84" spans="1:11" ht="409.5" hidden="1" x14ac:dyDescent="0.25">
      <c r="A84" s="22">
        <v>510</v>
      </c>
      <c r="B84" s="16" t="s">
        <v>2273</v>
      </c>
      <c r="C84" s="16" t="s">
        <v>2274</v>
      </c>
      <c r="D84" s="16">
        <v>264000000</v>
      </c>
      <c r="E84" s="16">
        <v>3</v>
      </c>
      <c r="F84" s="16">
        <v>3</v>
      </c>
      <c r="G84" s="20" t="s">
        <v>1443</v>
      </c>
      <c r="H84" s="16"/>
      <c r="I84" s="16" t="s">
        <v>2275</v>
      </c>
      <c r="J84" s="16" t="s">
        <v>2276</v>
      </c>
      <c r="K84" s="16" t="s">
        <v>2277</v>
      </c>
    </row>
    <row r="85" spans="1:11" ht="255" hidden="1" x14ac:dyDescent="0.25">
      <c r="A85" s="22">
        <v>163</v>
      </c>
      <c r="B85" s="16" t="s">
        <v>769</v>
      </c>
      <c r="C85" s="16" t="s">
        <v>770</v>
      </c>
      <c r="D85" s="16">
        <v>249956000</v>
      </c>
      <c r="E85" s="16">
        <v>4</v>
      </c>
      <c r="F85" s="16">
        <v>4</v>
      </c>
      <c r="G85" s="18" t="s">
        <v>108</v>
      </c>
      <c r="H85" s="16"/>
      <c r="I85" s="16" t="s">
        <v>771</v>
      </c>
      <c r="J85" s="16" t="s">
        <v>772</v>
      </c>
      <c r="K85" s="16" t="s">
        <v>773</v>
      </c>
    </row>
    <row r="86" spans="1:11" ht="240" hidden="1" x14ac:dyDescent="0.25">
      <c r="A86" s="22">
        <v>152</v>
      </c>
      <c r="B86" s="16" t="s">
        <v>722</v>
      </c>
      <c r="C86" s="16" t="s">
        <v>723</v>
      </c>
      <c r="D86" s="16">
        <v>234000000</v>
      </c>
      <c r="E86" s="16">
        <v>4</v>
      </c>
      <c r="F86" s="16">
        <v>5</v>
      </c>
      <c r="G86" s="18" t="s">
        <v>108</v>
      </c>
      <c r="H86" s="16"/>
      <c r="I86" s="16" t="s">
        <v>724</v>
      </c>
      <c r="J86" s="16" t="s">
        <v>725</v>
      </c>
      <c r="K86" s="16" t="s">
        <v>726</v>
      </c>
    </row>
    <row r="87" spans="1:11" ht="240" hidden="1" x14ac:dyDescent="0.25">
      <c r="A87" s="22">
        <v>705</v>
      </c>
      <c r="B87" s="16" t="s">
        <v>3081</v>
      </c>
      <c r="C87" s="16" t="s">
        <v>3082</v>
      </c>
      <c r="D87" s="16">
        <v>230275000</v>
      </c>
      <c r="E87" s="16">
        <v>1</v>
      </c>
      <c r="F87" s="16">
        <v>5</v>
      </c>
      <c r="G87" s="21" t="s">
        <v>2807</v>
      </c>
      <c r="H87" s="16"/>
      <c r="I87" s="16" t="s">
        <v>3083</v>
      </c>
      <c r="J87" s="16" t="s">
        <v>3084</v>
      </c>
      <c r="K87" s="16" t="s">
        <v>3085</v>
      </c>
    </row>
    <row r="88" spans="1:11" ht="375" hidden="1" x14ac:dyDescent="0.25">
      <c r="A88" s="22">
        <v>178</v>
      </c>
      <c r="B88" s="16" t="s">
        <v>830</v>
      </c>
      <c r="C88" s="16" t="s">
        <v>831</v>
      </c>
      <c r="D88" s="16">
        <v>228475000</v>
      </c>
      <c r="E88" s="16">
        <v>4</v>
      </c>
      <c r="F88" s="16">
        <v>4</v>
      </c>
      <c r="G88" s="18" t="s">
        <v>108</v>
      </c>
      <c r="H88" s="16"/>
      <c r="I88" s="16" t="s">
        <v>832</v>
      </c>
      <c r="J88" s="16" t="s">
        <v>833</v>
      </c>
      <c r="K88" s="16" t="s">
        <v>834</v>
      </c>
    </row>
    <row r="89" spans="1:11" ht="165" hidden="1" x14ac:dyDescent="0.25">
      <c r="A89" s="22">
        <v>499</v>
      </c>
      <c r="B89" s="16" t="s">
        <v>2222</v>
      </c>
      <c r="C89" s="16" t="s">
        <v>2223</v>
      </c>
      <c r="D89" s="16">
        <v>225066000</v>
      </c>
      <c r="E89" s="16">
        <v>2</v>
      </c>
      <c r="F89" s="16">
        <v>3</v>
      </c>
      <c r="G89" s="20" t="s">
        <v>1443</v>
      </c>
      <c r="H89" s="16"/>
      <c r="I89" s="16" t="s">
        <v>2224</v>
      </c>
      <c r="J89" s="16" t="s">
        <v>2225</v>
      </c>
      <c r="K89" s="16" t="s">
        <v>2226</v>
      </c>
    </row>
    <row r="90" spans="1:11" ht="390" hidden="1" x14ac:dyDescent="0.25">
      <c r="A90" s="22">
        <v>312</v>
      </c>
      <c r="B90" s="16" t="s">
        <v>1430</v>
      </c>
      <c r="C90" s="16" t="s">
        <v>1431</v>
      </c>
      <c r="D90" s="16">
        <v>224410500</v>
      </c>
      <c r="E90" s="16">
        <v>5</v>
      </c>
      <c r="F90" s="16">
        <v>3</v>
      </c>
      <c r="G90" s="19" t="s">
        <v>842</v>
      </c>
      <c r="H90" s="16"/>
      <c r="I90" s="16" t="s">
        <v>1432</v>
      </c>
      <c r="J90" s="16" t="s">
        <v>1433</v>
      </c>
      <c r="K90" s="16" t="s">
        <v>1434</v>
      </c>
    </row>
    <row r="91" spans="1:11" ht="270" hidden="1" x14ac:dyDescent="0.25">
      <c r="A91" s="22">
        <v>213</v>
      </c>
      <c r="B91" s="16" t="s">
        <v>993</v>
      </c>
      <c r="C91" s="16" t="s">
        <v>994</v>
      </c>
      <c r="D91" s="16">
        <v>220470000</v>
      </c>
      <c r="E91" s="16">
        <v>3</v>
      </c>
      <c r="F91" s="16">
        <v>5</v>
      </c>
      <c r="G91" s="19" t="s">
        <v>842</v>
      </c>
      <c r="H91" s="16"/>
      <c r="I91" s="16" t="s">
        <v>909</v>
      </c>
      <c r="J91" s="16" t="s">
        <v>910</v>
      </c>
      <c r="K91" s="16" t="s">
        <v>911</v>
      </c>
    </row>
    <row r="92" spans="1:11" ht="270" hidden="1" x14ac:dyDescent="0.25">
      <c r="A92" s="22">
        <v>280</v>
      </c>
      <c r="B92" s="16" t="s">
        <v>1281</v>
      </c>
      <c r="C92" s="16" t="s">
        <v>1282</v>
      </c>
      <c r="D92" s="16">
        <v>212408000</v>
      </c>
      <c r="E92" s="16">
        <v>3</v>
      </c>
      <c r="F92" s="16">
        <v>4</v>
      </c>
      <c r="G92" s="19" t="s">
        <v>842</v>
      </c>
      <c r="H92" s="16"/>
      <c r="I92" s="16" t="s">
        <v>1283</v>
      </c>
      <c r="J92" s="16" t="s">
        <v>1284</v>
      </c>
      <c r="K92" s="16" t="s">
        <v>1285</v>
      </c>
    </row>
    <row r="93" spans="1:11" ht="285" hidden="1" x14ac:dyDescent="0.25">
      <c r="A93" s="22">
        <v>18</v>
      </c>
      <c r="B93" s="16" t="s">
        <v>106</v>
      </c>
      <c r="C93" s="16" t="s">
        <v>107</v>
      </c>
      <c r="D93" s="16">
        <v>204269000</v>
      </c>
      <c r="E93" s="16">
        <v>4</v>
      </c>
      <c r="F93" s="16">
        <v>4</v>
      </c>
      <c r="G93" s="18" t="s">
        <v>108</v>
      </c>
      <c r="H93" s="16"/>
      <c r="I93" s="16" t="s">
        <v>109</v>
      </c>
      <c r="J93" s="16" t="s">
        <v>110</v>
      </c>
      <c r="K93" s="16" t="s">
        <v>111</v>
      </c>
    </row>
    <row r="94" spans="1:11" ht="210" hidden="1" x14ac:dyDescent="0.25">
      <c r="A94" s="22">
        <v>173</v>
      </c>
      <c r="B94" s="16" t="s">
        <v>806</v>
      </c>
      <c r="C94" s="16" t="s">
        <v>807</v>
      </c>
      <c r="D94" s="16">
        <v>200000000</v>
      </c>
      <c r="E94" s="16">
        <v>4</v>
      </c>
      <c r="F94" s="16">
        <v>4</v>
      </c>
      <c r="G94" s="18" t="s">
        <v>108</v>
      </c>
      <c r="H94" s="16"/>
      <c r="I94" s="16" t="s">
        <v>771</v>
      </c>
      <c r="J94" s="16" t="s">
        <v>808</v>
      </c>
      <c r="K94" s="16" t="s">
        <v>809</v>
      </c>
    </row>
    <row r="95" spans="1:11" ht="285" hidden="1" x14ac:dyDescent="0.25">
      <c r="A95" s="22">
        <v>418</v>
      </c>
      <c r="B95" s="16" t="s">
        <v>1889</v>
      </c>
      <c r="C95" s="16" t="s">
        <v>1890</v>
      </c>
      <c r="D95" s="16">
        <v>199898830</v>
      </c>
      <c r="E95" s="16">
        <v>3</v>
      </c>
      <c r="F95" s="16">
        <v>3</v>
      </c>
      <c r="G95" s="20" t="s">
        <v>1443</v>
      </c>
      <c r="H95" s="16"/>
      <c r="I95" s="16" t="s">
        <v>1891</v>
      </c>
      <c r="J95" s="16" t="s">
        <v>1892</v>
      </c>
      <c r="K95" s="16" t="s">
        <v>142</v>
      </c>
    </row>
    <row r="96" spans="1:11" ht="210" hidden="1" x14ac:dyDescent="0.25">
      <c r="A96" s="22">
        <v>637</v>
      </c>
      <c r="B96" s="16" t="s">
        <v>2790</v>
      </c>
      <c r="C96" s="16" t="s">
        <v>2791</v>
      </c>
      <c r="D96" s="16">
        <v>194300000</v>
      </c>
      <c r="E96" s="16">
        <v>3</v>
      </c>
      <c r="F96" s="16">
        <v>3</v>
      </c>
      <c r="G96" s="20" t="s">
        <v>1443</v>
      </c>
      <c r="H96" s="16"/>
      <c r="I96" s="16" t="s">
        <v>2792</v>
      </c>
      <c r="J96" s="16" t="s">
        <v>2793</v>
      </c>
      <c r="K96" s="16" t="s">
        <v>2794</v>
      </c>
    </row>
    <row r="97" spans="1:11" ht="405" hidden="1" x14ac:dyDescent="0.25">
      <c r="A97" s="22">
        <v>44</v>
      </c>
      <c r="B97" s="16" t="s">
        <v>226</v>
      </c>
      <c r="C97" s="16" t="s">
        <v>227</v>
      </c>
      <c r="D97" s="16">
        <v>191851600</v>
      </c>
      <c r="E97" s="16">
        <v>4</v>
      </c>
      <c r="F97" s="16">
        <v>5</v>
      </c>
      <c r="G97" s="18" t="s">
        <v>108</v>
      </c>
      <c r="H97" s="16"/>
      <c r="I97" s="16" t="s">
        <v>228</v>
      </c>
      <c r="J97" s="16" t="s">
        <v>229</v>
      </c>
      <c r="K97" s="16" t="s">
        <v>230</v>
      </c>
    </row>
    <row r="98" spans="1:11" ht="409.5" hidden="1" x14ac:dyDescent="0.25">
      <c r="A98" s="22">
        <v>41</v>
      </c>
      <c r="B98" s="16" t="s">
        <v>214</v>
      </c>
      <c r="C98" s="16" t="s">
        <v>215</v>
      </c>
      <c r="D98" s="16">
        <v>191788500</v>
      </c>
      <c r="E98" s="16">
        <v>4</v>
      </c>
      <c r="F98" s="16">
        <v>5</v>
      </c>
      <c r="G98" s="18" t="s">
        <v>108</v>
      </c>
      <c r="H98" s="16"/>
      <c r="I98" s="16" t="s">
        <v>212</v>
      </c>
      <c r="J98" s="16" t="s">
        <v>212</v>
      </c>
      <c r="K98" s="16" t="s">
        <v>213</v>
      </c>
    </row>
    <row r="99" spans="1:11" ht="360" hidden="1" x14ac:dyDescent="0.25">
      <c r="A99" s="22">
        <v>127</v>
      </c>
      <c r="B99" s="16" t="s">
        <v>607</v>
      </c>
      <c r="C99" s="16" t="s">
        <v>608</v>
      </c>
      <c r="D99" s="16">
        <v>191280000</v>
      </c>
      <c r="E99" s="16">
        <v>4</v>
      </c>
      <c r="F99" s="16">
        <v>5</v>
      </c>
      <c r="G99" s="18" t="s">
        <v>108</v>
      </c>
      <c r="H99" s="16"/>
      <c r="I99" s="16" t="s">
        <v>609</v>
      </c>
      <c r="J99" s="16" t="s">
        <v>610</v>
      </c>
      <c r="K99" s="16" t="s">
        <v>611</v>
      </c>
    </row>
    <row r="100" spans="1:11" ht="195" hidden="1" x14ac:dyDescent="0.25">
      <c r="A100" s="22">
        <v>503</v>
      </c>
      <c r="B100" s="16" t="s">
        <v>2242</v>
      </c>
      <c r="C100" s="16" t="s">
        <v>2243</v>
      </c>
      <c r="D100" s="16">
        <v>190264396</v>
      </c>
      <c r="E100" s="16">
        <v>2</v>
      </c>
      <c r="F100" s="16">
        <v>4</v>
      </c>
      <c r="G100" s="20" t="s">
        <v>1443</v>
      </c>
      <c r="H100" s="16"/>
      <c r="I100" s="16" t="s">
        <v>2239</v>
      </c>
      <c r="J100" s="16" t="s">
        <v>2244</v>
      </c>
      <c r="K100" s="16" t="s">
        <v>2241</v>
      </c>
    </row>
    <row r="101" spans="1:11" ht="409.5" hidden="1" x14ac:dyDescent="0.25">
      <c r="A101" s="22">
        <v>40</v>
      </c>
      <c r="B101" s="16" t="s">
        <v>210</v>
      </c>
      <c r="C101" s="16" t="s">
        <v>211</v>
      </c>
      <c r="D101" s="16">
        <v>190009000</v>
      </c>
      <c r="E101" s="16">
        <v>4</v>
      </c>
      <c r="F101" s="16">
        <v>5</v>
      </c>
      <c r="G101" s="18" t="s">
        <v>108</v>
      </c>
      <c r="H101" s="16"/>
      <c r="I101" s="16" t="s">
        <v>212</v>
      </c>
      <c r="J101" s="16" t="s">
        <v>212</v>
      </c>
      <c r="K101" s="16" t="s">
        <v>213</v>
      </c>
    </row>
    <row r="102" spans="1:11" ht="180" hidden="1" x14ac:dyDescent="0.25">
      <c r="A102" s="22">
        <v>299</v>
      </c>
      <c r="B102" s="16" t="s">
        <v>1368</v>
      </c>
      <c r="C102" s="16" t="s">
        <v>1369</v>
      </c>
      <c r="D102" s="16">
        <v>190000000</v>
      </c>
      <c r="E102" s="16">
        <v>3</v>
      </c>
      <c r="F102" s="16">
        <v>4</v>
      </c>
      <c r="G102" s="19" t="s">
        <v>842</v>
      </c>
      <c r="H102" s="16"/>
      <c r="I102" s="16" t="s">
        <v>1370</v>
      </c>
      <c r="J102" s="16" t="s">
        <v>1371</v>
      </c>
      <c r="K102" s="16" t="s">
        <v>1372</v>
      </c>
    </row>
    <row r="103" spans="1:11" ht="240" hidden="1" x14ac:dyDescent="0.25">
      <c r="A103" s="22">
        <v>596</v>
      </c>
      <c r="B103" s="16" t="s">
        <v>2629</v>
      </c>
      <c r="C103" s="16" t="s">
        <v>2630</v>
      </c>
      <c r="D103" s="16">
        <v>185000000</v>
      </c>
      <c r="E103" s="16">
        <v>2</v>
      </c>
      <c r="F103" s="16">
        <v>5</v>
      </c>
      <c r="G103" s="20" t="s">
        <v>1443</v>
      </c>
      <c r="H103" s="16"/>
      <c r="I103" s="16" t="s">
        <v>2625</v>
      </c>
      <c r="J103" s="16" t="s">
        <v>2626</v>
      </c>
      <c r="K103" s="16" t="s">
        <v>753</v>
      </c>
    </row>
    <row r="104" spans="1:11" ht="240" hidden="1" x14ac:dyDescent="0.25">
      <c r="A104" s="22">
        <v>610</v>
      </c>
      <c r="B104" s="16" t="s">
        <v>2672</v>
      </c>
      <c r="C104" s="16" t="s">
        <v>2673</v>
      </c>
      <c r="D104" s="16">
        <v>185000000</v>
      </c>
      <c r="E104" s="16">
        <v>2</v>
      </c>
      <c r="F104" s="16">
        <v>5</v>
      </c>
      <c r="G104" s="20" t="s">
        <v>1443</v>
      </c>
      <c r="H104" s="16"/>
      <c r="I104" s="16" t="s">
        <v>2625</v>
      </c>
      <c r="J104" s="16" t="s">
        <v>2626</v>
      </c>
      <c r="K104" s="16" t="s">
        <v>753</v>
      </c>
    </row>
    <row r="105" spans="1:11" ht="270" hidden="1" x14ac:dyDescent="0.25">
      <c r="A105" s="22">
        <v>707</v>
      </c>
      <c r="B105" s="16" t="s">
        <v>3091</v>
      </c>
      <c r="C105" s="16" t="s">
        <v>3092</v>
      </c>
      <c r="D105" s="16">
        <v>181150000</v>
      </c>
      <c r="E105" s="16">
        <v>1</v>
      </c>
      <c r="F105" s="16">
        <v>5</v>
      </c>
      <c r="G105" s="21" t="s">
        <v>2807</v>
      </c>
      <c r="H105" s="16"/>
      <c r="I105" s="16" t="s">
        <v>3093</v>
      </c>
      <c r="J105" s="16" t="s">
        <v>3094</v>
      </c>
      <c r="K105" s="16" t="s">
        <v>3095</v>
      </c>
    </row>
    <row r="106" spans="1:11" ht="240" hidden="1" x14ac:dyDescent="0.25">
      <c r="A106" s="22">
        <v>251</v>
      </c>
      <c r="B106" s="16" t="s">
        <v>1147</v>
      </c>
      <c r="C106" s="16" t="s">
        <v>1148</v>
      </c>
      <c r="D106" s="16">
        <v>180804889</v>
      </c>
      <c r="E106" s="16">
        <v>4</v>
      </c>
      <c r="F106" s="16">
        <v>3</v>
      </c>
      <c r="G106" s="19" t="s">
        <v>842</v>
      </c>
      <c r="H106" s="16"/>
      <c r="I106" s="16" t="s">
        <v>1132</v>
      </c>
      <c r="J106" s="16" t="s">
        <v>1149</v>
      </c>
      <c r="K106" s="16" t="s">
        <v>1134</v>
      </c>
    </row>
    <row r="107" spans="1:11" ht="240" hidden="1" x14ac:dyDescent="0.25">
      <c r="A107" s="22">
        <v>268</v>
      </c>
      <c r="B107" s="16" t="s">
        <v>1221</v>
      </c>
      <c r="C107" s="16" t="s">
        <v>1222</v>
      </c>
      <c r="D107" s="16">
        <v>174974000</v>
      </c>
      <c r="E107" s="16">
        <v>5</v>
      </c>
      <c r="F107" s="16">
        <v>3</v>
      </c>
      <c r="G107" s="19" t="s">
        <v>842</v>
      </c>
      <c r="H107" s="16"/>
      <c r="I107" s="16" t="s">
        <v>1223</v>
      </c>
      <c r="J107" s="16" t="s">
        <v>1224</v>
      </c>
      <c r="K107" s="16" t="s">
        <v>1225</v>
      </c>
    </row>
    <row r="108" spans="1:11" ht="240" hidden="1" x14ac:dyDescent="0.25">
      <c r="A108" s="22">
        <v>249</v>
      </c>
      <c r="B108" s="16" t="s">
        <v>1142</v>
      </c>
      <c r="C108" s="16" t="s">
        <v>1143</v>
      </c>
      <c r="D108" s="16">
        <v>174227900</v>
      </c>
      <c r="E108" s="16">
        <v>4</v>
      </c>
      <c r="F108" s="16">
        <v>3</v>
      </c>
      <c r="G108" s="19" t="s">
        <v>842</v>
      </c>
      <c r="H108" s="16"/>
      <c r="I108" s="16" t="s">
        <v>1132</v>
      </c>
      <c r="J108" s="16" t="s">
        <v>945</v>
      </c>
      <c r="K108" s="16" t="s">
        <v>1134</v>
      </c>
    </row>
    <row r="109" spans="1:11" ht="240" hidden="1" x14ac:dyDescent="0.25">
      <c r="A109" s="22">
        <v>624</v>
      </c>
      <c r="B109" s="16" t="s">
        <v>2727</v>
      </c>
      <c r="C109" s="16" t="s">
        <v>2728</v>
      </c>
      <c r="D109" s="16">
        <v>170318500</v>
      </c>
      <c r="E109" s="16">
        <v>3</v>
      </c>
      <c r="F109" s="16">
        <v>3</v>
      </c>
      <c r="G109" s="20" t="s">
        <v>1443</v>
      </c>
      <c r="H109" s="16"/>
      <c r="I109" s="16" t="s">
        <v>2729</v>
      </c>
      <c r="J109" s="16" t="s">
        <v>2730</v>
      </c>
      <c r="K109" s="16" t="s">
        <v>2731</v>
      </c>
    </row>
    <row r="110" spans="1:11" ht="409.5" hidden="1" x14ac:dyDescent="0.25">
      <c r="A110" s="22">
        <v>293</v>
      </c>
      <c r="B110" s="16" t="s">
        <v>1341</v>
      </c>
      <c r="C110" s="16" t="s">
        <v>1342</v>
      </c>
      <c r="D110" s="16">
        <v>170000000</v>
      </c>
      <c r="E110" s="16">
        <v>3</v>
      </c>
      <c r="F110" s="16">
        <v>5</v>
      </c>
      <c r="G110" s="19" t="s">
        <v>842</v>
      </c>
      <c r="H110" s="16"/>
      <c r="I110" s="16" t="s">
        <v>1343</v>
      </c>
      <c r="J110" s="16" t="s">
        <v>1344</v>
      </c>
      <c r="K110" s="16" t="s">
        <v>1345</v>
      </c>
    </row>
    <row r="111" spans="1:11" ht="270" hidden="1" x14ac:dyDescent="0.25">
      <c r="A111" s="22">
        <v>242</v>
      </c>
      <c r="B111" s="16" t="s">
        <v>1113</v>
      </c>
      <c r="C111" s="16" t="s">
        <v>1114</v>
      </c>
      <c r="D111" s="16">
        <v>166500000</v>
      </c>
      <c r="E111" s="16">
        <v>3</v>
      </c>
      <c r="F111" s="16">
        <v>5</v>
      </c>
      <c r="G111" s="19" t="s">
        <v>842</v>
      </c>
      <c r="H111" s="16"/>
      <c r="I111" s="16" t="s">
        <v>364</v>
      </c>
      <c r="J111" s="16" t="s">
        <v>1115</v>
      </c>
      <c r="K111" s="16" t="s">
        <v>1116</v>
      </c>
    </row>
    <row r="112" spans="1:11" ht="210" hidden="1" x14ac:dyDescent="0.25">
      <c r="A112" s="22">
        <v>618</v>
      </c>
      <c r="B112" s="16" t="s">
        <v>2697</v>
      </c>
      <c r="C112" s="16" t="s">
        <v>2698</v>
      </c>
      <c r="D112" s="16">
        <v>166000000</v>
      </c>
      <c r="E112" s="16">
        <v>2</v>
      </c>
      <c r="F112" s="16">
        <v>4</v>
      </c>
      <c r="G112" s="20" t="s">
        <v>1443</v>
      </c>
      <c r="H112" s="16"/>
      <c r="I112" s="16" t="s">
        <v>2699</v>
      </c>
      <c r="J112" s="16" t="s">
        <v>2700</v>
      </c>
      <c r="K112" s="16" t="s">
        <v>2701</v>
      </c>
    </row>
    <row r="113" spans="1:11" ht="225" hidden="1" x14ac:dyDescent="0.25">
      <c r="A113" s="22">
        <v>488</v>
      </c>
      <c r="B113" s="16" t="s">
        <v>2171</v>
      </c>
      <c r="C113" s="16" t="s">
        <v>2172</v>
      </c>
      <c r="D113" s="16">
        <v>162691300</v>
      </c>
      <c r="E113" s="16">
        <v>2</v>
      </c>
      <c r="F113" s="16">
        <v>4</v>
      </c>
      <c r="G113" s="20" t="s">
        <v>1443</v>
      </c>
      <c r="H113" s="16"/>
      <c r="I113" s="16" t="s">
        <v>1676</v>
      </c>
      <c r="J113" s="16" t="s">
        <v>2173</v>
      </c>
      <c r="K113" s="16" t="s">
        <v>2174</v>
      </c>
    </row>
    <row r="114" spans="1:11" ht="240" hidden="1" x14ac:dyDescent="0.25">
      <c r="A114" s="22">
        <v>254</v>
      </c>
      <c r="B114" s="16" t="s">
        <v>1156</v>
      </c>
      <c r="C114" s="16" t="s">
        <v>1157</v>
      </c>
      <c r="D114" s="16">
        <v>160332000</v>
      </c>
      <c r="E114" s="16">
        <v>4</v>
      </c>
      <c r="F114" s="16">
        <v>3</v>
      </c>
      <c r="G114" s="19" t="s">
        <v>842</v>
      </c>
      <c r="H114" s="16"/>
      <c r="I114" s="16" t="s">
        <v>1132</v>
      </c>
      <c r="J114" s="16" t="s">
        <v>1158</v>
      </c>
      <c r="K114" s="16" t="s">
        <v>1134</v>
      </c>
    </row>
    <row r="115" spans="1:11" ht="255" hidden="1" x14ac:dyDescent="0.25">
      <c r="A115" s="22">
        <v>158</v>
      </c>
      <c r="B115" s="16" t="s">
        <v>749</v>
      </c>
      <c r="C115" s="16" t="s">
        <v>750</v>
      </c>
      <c r="D115" s="16">
        <v>160000000</v>
      </c>
      <c r="E115" s="16">
        <v>4</v>
      </c>
      <c r="F115" s="16">
        <v>5</v>
      </c>
      <c r="G115" s="18" t="s">
        <v>108</v>
      </c>
      <c r="H115" s="16"/>
      <c r="I115" s="16" t="s">
        <v>751</v>
      </c>
      <c r="J115" s="16" t="s">
        <v>752</v>
      </c>
      <c r="K115" s="16" t="s">
        <v>753</v>
      </c>
    </row>
    <row r="116" spans="1:11" ht="255" hidden="1" x14ac:dyDescent="0.25">
      <c r="A116" s="22">
        <v>168</v>
      </c>
      <c r="B116" s="16" t="s">
        <v>794</v>
      </c>
      <c r="C116" s="16" t="s">
        <v>795</v>
      </c>
      <c r="D116" s="16">
        <v>160000000</v>
      </c>
      <c r="E116" s="16">
        <v>4</v>
      </c>
      <c r="F116" s="16">
        <v>5</v>
      </c>
      <c r="G116" s="18" t="s">
        <v>108</v>
      </c>
      <c r="H116" s="16"/>
      <c r="I116" s="16" t="s">
        <v>751</v>
      </c>
      <c r="J116" s="16" t="s">
        <v>752</v>
      </c>
      <c r="K116" s="16" t="s">
        <v>753</v>
      </c>
    </row>
    <row r="117" spans="1:11" ht="360" hidden="1" x14ac:dyDescent="0.25">
      <c r="A117" s="22">
        <v>416</v>
      </c>
      <c r="B117" s="16" t="s">
        <v>1882</v>
      </c>
      <c r="C117" s="16" t="s">
        <v>1883</v>
      </c>
      <c r="D117" s="16">
        <v>157950910</v>
      </c>
      <c r="E117" s="16">
        <v>2</v>
      </c>
      <c r="F117" s="16">
        <v>5</v>
      </c>
      <c r="G117" s="20" t="s">
        <v>1443</v>
      </c>
      <c r="H117" s="16"/>
      <c r="I117" s="16" t="s">
        <v>1884</v>
      </c>
      <c r="J117" s="16" t="s">
        <v>1885</v>
      </c>
      <c r="K117" s="16" t="s">
        <v>1886</v>
      </c>
    </row>
    <row r="118" spans="1:11" ht="285" hidden="1" x14ac:dyDescent="0.25">
      <c r="A118" s="22">
        <v>56</v>
      </c>
      <c r="B118" s="16" t="s">
        <v>278</v>
      </c>
      <c r="C118" s="16" t="s">
        <v>279</v>
      </c>
      <c r="D118" s="16">
        <v>154135000</v>
      </c>
      <c r="E118" s="16">
        <v>4</v>
      </c>
      <c r="F118" s="16">
        <v>4</v>
      </c>
      <c r="G118" s="18" t="s">
        <v>108</v>
      </c>
      <c r="H118" s="16"/>
      <c r="I118" s="16" t="s">
        <v>280</v>
      </c>
      <c r="J118" s="16" t="s">
        <v>281</v>
      </c>
      <c r="K118" s="16" t="s">
        <v>282</v>
      </c>
    </row>
    <row r="119" spans="1:11" ht="210" hidden="1" x14ac:dyDescent="0.25">
      <c r="A119" s="22">
        <v>504</v>
      </c>
      <c r="B119" s="16" t="s">
        <v>2245</v>
      </c>
      <c r="C119" s="16" t="s">
        <v>2246</v>
      </c>
      <c r="D119" s="16">
        <v>150368400</v>
      </c>
      <c r="E119" s="16">
        <v>2</v>
      </c>
      <c r="F119" s="16">
        <v>4</v>
      </c>
      <c r="G119" s="20" t="s">
        <v>1443</v>
      </c>
      <c r="H119" s="16"/>
      <c r="I119" s="16" t="s">
        <v>2247</v>
      </c>
      <c r="J119" s="16" t="s">
        <v>2248</v>
      </c>
      <c r="K119" s="16" t="s">
        <v>2249</v>
      </c>
    </row>
    <row r="120" spans="1:11" ht="210" hidden="1" x14ac:dyDescent="0.25">
      <c r="A120" s="22">
        <v>327</v>
      </c>
      <c r="B120" s="16" t="s">
        <v>1499</v>
      </c>
      <c r="C120" s="16" t="s">
        <v>1500</v>
      </c>
      <c r="D120" s="16">
        <v>150000000</v>
      </c>
      <c r="E120" s="16">
        <v>2</v>
      </c>
      <c r="F120" s="16">
        <v>5</v>
      </c>
      <c r="G120" s="20" t="s">
        <v>1443</v>
      </c>
      <c r="H120" s="16"/>
      <c r="I120" s="16" t="s">
        <v>1501</v>
      </c>
      <c r="J120" s="16" t="s">
        <v>1502</v>
      </c>
      <c r="K120" s="16" t="s">
        <v>1503</v>
      </c>
    </row>
    <row r="121" spans="1:11" ht="300" hidden="1" x14ac:dyDescent="0.25">
      <c r="A121" s="22">
        <v>593</v>
      </c>
      <c r="B121" s="16" t="s">
        <v>2621</v>
      </c>
      <c r="C121" s="16" t="s">
        <v>2622</v>
      </c>
      <c r="D121" s="16">
        <v>150000000</v>
      </c>
      <c r="E121" s="16">
        <v>2</v>
      </c>
      <c r="F121" s="16">
        <v>5</v>
      </c>
      <c r="G121" s="20" t="s">
        <v>1443</v>
      </c>
      <c r="H121" s="16"/>
      <c r="I121" s="16" t="s">
        <v>2613</v>
      </c>
      <c r="J121" s="16" t="s">
        <v>2614</v>
      </c>
      <c r="K121" s="16" t="s">
        <v>2615</v>
      </c>
    </row>
    <row r="122" spans="1:11" ht="300" hidden="1" x14ac:dyDescent="0.25">
      <c r="A122" s="22">
        <v>709</v>
      </c>
      <c r="B122" s="16" t="s">
        <v>3099</v>
      </c>
      <c r="C122" s="16" t="s">
        <v>3100</v>
      </c>
      <c r="D122" s="16">
        <v>150000000</v>
      </c>
      <c r="E122" s="16">
        <v>2</v>
      </c>
      <c r="F122" s="16">
        <v>2</v>
      </c>
      <c r="G122" s="21" t="s">
        <v>2807</v>
      </c>
      <c r="H122" s="16"/>
      <c r="I122" s="16" t="s">
        <v>3101</v>
      </c>
      <c r="J122" s="16" t="s">
        <v>3102</v>
      </c>
      <c r="K122" s="16" t="s">
        <v>788</v>
      </c>
    </row>
    <row r="123" spans="1:11" ht="240" hidden="1" x14ac:dyDescent="0.25">
      <c r="A123" s="22">
        <v>594</v>
      </c>
      <c r="B123" s="16" t="s">
        <v>2623</v>
      </c>
      <c r="C123" s="16" t="s">
        <v>2624</v>
      </c>
      <c r="D123" s="16">
        <v>149006500</v>
      </c>
      <c r="E123" s="16">
        <v>2</v>
      </c>
      <c r="F123" s="16">
        <v>5</v>
      </c>
      <c r="G123" s="20" t="s">
        <v>1443</v>
      </c>
      <c r="H123" s="16"/>
      <c r="I123" s="16" t="s">
        <v>2625</v>
      </c>
      <c r="J123" s="16" t="s">
        <v>2626</v>
      </c>
      <c r="K123" s="16" t="s">
        <v>753</v>
      </c>
    </row>
    <row r="124" spans="1:11" ht="240" hidden="1" x14ac:dyDescent="0.25">
      <c r="A124" s="22">
        <v>614</v>
      </c>
      <c r="B124" s="16" t="s">
        <v>2680</v>
      </c>
      <c r="C124" s="16" t="s">
        <v>2681</v>
      </c>
      <c r="D124" s="16">
        <v>149006500</v>
      </c>
      <c r="E124" s="16">
        <v>2</v>
      </c>
      <c r="F124" s="16">
        <v>5</v>
      </c>
      <c r="G124" s="20" t="s">
        <v>1443</v>
      </c>
      <c r="H124" s="16"/>
      <c r="I124" s="16" t="s">
        <v>2625</v>
      </c>
      <c r="J124" s="16" t="s">
        <v>2626</v>
      </c>
      <c r="K124" s="16" t="s">
        <v>753</v>
      </c>
    </row>
    <row r="125" spans="1:11" ht="360" hidden="1" x14ac:dyDescent="0.25">
      <c r="A125" s="22">
        <v>429</v>
      </c>
      <c r="B125" s="16" t="s">
        <v>1939</v>
      </c>
      <c r="C125" s="16" t="s">
        <v>1940</v>
      </c>
      <c r="D125" s="16">
        <v>144902000</v>
      </c>
      <c r="E125" s="16">
        <v>3</v>
      </c>
      <c r="F125" s="16">
        <v>2</v>
      </c>
      <c r="G125" s="20" t="s">
        <v>1443</v>
      </c>
      <c r="H125" s="16"/>
      <c r="I125" s="16" t="s">
        <v>1941</v>
      </c>
      <c r="J125" s="16" t="s">
        <v>1942</v>
      </c>
      <c r="K125" s="16" t="s">
        <v>1943</v>
      </c>
    </row>
    <row r="126" spans="1:11" ht="375" hidden="1" x14ac:dyDescent="0.25">
      <c r="A126" s="22">
        <v>64</v>
      </c>
      <c r="B126" s="16" t="s">
        <v>314</v>
      </c>
      <c r="C126" s="16" t="s">
        <v>315</v>
      </c>
      <c r="D126" s="16">
        <v>144124000</v>
      </c>
      <c r="E126" s="16">
        <v>4</v>
      </c>
      <c r="F126" s="16">
        <v>4</v>
      </c>
      <c r="G126" s="18" t="s">
        <v>108</v>
      </c>
      <c r="H126" s="16"/>
      <c r="I126" s="16" t="s">
        <v>316</v>
      </c>
      <c r="J126" s="16" t="s">
        <v>317</v>
      </c>
      <c r="K126" s="16" t="s">
        <v>318</v>
      </c>
    </row>
    <row r="127" spans="1:11" ht="210" hidden="1" x14ac:dyDescent="0.25">
      <c r="A127" s="22">
        <v>96</v>
      </c>
      <c r="B127" s="16" t="s">
        <v>458</v>
      </c>
      <c r="C127" s="16" t="s">
        <v>459</v>
      </c>
      <c r="D127" s="16">
        <v>143016000</v>
      </c>
      <c r="E127" s="16">
        <v>4</v>
      </c>
      <c r="F127" s="16">
        <v>4</v>
      </c>
      <c r="G127" s="18" t="s">
        <v>108</v>
      </c>
      <c r="H127" s="16"/>
      <c r="I127" s="16" t="s">
        <v>460</v>
      </c>
      <c r="J127" s="16" t="s">
        <v>461</v>
      </c>
      <c r="K127" s="16" t="s">
        <v>457</v>
      </c>
    </row>
    <row r="128" spans="1:11" ht="240" hidden="1" x14ac:dyDescent="0.25">
      <c r="A128" s="22">
        <v>609</v>
      </c>
      <c r="B128" s="16" t="s">
        <v>2670</v>
      </c>
      <c r="C128" s="16" t="s">
        <v>2671</v>
      </c>
      <c r="D128" s="16">
        <v>142000000</v>
      </c>
      <c r="E128" s="16">
        <v>2</v>
      </c>
      <c r="F128" s="16">
        <v>5</v>
      </c>
      <c r="G128" s="20" t="s">
        <v>1443</v>
      </c>
      <c r="H128" s="16"/>
      <c r="I128" s="16" t="s">
        <v>2625</v>
      </c>
      <c r="J128" s="16" t="s">
        <v>2626</v>
      </c>
      <c r="K128" s="16" t="s">
        <v>753</v>
      </c>
    </row>
    <row r="129" spans="1:11" ht="409.5" hidden="1" x14ac:dyDescent="0.25">
      <c r="A129" s="22">
        <v>184</v>
      </c>
      <c r="B129" s="16" t="s">
        <v>857</v>
      </c>
      <c r="C129" s="16" t="s">
        <v>858</v>
      </c>
      <c r="D129" s="16">
        <v>141185000</v>
      </c>
      <c r="E129" s="16">
        <v>3</v>
      </c>
      <c r="F129" s="16">
        <v>5</v>
      </c>
      <c r="G129" s="19" t="s">
        <v>842</v>
      </c>
      <c r="H129" s="16"/>
      <c r="I129" s="16" t="s">
        <v>859</v>
      </c>
      <c r="J129" s="16" t="s">
        <v>860</v>
      </c>
      <c r="K129" s="16" t="s">
        <v>861</v>
      </c>
    </row>
    <row r="130" spans="1:11" ht="270" hidden="1" x14ac:dyDescent="0.25">
      <c r="A130" s="22">
        <v>25</v>
      </c>
      <c r="B130" s="16" t="s">
        <v>138</v>
      </c>
      <c r="C130" s="16" t="s">
        <v>139</v>
      </c>
      <c r="D130" s="16">
        <v>139690303</v>
      </c>
      <c r="E130" s="16">
        <v>4</v>
      </c>
      <c r="F130" s="16">
        <v>5</v>
      </c>
      <c r="G130" s="18" t="s">
        <v>108</v>
      </c>
      <c r="H130" s="16"/>
      <c r="I130" s="16" t="s">
        <v>140</v>
      </c>
      <c r="J130" s="16" t="s">
        <v>141</v>
      </c>
      <c r="K130" s="16" t="s">
        <v>142</v>
      </c>
    </row>
    <row r="131" spans="1:11" ht="345" hidden="1" x14ac:dyDescent="0.25">
      <c r="A131" s="22">
        <v>557</v>
      </c>
      <c r="B131" s="16" t="s">
        <v>2492</v>
      </c>
      <c r="C131" s="16" t="s">
        <v>2493</v>
      </c>
      <c r="D131" s="16">
        <v>137146920</v>
      </c>
      <c r="E131" s="16">
        <v>2</v>
      </c>
      <c r="F131" s="16">
        <v>5</v>
      </c>
      <c r="G131" s="20" t="s">
        <v>1443</v>
      </c>
      <c r="H131" s="16"/>
      <c r="I131" s="16" t="s">
        <v>2494</v>
      </c>
      <c r="J131" s="16" t="s">
        <v>2495</v>
      </c>
      <c r="K131" s="16" t="s">
        <v>2491</v>
      </c>
    </row>
    <row r="132" spans="1:11" ht="315" hidden="1" x14ac:dyDescent="0.25">
      <c r="A132" s="22">
        <v>256</v>
      </c>
      <c r="B132" s="16" t="s">
        <v>1164</v>
      </c>
      <c r="C132" s="16" t="s">
        <v>1165</v>
      </c>
      <c r="D132" s="16">
        <v>132110000</v>
      </c>
      <c r="E132" s="16">
        <v>3</v>
      </c>
      <c r="F132" s="16">
        <v>4</v>
      </c>
      <c r="G132" s="19" t="s">
        <v>842</v>
      </c>
      <c r="H132" s="16"/>
      <c r="I132" s="16" t="s">
        <v>1166</v>
      </c>
      <c r="J132" s="16" t="s">
        <v>1167</v>
      </c>
      <c r="K132" s="16" t="s">
        <v>1168</v>
      </c>
    </row>
    <row r="133" spans="1:11" ht="390" hidden="1" x14ac:dyDescent="0.25">
      <c r="A133" s="22">
        <v>673</v>
      </c>
      <c r="B133" s="16" t="s">
        <v>2933</v>
      </c>
      <c r="C133" s="16" t="s">
        <v>2934</v>
      </c>
      <c r="D133" s="16">
        <v>132100000</v>
      </c>
      <c r="E133" s="16">
        <v>2</v>
      </c>
      <c r="F133" s="16">
        <v>2</v>
      </c>
      <c r="G133" s="21" t="s">
        <v>2807</v>
      </c>
      <c r="H133" s="16"/>
      <c r="I133" s="16" t="s">
        <v>2935</v>
      </c>
      <c r="J133" s="16" t="s">
        <v>2936</v>
      </c>
      <c r="K133" s="16" t="s">
        <v>2937</v>
      </c>
    </row>
    <row r="134" spans="1:11" ht="225" hidden="1" x14ac:dyDescent="0.25">
      <c r="A134" s="22">
        <v>502</v>
      </c>
      <c r="B134" s="16" t="s">
        <v>2237</v>
      </c>
      <c r="C134" s="16" t="s">
        <v>2238</v>
      </c>
      <c r="D134" s="16">
        <v>131959548</v>
      </c>
      <c r="E134" s="16">
        <v>2</v>
      </c>
      <c r="F134" s="16">
        <v>4</v>
      </c>
      <c r="G134" s="20" t="s">
        <v>1443</v>
      </c>
      <c r="H134" s="16"/>
      <c r="I134" s="16" t="s">
        <v>2239</v>
      </c>
      <c r="J134" s="16" t="s">
        <v>2240</v>
      </c>
      <c r="K134" s="16" t="s">
        <v>2241</v>
      </c>
    </row>
    <row r="135" spans="1:11" ht="195" hidden="1" x14ac:dyDescent="0.25">
      <c r="A135" s="22">
        <v>91</v>
      </c>
      <c r="B135" s="16" t="s">
        <v>434</v>
      </c>
      <c r="C135" s="16" t="s">
        <v>435</v>
      </c>
      <c r="D135" s="16">
        <v>131494000</v>
      </c>
      <c r="E135" s="16">
        <v>4</v>
      </c>
      <c r="F135" s="16">
        <v>4</v>
      </c>
      <c r="G135" s="18" t="s">
        <v>108</v>
      </c>
      <c r="H135" s="16"/>
      <c r="I135" s="16" t="s">
        <v>421</v>
      </c>
      <c r="J135" s="16" t="s">
        <v>436</v>
      </c>
      <c r="K135" s="16" t="s">
        <v>437</v>
      </c>
    </row>
    <row r="136" spans="1:11" ht="255" hidden="1" x14ac:dyDescent="0.25">
      <c r="A136" s="22">
        <v>486</v>
      </c>
      <c r="B136" s="16" t="s">
        <v>2163</v>
      </c>
      <c r="C136" s="16" t="s">
        <v>2164</v>
      </c>
      <c r="D136" s="16">
        <v>128146000</v>
      </c>
      <c r="E136" s="16">
        <v>2</v>
      </c>
      <c r="F136" s="16">
        <v>4</v>
      </c>
      <c r="G136" s="20" t="s">
        <v>1443</v>
      </c>
      <c r="H136" s="16"/>
      <c r="I136" s="16" t="s">
        <v>2165</v>
      </c>
      <c r="J136" s="16" t="s">
        <v>2166</v>
      </c>
      <c r="K136" s="16" t="s">
        <v>2167</v>
      </c>
    </row>
    <row r="137" spans="1:11" ht="270" hidden="1" x14ac:dyDescent="0.25">
      <c r="A137" s="22">
        <v>645</v>
      </c>
      <c r="B137" s="16" t="s">
        <v>2823</v>
      </c>
      <c r="C137" s="16" t="s">
        <v>2824</v>
      </c>
      <c r="D137" s="16">
        <v>127227000</v>
      </c>
      <c r="E137" s="16">
        <v>1</v>
      </c>
      <c r="F137" s="16">
        <v>3</v>
      </c>
      <c r="G137" s="21" t="s">
        <v>2807</v>
      </c>
      <c r="H137" s="16"/>
      <c r="I137" s="16" t="s">
        <v>140</v>
      </c>
      <c r="J137" s="16" t="s">
        <v>2825</v>
      </c>
      <c r="K137" s="16" t="s">
        <v>142</v>
      </c>
    </row>
    <row r="138" spans="1:11" ht="270" hidden="1" x14ac:dyDescent="0.25">
      <c r="A138" s="22">
        <v>121</v>
      </c>
      <c r="B138" s="16" t="s">
        <v>579</v>
      </c>
      <c r="C138" s="16" t="s">
        <v>580</v>
      </c>
      <c r="D138" s="16">
        <v>125319000</v>
      </c>
      <c r="E138" s="16">
        <v>4</v>
      </c>
      <c r="F138" s="16">
        <v>4</v>
      </c>
      <c r="G138" s="18" t="s">
        <v>108</v>
      </c>
      <c r="H138" s="16"/>
      <c r="I138" s="16" t="s">
        <v>581</v>
      </c>
      <c r="J138" s="16" t="s">
        <v>582</v>
      </c>
      <c r="K138" s="16" t="s">
        <v>583</v>
      </c>
    </row>
    <row r="139" spans="1:11" ht="285" hidden="1" x14ac:dyDescent="0.25">
      <c r="A139" s="22">
        <v>270</v>
      </c>
      <c r="B139" s="16" t="s">
        <v>1231</v>
      </c>
      <c r="C139" s="16" t="s">
        <v>1232</v>
      </c>
      <c r="D139" s="16">
        <v>124925000</v>
      </c>
      <c r="E139" s="16">
        <v>5</v>
      </c>
      <c r="F139" s="16">
        <v>3</v>
      </c>
      <c r="G139" s="19" t="s">
        <v>842</v>
      </c>
      <c r="H139" s="16"/>
      <c r="I139" s="16" t="s">
        <v>1233</v>
      </c>
      <c r="J139" s="16" t="s">
        <v>1234</v>
      </c>
      <c r="K139" s="16" t="s">
        <v>1235</v>
      </c>
    </row>
    <row r="140" spans="1:11" ht="240" hidden="1" x14ac:dyDescent="0.25">
      <c r="A140" s="22">
        <v>19</v>
      </c>
      <c r="B140" s="16" t="s">
        <v>112</v>
      </c>
      <c r="C140" s="16" t="s">
        <v>113</v>
      </c>
      <c r="D140" s="16">
        <v>122758000</v>
      </c>
      <c r="E140" s="16">
        <v>4</v>
      </c>
      <c r="F140" s="16">
        <v>4</v>
      </c>
      <c r="G140" s="18" t="s">
        <v>108</v>
      </c>
      <c r="H140" s="16"/>
      <c r="I140" s="16" t="s">
        <v>114</v>
      </c>
      <c r="J140" s="16" t="s">
        <v>115</v>
      </c>
      <c r="K140" s="16" t="s">
        <v>116</v>
      </c>
    </row>
    <row r="141" spans="1:11" ht="360" hidden="1" x14ac:dyDescent="0.25">
      <c r="A141" s="22">
        <v>176</v>
      </c>
      <c r="B141" s="16" t="s">
        <v>820</v>
      </c>
      <c r="C141" s="16" t="s">
        <v>821</v>
      </c>
      <c r="D141" s="16">
        <v>122000000</v>
      </c>
      <c r="E141" s="16">
        <v>4</v>
      </c>
      <c r="F141" s="16">
        <v>5</v>
      </c>
      <c r="G141" s="18" t="s">
        <v>108</v>
      </c>
      <c r="H141" s="16"/>
      <c r="I141" s="16" t="s">
        <v>822</v>
      </c>
      <c r="J141" s="16" t="s">
        <v>823</v>
      </c>
      <c r="K141" s="16" t="s">
        <v>824</v>
      </c>
    </row>
    <row r="142" spans="1:11" ht="315" hidden="1" x14ac:dyDescent="0.25">
      <c r="A142" s="22">
        <v>688</v>
      </c>
      <c r="B142" s="16" t="s">
        <v>3001</v>
      </c>
      <c r="C142" s="16" t="s">
        <v>3002</v>
      </c>
      <c r="D142" s="16">
        <v>121200550</v>
      </c>
      <c r="E142" s="16">
        <v>1</v>
      </c>
      <c r="F142" s="16">
        <v>4</v>
      </c>
      <c r="G142" s="21" t="s">
        <v>2807</v>
      </c>
      <c r="H142" s="16"/>
      <c r="I142" s="16" t="s">
        <v>3003</v>
      </c>
      <c r="J142" s="16" t="s">
        <v>3004</v>
      </c>
      <c r="K142" s="16" t="s">
        <v>3005</v>
      </c>
    </row>
    <row r="143" spans="1:11" ht="120" hidden="1" x14ac:dyDescent="0.25">
      <c r="A143" s="22">
        <v>156</v>
      </c>
      <c r="B143" s="16" t="s">
        <v>739</v>
      </c>
      <c r="C143" s="16" t="s">
        <v>740</v>
      </c>
      <c r="D143" s="16">
        <v>120000000</v>
      </c>
      <c r="E143" s="16">
        <v>4</v>
      </c>
      <c r="F143" s="16">
        <v>5</v>
      </c>
      <c r="G143" s="18" t="s">
        <v>108</v>
      </c>
      <c r="H143" s="16"/>
      <c r="I143" s="16" t="s">
        <v>741</v>
      </c>
      <c r="J143" s="16" t="s">
        <v>742</v>
      </c>
      <c r="K143" s="16" t="s">
        <v>743</v>
      </c>
    </row>
    <row r="144" spans="1:11" ht="270" hidden="1" x14ac:dyDescent="0.25">
      <c r="A144" s="22">
        <v>638</v>
      </c>
      <c r="B144" s="16" t="s">
        <v>2795</v>
      </c>
      <c r="C144" s="16" t="s">
        <v>2796</v>
      </c>
      <c r="D144" s="16">
        <v>118260000</v>
      </c>
      <c r="E144" s="16">
        <v>2</v>
      </c>
      <c r="F144" s="16">
        <v>4</v>
      </c>
      <c r="G144" s="20" t="s">
        <v>1443</v>
      </c>
      <c r="H144" s="16"/>
      <c r="I144" s="16" t="s">
        <v>2797</v>
      </c>
      <c r="J144" s="16" t="s">
        <v>2798</v>
      </c>
      <c r="K144" s="16" t="s">
        <v>2799</v>
      </c>
    </row>
    <row r="145" spans="1:11" ht="390" hidden="1" x14ac:dyDescent="0.25">
      <c r="A145" s="22">
        <v>622</v>
      </c>
      <c r="B145" s="16" t="s">
        <v>2717</v>
      </c>
      <c r="C145" s="16" t="s">
        <v>2718</v>
      </c>
      <c r="D145" s="16">
        <v>118000000</v>
      </c>
      <c r="E145" s="16">
        <v>3</v>
      </c>
      <c r="F145" s="16">
        <v>3</v>
      </c>
      <c r="G145" s="20" t="s">
        <v>1443</v>
      </c>
      <c r="H145" s="16"/>
      <c r="I145" s="16" t="s">
        <v>2719</v>
      </c>
      <c r="J145" s="16" t="s">
        <v>2720</v>
      </c>
      <c r="K145" s="16" t="s">
        <v>2721</v>
      </c>
    </row>
    <row r="146" spans="1:11" ht="240" hidden="1" x14ac:dyDescent="0.25">
      <c r="A146" s="22">
        <v>250</v>
      </c>
      <c r="B146" s="16" t="s">
        <v>1144</v>
      </c>
      <c r="C146" s="16" t="s">
        <v>1145</v>
      </c>
      <c r="D146" s="16">
        <v>117016100</v>
      </c>
      <c r="E146" s="16">
        <v>4</v>
      </c>
      <c r="F146" s="16">
        <v>3</v>
      </c>
      <c r="G146" s="19" t="s">
        <v>842</v>
      </c>
      <c r="H146" s="16"/>
      <c r="I146" s="16" t="s">
        <v>1132</v>
      </c>
      <c r="J146" s="16" t="s">
        <v>1146</v>
      </c>
      <c r="K146" s="16" t="s">
        <v>1134</v>
      </c>
    </row>
    <row r="147" spans="1:11" ht="255" hidden="1" x14ac:dyDescent="0.25">
      <c r="A147" s="22">
        <v>245</v>
      </c>
      <c r="B147" s="16" t="s">
        <v>1125</v>
      </c>
      <c r="C147" s="16" t="s">
        <v>1126</v>
      </c>
      <c r="D147" s="16">
        <v>116925000</v>
      </c>
      <c r="E147" s="16">
        <v>3</v>
      </c>
      <c r="F147" s="16">
        <v>5</v>
      </c>
      <c r="G147" s="19" t="s">
        <v>842</v>
      </c>
      <c r="H147" s="16"/>
      <c r="I147" s="16" t="s">
        <v>1127</v>
      </c>
      <c r="J147" s="16" t="s">
        <v>1128</v>
      </c>
      <c r="K147" s="16" t="s">
        <v>1129</v>
      </c>
    </row>
    <row r="148" spans="1:11" ht="330" hidden="1" x14ac:dyDescent="0.25">
      <c r="A148" s="22">
        <v>111</v>
      </c>
      <c r="B148" s="16" t="s">
        <v>530</v>
      </c>
      <c r="C148" s="16" t="s">
        <v>531</v>
      </c>
      <c r="D148" s="16">
        <v>115770000</v>
      </c>
      <c r="E148" s="16">
        <v>5</v>
      </c>
      <c r="F148" s="16">
        <v>4</v>
      </c>
      <c r="G148" s="18" t="s">
        <v>108</v>
      </c>
      <c r="H148" s="16"/>
      <c r="I148" s="16" t="s">
        <v>532</v>
      </c>
      <c r="J148" s="16" t="s">
        <v>533</v>
      </c>
      <c r="K148" s="16" t="s">
        <v>534</v>
      </c>
    </row>
    <row r="149" spans="1:11" ht="120" hidden="1" x14ac:dyDescent="0.25">
      <c r="A149" s="22">
        <v>556</v>
      </c>
      <c r="B149" s="16" t="s">
        <v>2487</v>
      </c>
      <c r="C149" s="16" t="s">
        <v>2488</v>
      </c>
      <c r="D149" s="16">
        <v>115100500</v>
      </c>
      <c r="E149" s="16">
        <v>2</v>
      </c>
      <c r="F149" s="16">
        <v>5</v>
      </c>
      <c r="G149" s="20" t="s">
        <v>1443</v>
      </c>
      <c r="H149" s="16"/>
      <c r="I149" s="16" t="s">
        <v>2489</v>
      </c>
      <c r="J149" s="16" t="s">
        <v>2490</v>
      </c>
      <c r="K149" s="16" t="s">
        <v>2491</v>
      </c>
    </row>
    <row r="150" spans="1:11" ht="240" hidden="1" x14ac:dyDescent="0.25">
      <c r="A150" s="22">
        <v>625</v>
      </c>
      <c r="B150" s="16" t="s">
        <v>2732</v>
      </c>
      <c r="C150" s="16" t="s">
        <v>2733</v>
      </c>
      <c r="D150" s="16">
        <v>115000000</v>
      </c>
      <c r="E150" s="16">
        <v>3</v>
      </c>
      <c r="F150" s="16">
        <v>2</v>
      </c>
      <c r="G150" s="20" t="s">
        <v>1443</v>
      </c>
      <c r="H150" s="16"/>
      <c r="I150" s="16" t="s">
        <v>2734</v>
      </c>
      <c r="J150" s="16" t="s">
        <v>2735</v>
      </c>
      <c r="K150" s="16" t="s">
        <v>2736</v>
      </c>
    </row>
    <row r="151" spans="1:11" ht="210" hidden="1" x14ac:dyDescent="0.25">
      <c r="A151" s="22">
        <v>493</v>
      </c>
      <c r="B151" s="16" t="s">
        <v>2192</v>
      </c>
      <c r="C151" s="16" t="s">
        <v>2193</v>
      </c>
      <c r="D151" s="16">
        <v>113686000</v>
      </c>
      <c r="E151" s="16">
        <v>2</v>
      </c>
      <c r="F151" s="16">
        <v>3</v>
      </c>
      <c r="G151" s="20" t="s">
        <v>1443</v>
      </c>
      <c r="H151" s="16"/>
      <c r="I151" s="16" t="s">
        <v>2194</v>
      </c>
      <c r="J151" s="16" t="s">
        <v>2195</v>
      </c>
      <c r="K151" s="16" t="s">
        <v>2196</v>
      </c>
    </row>
    <row r="152" spans="1:11" ht="300" hidden="1" x14ac:dyDescent="0.25">
      <c r="A152" s="22">
        <v>109</v>
      </c>
      <c r="B152" s="16" t="s">
        <v>520</v>
      </c>
      <c r="C152" s="16" t="s">
        <v>521</v>
      </c>
      <c r="D152" s="16">
        <v>112605000</v>
      </c>
      <c r="E152" s="16">
        <v>5</v>
      </c>
      <c r="F152" s="16">
        <v>4</v>
      </c>
      <c r="G152" s="18" t="s">
        <v>108</v>
      </c>
      <c r="H152" s="16"/>
      <c r="I152" s="16" t="s">
        <v>522</v>
      </c>
      <c r="J152" s="16" t="s">
        <v>523</v>
      </c>
      <c r="K152" s="16" t="s">
        <v>524</v>
      </c>
    </row>
    <row r="153" spans="1:11" ht="330" hidden="1" x14ac:dyDescent="0.25">
      <c r="A153" s="22">
        <v>118</v>
      </c>
      <c r="B153" s="16" t="s">
        <v>564</v>
      </c>
      <c r="C153" s="16" t="s">
        <v>565</v>
      </c>
      <c r="D153" s="16">
        <v>112580000</v>
      </c>
      <c r="E153" s="16">
        <v>5</v>
      </c>
      <c r="F153" s="16">
        <v>4</v>
      </c>
      <c r="G153" s="18" t="s">
        <v>108</v>
      </c>
      <c r="H153" s="16"/>
      <c r="I153" s="16" t="s">
        <v>566</v>
      </c>
      <c r="J153" s="16" t="s">
        <v>567</v>
      </c>
      <c r="K153" s="16" t="s">
        <v>568</v>
      </c>
    </row>
    <row r="154" spans="1:11" ht="270" hidden="1" x14ac:dyDescent="0.25">
      <c r="A154" s="22">
        <v>45</v>
      </c>
      <c r="B154" s="16" t="s">
        <v>231</v>
      </c>
      <c r="C154" s="16" t="s">
        <v>232</v>
      </c>
      <c r="D154" s="16">
        <v>111679000</v>
      </c>
      <c r="E154" s="16">
        <v>4</v>
      </c>
      <c r="F154" s="16">
        <v>5</v>
      </c>
      <c r="G154" s="18" t="s">
        <v>108</v>
      </c>
      <c r="H154" s="16"/>
      <c r="I154" s="16" t="s">
        <v>233</v>
      </c>
      <c r="J154" s="16" t="s">
        <v>234</v>
      </c>
      <c r="K154" s="16" t="s">
        <v>235</v>
      </c>
    </row>
    <row r="155" spans="1:11" ht="375" hidden="1" x14ac:dyDescent="0.25">
      <c r="A155" s="22">
        <v>558</v>
      </c>
      <c r="B155" s="16" t="s">
        <v>2496</v>
      </c>
      <c r="C155" s="16" t="s">
        <v>2497</v>
      </c>
      <c r="D155" s="16">
        <v>110400000</v>
      </c>
      <c r="E155" s="16">
        <v>2</v>
      </c>
      <c r="F155" s="16">
        <v>4</v>
      </c>
      <c r="G155" s="20" t="s">
        <v>1443</v>
      </c>
      <c r="H155" s="16"/>
      <c r="I155" s="16" t="s">
        <v>2498</v>
      </c>
      <c r="J155" s="16" t="s">
        <v>2499</v>
      </c>
      <c r="K155" s="16" t="s">
        <v>2491</v>
      </c>
    </row>
    <row r="156" spans="1:11" ht="210" hidden="1" x14ac:dyDescent="0.25">
      <c r="A156" s="22">
        <v>335</v>
      </c>
      <c r="B156" s="16" t="s">
        <v>1535</v>
      </c>
      <c r="C156" s="16" t="s">
        <v>1536</v>
      </c>
      <c r="D156" s="16">
        <v>110200000</v>
      </c>
      <c r="E156" s="16">
        <v>3</v>
      </c>
      <c r="F156" s="16">
        <v>3</v>
      </c>
      <c r="G156" s="20" t="s">
        <v>1443</v>
      </c>
      <c r="H156" s="16"/>
      <c r="I156" s="16" t="s">
        <v>1537</v>
      </c>
      <c r="J156" s="16" t="s">
        <v>1538</v>
      </c>
      <c r="K156" s="16" t="s">
        <v>1539</v>
      </c>
    </row>
    <row r="157" spans="1:11" ht="255" hidden="1" x14ac:dyDescent="0.25">
      <c r="A157" s="22">
        <v>120</v>
      </c>
      <c r="B157" s="16" t="s">
        <v>574</v>
      </c>
      <c r="C157" s="16" t="s">
        <v>575</v>
      </c>
      <c r="D157" s="16">
        <v>107958000</v>
      </c>
      <c r="E157" s="16">
        <v>5</v>
      </c>
      <c r="F157" s="16">
        <v>4</v>
      </c>
      <c r="G157" s="18" t="s">
        <v>108</v>
      </c>
      <c r="H157" s="16"/>
      <c r="I157" s="16" t="s">
        <v>576</v>
      </c>
      <c r="J157" s="16" t="s">
        <v>577</v>
      </c>
      <c r="K157" s="16" t="s">
        <v>578</v>
      </c>
    </row>
    <row r="158" spans="1:11" ht="180" hidden="1" x14ac:dyDescent="0.25">
      <c r="A158" s="22">
        <v>283</v>
      </c>
      <c r="B158" s="16" t="s">
        <v>1294</v>
      </c>
      <c r="C158" s="16" t="s">
        <v>1295</v>
      </c>
      <c r="D158" s="16">
        <v>107595362</v>
      </c>
      <c r="E158" s="16">
        <v>3</v>
      </c>
      <c r="F158" s="16">
        <v>5</v>
      </c>
      <c r="G158" s="19" t="s">
        <v>842</v>
      </c>
      <c r="H158" s="16"/>
      <c r="I158" s="16" t="s">
        <v>1296</v>
      </c>
      <c r="J158" s="16" t="s">
        <v>1297</v>
      </c>
      <c r="K158" s="16" t="s">
        <v>1298</v>
      </c>
    </row>
    <row r="159" spans="1:11" ht="270" hidden="1" x14ac:dyDescent="0.25">
      <c r="A159" s="22">
        <v>403</v>
      </c>
      <c r="B159" s="16" t="s">
        <v>1833</v>
      </c>
      <c r="C159" s="16" t="s">
        <v>1834</v>
      </c>
      <c r="D159" s="16">
        <v>105864510</v>
      </c>
      <c r="E159" s="16">
        <v>2</v>
      </c>
      <c r="F159" s="16">
        <v>4</v>
      </c>
      <c r="G159" s="20" t="s">
        <v>1443</v>
      </c>
      <c r="H159" s="16"/>
      <c r="I159" s="16" t="s">
        <v>1676</v>
      </c>
      <c r="J159" s="16" t="s">
        <v>1835</v>
      </c>
      <c r="K159" s="16" t="s">
        <v>1678</v>
      </c>
    </row>
    <row r="160" spans="1:11" ht="240" hidden="1" x14ac:dyDescent="0.25">
      <c r="A160" s="22">
        <v>90</v>
      </c>
      <c r="B160" s="16" t="s">
        <v>429</v>
      </c>
      <c r="C160" s="16" t="s">
        <v>430</v>
      </c>
      <c r="D160" s="16">
        <v>102863000</v>
      </c>
      <c r="E160" s="16">
        <v>4</v>
      </c>
      <c r="F160" s="16">
        <v>4</v>
      </c>
      <c r="G160" s="18" t="s">
        <v>108</v>
      </c>
      <c r="H160" s="16"/>
      <c r="I160" s="16" t="s">
        <v>431</v>
      </c>
      <c r="J160" s="16" t="s">
        <v>432</v>
      </c>
      <c r="K160" s="16" t="s">
        <v>433</v>
      </c>
    </row>
    <row r="161" spans="1:11" ht="180" hidden="1" x14ac:dyDescent="0.25">
      <c r="A161" s="22">
        <v>632</v>
      </c>
      <c r="B161" s="16" t="s">
        <v>2767</v>
      </c>
      <c r="C161" s="16" t="s">
        <v>2768</v>
      </c>
      <c r="D161" s="16">
        <v>101840000</v>
      </c>
      <c r="E161" s="16">
        <v>3</v>
      </c>
      <c r="F161" s="16">
        <v>2</v>
      </c>
      <c r="G161" s="20" t="s">
        <v>1443</v>
      </c>
      <c r="H161" s="16"/>
      <c r="I161" s="16" t="s">
        <v>2769</v>
      </c>
      <c r="J161" s="16" t="s">
        <v>2770</v>
      </c>
      <c r="K161" s="16" t="s">
        <v>2766</v>
      </c>
    </row>
    <row r="162" spans="1:11" ht="285" hidden="1" x14ac:dyDescent="0.25">
      <c r="A162" s="22">
        <v>278</v>
      </c>
      <c r="B162" s="16" t="s">
        <v>1271</v>
      </c>
      <c r="C162" s="16" t="s">
        <v>1272</v>
      </c>
      <c r="D162" s="16">
        <v>101280000</v>
      </c>
      <c r="E162" s="16">
        <v>3</v>
      </c>
      <c r="F162" s="16">
        <v>4</v>
      </c>
      <c r="G162" s="19" t="s">
        <v>842</v>
      </c>
      <c r="H162" s="16"/>
      <c r="I162" s="16" t="s">
        <v>1273</v>
      </c>
      <c r="J162" s="16" t="s">
        <v>1274</v>
      </c>
      <c r="K162" s="16" t="s">
        <v>1275</v>
      </c>
    </row>
    <row r="163" spans="1:11" ht="285" hidden="1" x14ac:dyDescent="0.25">
      <c r="A163" s="22">
        <v>272</v>
      </c>
      <c r="B163" s="16" t="s">
        <v>1241</v>
      </c>
      <c r="C163" s="16" t="s">
        <v>1242</v>
      </c>
      <c r="D163" s="16">
        <v>100200000</v>
      </c>
      <c r="E163" s="16">
        <v>5</v>
      </c>
      <c r="F163" s="16">
        <v>3</v>
      </c>
      <c r="G163" s="19" t="s">
        <v>842</v>
      </c>
      <c r="H163" s="16"/>
      <c r="I163" s="16" t="s">
        <v>1243</v>
      </c>
      <c r="J163" s="16" t="s">
        <v>1244</v>
      </c>
      <c r="K163" s="16" t="s">
        <v>1245</v>
      </c>
    </row>
    <row r="164" spans="1:11" ht="330" hidden="1" x14ac:dyDescent="0.25">
      <c r="A164" s="22">
        <v>165</v>
      </c>
      <c r="B164" s="16" t="s">
        <v>779</v>
      </c>
      <c r="C164" s="16" t="s">
        <v>780</v>
      </c>
      <c r="D164" s="16">
        <v>100000000</v>
      </c>
      <c r="E164" s="16">
        <v>4</v>
      </c>
      <c r="F164" s="16">
        <v>4</v>
      </c>
      <c r="G164" s="18" t="s">
        <v>108</v>
      </c>
      <c r="H164" s="16"/>
      <c r="I164" s="16" t="s">
        <v>781</v>
      </c>
      <c r="J164" s="16" t="s">
        <v>782</v>
      </c>
      <c r="K164" s="16" t="s">
        <v>783</v>
      </c>
    </row>
    <row r="165" spans="1:11" ht="330" hidden="1" x14ac:dyDescent="0.25">
      <c r="A165" s="22">
        <v>680</v>
      </c>
      <c r="B165" s="16" t="s">
        <v>2967</v>
      </c>
      <c r="C165" s="16" t="s">
        <v>2968</v>
      </c>
      <c r="D165" s="16">
        <v>99230000</v>
      </c>
      <c r="E165" s="16">
        <v>1</v>
      </c>
      <c r="F165" s="16">
        <v>3</v>
      </c>
      <c r="G165" s="21" t="s">
        <v>2807</v>
      </c>
      <c r="H165" s="16"/>
      <c r="I165" s="16" t="s">
        <v>1663</v>
      </c>
      <c r="J165" s="16" t="s">
        <v>2969</v>
      </c>
      <c r="K165" s="16" t="s">
        <v>2970</v>
      </c>
    </row>
    <row r="166" spans="1:11" ht="270" hidden="1" x14ac:dyDescent="0.25">
      <c r="A166" s="22">
        <v>194</v>
      </c>
      <c r="B166" s="16" t="s">
        <v>907</v>
      </c>
      <c r="C166" s="16" t="s">
        <v>908</v>
      </c>
      <c r="D166" s="16">
        <v>99073750</v>
      </c>
      <c r="E166" s="16">
        <v>3</v>
      </c>
      <c r="F166" s="16">
        <v>5</v>
      </c>
      <c r="G166" s="19" t="s">
        <v>842</v>
      </c>
      <c r="H166" s="16"/>
      <c r="I166" s="16" t="s">
        <v>909</v>
      </c>
      <c r="J166" s="16" t="s">
        <v>910</v>
      </c>
      <c r="K166" s="16" t="s">
        <v>911</v>
      </c>
    </row>
    <row r="167" spans="1:11" ht="360" hidden="1" x14ac:dyDescent="0.25">
      <c r="A167" s="22">
        <v>417</v>
      </c>
      <c r="B167" s="16" t="s">
        <v>1887</v>
      </c>
      <c r="C167" s="16" t="s">
        <v>1888</v>
      </c>
      <c r="D167" s="16">
        <v>98527444</v>
      </c>
      <c r="E167" s="16">
        <v>2</v>
      </c>
      <c r="F167" s="16">
        <v>5</v>
      </c>
      <c r="G167" s="20" t="s">
        <v>1443</v>
      </c>
      <c r="H167" s="16"/>
      <c r="I167" s="16" t="s">
        <v>1884</v>
      </c>
      <c r="J167" s="16" t="s">
        <v>1885</v>
      </c>
      <c r="K167" s="16" t="s">
        <v>1886</v>
      </c>
    </row>
    <row r="168" spans="1:11" ht="225" hidden="1" x14ac:dyDescent="0.25">
      <c r="A168" s="22">
        <v>253</v>
      </c>
      <c r="B168" s="16" t="s">
        <v>1153</v>
      </c>
      <c r="C168" s="16" t="s">
        <v>1154</v>
      </c>
      <c r="D168" s="16">
        <v>95253000</v>
      </c>
      <c r="E168" s="16">
        <v>4</v>
      </c>
      <c r="F168" s="16">
        <v>3</v>
      </c>
      <c r="G168" s="19" t="s">
        <v>842</v>
      </c>
      <c r="H168" s="16"/>
      <c r="I168" s="16" t="s">
        <v>1132</v>
      </c>
      <c r="J168" s="16" t="s">
        <v>1155</v>
      </c>
      <c r="K168" s="16" t="s">
        <v>1134</v>
      </c>
    </row>
    <row r="169" spans="1:11" ht="225" hidden="1" x14ac:dyDescent="0.25">
      <c r="A169" s="22">
        <v>252</v>
      </c>
      <c r="B169" s="16" t="s">
        <v>1150</v>
      </c>
      <c r="C169" s="16" t="s">
        <v>1151</v>
      </c>
      <c r="D169" s="16">
        <v>93891740</v>
      </c>
      <c r="E169" s="16">
        <v>4</v>
      </c>
      <c r="F169" s="16">
        <v>3</v>
      </c>
      <c r="G169" s="19" t="s">
        <v>842</v>
      </c>
      <c r="H169" s="16"/>
      <c r="I169" s="16" t="s">
        <v>1132</v>
      </c>
      <c r="J169" s="16" t="s">
        <v>1152</v>
      </c>
      <c r="K169" s="16" t="s">
        <v>1134</v>
      </c>
    </row>
    <row r="170" spans="1:11" ht="225" hidden="1" x14ac:dyDescent="0.25">
      <c r="A170" s="22">
        <v>75</v>
      </c>
      <c r="B170" s="16" t="s">
        <v>362</v>
      </c>
      <c r="C170" s="16" t="s">
        <v>363</v>
      </c>
      <c r="D170" s="16">
        <v>93523000</v>
      </c>
      <c r="E170" s="16">
        <v>4</v>
      </c>
      <c r="F170" s="16">
        <v>5</v>
      </c>
      <c r="G170" s="18" t="s">
        <v>108</v>
      </c>
      <c r="H170" s="16"/>
      <c r="I170" s="16" t="s">
        <v>364</v>
      </c>
      <c r="J170" s="16" t="s">
        <v>365</v>
      </c>
      <c r="K170" s="16" t="s">
        <v>366</v>
      </c>
    </row>
    <row r="171" spans="1:11" ht="330" hidden="1" x14ac:dyDescent="0.25">
      <c r="A171" s="22">
        <v>392</v>
      </c>
      <c r="B171" s="16" t="s">
        <v>1782</v>
      </c>
      <c r="C171" s="16" t="s">
        <v>1783</v>
      </c>
      <c r="D171" s="16">
        <v>92687645</v>
      </c>
      <c r="E171" s="16">
        <v>2</v>
      </c>
      <c r="F171" s="16">
        <v>5</v>
      </c>
      <c r="G171" s="20" t="s">
        <v>1443</v>
      </c>
      <c r="H171" s="16"/>
      <c r="I171" s="16" t="s">
        <v>140</v>
      </c>
      <c r="J171" s="16" t="s">
        <v>1784</v>
      </c>
      <c r="K171" s="16" t="s">
        <v>142</v>
      </c>
    </row>
    <row r="172" spans="1:11" ht="270" hidden="1" x14ac:dyDescent="0.25">
      <c r="A172" s="22">
        <v>86</v>
      </c>
      <c r="B172" s="16" t="s">
        <v>411</v>
      </c>
      <c r="C172" s="16" t="s">
        <v>412</v>
      </c>
      <c r="D172" s="16">
        <v>92418400</v>
      </c>
      <c r="E172" s="16">
        <v>4</v>
      </c>
      <c r="F172" s="16">
        <v>4</v>
      </c>
      <c r="G172" s="18" t="s">
        <v>108</v>
      </c>
      <c r="H172" s="16"/>
      <c r="I172" s="16" t="s">
        <v>405</v>
      </c>
      <c r="J172" s="16" t="s">
        <v>413</v>
      </c>
      <c r="K172" s="16" t="s">
        <v>407</v>
      </c>
    </row>
    <row r="173" spans="1:11" ht="195" hidden="1" x14ac:dyDescent="0.25">
      <c r="A173" s="22">
        <v>265</v>
      </c>
      <c r="B173" s="16" t="s">
        <v>1206</v>
      </c>
      <c r="C173" s="16" t="s">
        <v>1207</v>
      </c>
      <c r="D173" s="16">
        <v>92195000</v>
      </c>
      <c r="E173" s="16">
        <v>4</v>
      </c>
      <c r="F173" s="16">
        <v>3</v>
      </c>
      <c r="G173" s="19" t="s">
        <v>842</v>
      </c>
      <c r="H173" s="16"/>
      <c r="I173" s="16" t="s">
        <v>1208</v>
      </c>
      <c r="J173" s="16" t="s">
        <v>1209</v>
      </c>
      <c r="K173" s="16" t="s">
        <v>1210</v>
      </c>
    </row>
    <row r="174" spans="1:11" ht="165" hidden="1" x14ac:dyDescent="0.25">
      <c r="A174" s="22">
        <v>626</v>
      </c>
      <c r="B174" s="16" t="s">
        <v>2737</v>
      </c>
      <c r="C174" s="16" t="s">
        <v>2738</v>
      </c>
      <c r="D174" s="16">
        <v>91735600</v>
      </c>
      <c r="E174" s="16">
        <v>3</v>
      </c>
      <c r="F174" s="16">
        <v>2</v>
      </c>
      <c r="G174" s="20" t="s">
        <v>1443</v>
      </c>
      <c r="H174" s="16"/>
      <c r="I174" s="16" t="s">
        <v>2739</v>
      </c>
      <c r="J174" s="16" t="s">
        <v>2740</v>
      </c>
      <c r="K174" s="16" t="s">
        <v>2741</v>
      </c>
    </row>
    <row r="175" spans="1:11" ht="345" hidden="1" x14ac:dyDescent="0.25">
      <c r="A175" s="22">
        <v>581</v>
      </c>
      <c r="B175" s="16" t="s">
        <v>2568</v>
      </c>
      <c r="C175" s="16" t="s">
        <v>2569</v>
      </c>
      <c r="D175" s="16">
        <v>91460448</v>
      </c>
      <c r="E175" s="16">
        <v>2</v>
      </c>
      <c r="F175" s="16">
        <v>4</v>
      </c>
      <c r="G175" s="20" t="s">
        <v>1443</v>
      </c>
      <c r="H175" s="16"/>
      <c r="I175" s="16" t="s">
        <v>2502</v>
      </c>
      <c r="J175" s="16" t="s">
        <v>2570</v>
      </c>
      <c r="K175" s="16" t="s">
        <v>2491</v>
      </c>
    </row>
    <row r="176" spans="1:11" ht="240" hidden="1" x14ac:dyDescent="0.25">
      <c r="A176" s="22">
        <v>190</v>
      </c>
      <c r="B176" s="16" t="s">
        <v>887</v>
      </c>
      <c r="C176" s="16" t="s">
        <v>888</v>
      </c>
      <c r="D176" s="16">
        <v>91456000</v>
      </c>
      <c r="E176" s="16">
        <v>3</v>
      </c>
      <c r="F176" s="16">
        <v>5</v>
      </c>
      <c r="G176" s="19" t="s">
        <v>842</v>
      </c>
      <c r="H176" s="16"/>
      <c r="I176" s="16" t="s">
        <v>889</v>
      </c>
      <c r="J176" s="16" t="s">
        <v>890</v>
      </c>
      <c r="K176" s="16" t="s">
        <v>891</v>
      </c>
    </row>
    <row r="177" spans="1:11" ht="315" hidden="1" x14ac:dyDescent="0.25">
      <c r="A177" s="22">
        <v>706</v>
      </c>
      <c r="B177" s="16" t="s">
        <v>3086</v>
      </c>
      <c r="C177" s="16" t="s">
        <v>3087</v>
      </c>
      <c r="D177" s="16">
        <v>89905000</v>
      </c>
      <c r="E177" s="16">
        <v>1</v>
      </c>
      <c r="F177" s="16">
        <v>3</v>
      </c>
      <c r="G177" s="21" t="s">
        <v>2807</v>
      </c>
      <c r="H177" s="16"/>
      <c r="I177" s="16" t="s">
        <v>3088</v>
      </c>
      <c r="J177" s="16" t="s">
        <v>3089</v>
      </c>
      <c r="K177" s="16" t="s">
        <v>3090</v>
      </c>
    </row>
    <row r="178" spans="1:11" ht="210" hidden="1" x14ac:dyDescent="0.25">
      <c r="A178" s="22">
        <v>500</v>
      </c>
      <c r="B178" s="16" t="s">
        <v>2227</v>
      </c>
      <c r="C178" s="16" t="s">
        <v>2228</v>
      </c>
      <c r="D178" s="16">
        <v>88600000</v>
      </c>
      <c r="E178" s="16">
        <v>3</v>
      </c>
      <c r="F178" s="16">
        <v>3</v>
      </c>
      <c r="G178" s="20" t="s">
        <v>1443</v>
      </c>
      <c r="H178" s="16"/>
      <c r="I178" s="16" t="s">
        <v>2229</v>
      </c>
      <c r="J178" s="16" t="s">
        <v>2230</v>
      </c>
      <c r="K178" s="16" t="s">
        <v>2231</v>
      </c>
    </row>
    <row r="179" spans="1:11" ht="330" hidden="1" x14ac:dyDescent="0.25">
      <c r="A179" s="22">
        <v>140</v>
      </c>
      <c r="B179" s="16" t="s">
        <v>665</v>
      </c>
      <c r="C179" s="16" t="s">
        <v>666</v>
      </c>
      <c r="D179" s="16">
        <v>88389000</v>
      </c>
      <c r="E179" s="16">
        <v>4</v>
      </c>
      <c r="F179" s="16">
        <v>5</v>
      </c>
      <c r="G179" s="18" t="s">
        <v>108</v>
      </c>
      <c r="H179" s="16"/>
      <c r="I179" s="16" t="s">
        <v>667</v>
      </c>
      <c r="J179" s="16" t="s">
        <v>668</v>
      </c>
      <c r="K179" s="16" t="s">
        <v>669</v>
      </c>
    </row>
    <row r="180" spans="1:11" ht="195" hidden="1" x14ac:dyDescent="0.25">
      <c r="A180" s="22">
        <v>185</v>
      </c>
      <c r="B180" s="16" t="s">
        <v>862</v>
      </c>
      <c r="C180" s="16" t="s">
        <v>863</v>
      </c>
      <c r="D180" s="16">
        <v>86338000</v>
      </c>
      <c r="E180" s="16">
        <v>3</v>
      </c>
      <c r="F180" s="16">
        <v>5</v>
      </c>
      <c r="G180" s="19" t="s">
        <v>842</v>
      </c>
      <c r="H180" s="16"/>
      <c r="I180" s="16" t="s">
        <v>864</v>
      </c>
      <c r="J180" s="16" t="s">
        <v>865</v>
      </c>
      <c r="K180" s="16" t="s">
        <v>866</v>
      </c>
    </row>
    <row r="181" spans="1:11" ht="409.5" hidden="1" x14ac:dyDescent="0.25">
      <c r="A181" s="22">
        <v>147</v>
      </c>
      <c r="B181" s="16" t="s">
        <v>698</v>
      </c>
      <c r="C181" s="16" t="s">
        <v>699</v>
      </c>
      <c r="D181" s="16">
        <v>86094598</v>
      </c>
      <c r="E181" s="16">
        <v>4</v>
      </c>
      <c r="F181" s="16">
        <v>4</v>
      </c>
      <c r="G181" s="18" t="s">
        <v>108</v>
      </c>
      <c r="H181" s="16"/>
      <c r="I181" s="16" t="s">
        <v>680</v>
      </c>
      <c r="J181" s="16" t="s">
        <v>700</v>
      </c>
      <c r="K181" s="16" t="s">
        <v>701</v>
      </c>
    </row>
    <row r="182" spans="1:11" ht="240" hidden="1" x14ac:dyDescent="0.25">
      <c r="A182" s="22">
        <v>201</v>
      </c>
      <c r="B182" s="16" t="s">
        <v>942</v>
      </c>
      <c r="C182" s="16" t="s">
        <v>943</v>
      </c>
      <c r="D182" s="16">
        <v>84857582</v>
      </c>
      <c r="E182" s="16">
        <v>4</v>
      </c>
      <c r="F182" s="16">
        <v>3</v>
      </c>
      <c r="G182" s="19" t="s">
        <v>842</v>
      </c>
      <c r="H182" s="16"/>
      <c r="I182" s="16" t="s">
        <v>944</v>
      </c>
      <c r="J182" s="16" t="s">
        <v>945</v>
      </c>
      <c r="K182" s="16" t="s">
        <v>946</v>
      </c>
    </row>
    <row r="183" spans="1:11" ht="405" hidden="1" x14ac:dyDescent="0.25">
      <c r="A183" s="22">
        <v>579</v>
      </c>
      <c r="B183" s="16" t="s">
        <v>2562</v>
      </c>
      <c r="C183" s="16" t="s">
        <v>2563</v>
      </c>
      <c r="D183" s="16">
        <v>82694396</v>
      </c>
      <c r="E183" s="16">
        <v>2</v>
      </c>
      <c r="F183" s="16">
        <v>4</v>
      </c>
      <c r="G183" s="20" t="s">
        <v>1443</v>
      </c>
      <c r="H183" s="16"/>
      <c r="I183" s="16" t="s">
        <v>2502</v>
      </c>
      <c r="J183" s="16" t="s">
        <v>2564</v>
      </c>
      <c r="K183" s="16" t="s">
        <v>2491</v>
      </c>
    </row>
    <row r="184" spans="1:11" ht="270" hidden="1" x14ac:dyDescent="0.25">
      <c r="A184" s="22">
        <v>647</v>
      </c>
      <c r="B184" s="16" t="s">
        <v>2829</v>
      </c>
      <c r="C184" s="16" t="s">
        <v>2830</v>
      </c>
      <c r="D184" s="16">
        <v>82477440</v>
      </c>
      <c r="E184" s="16">
        <v>1</v>
      </c>
      <c r="F184" s="16">
        <v>3</v>
      </c>
      <c r="G184" s="21" t="s">
        <v>2807</v>
      </c>
      <c r="H184" s="16"/>
      <c r="I184" s="16" t="s">
        <v>380</v>
      </c>
      <c r="J184" s="16" t="s">
        <v>910</v>
      </c>
      <c r="K184" s="16" t="s">
        <v>1124</v>
      </c>
    </row>
    <row r="185" spans="1:11" ht="315" hidden="1" x14ac:dyDescent="0.25">
      <c r="A185" s="22">
        <v>267</v>
      </c>
      <c r="B185" s="16" t="s">
        <v>1216</v>
      </c>
      <c r="C185" s="16" t="s">
        <v>1217</v>
      </c>
      <c r="D185" s="16">
        <v>81516900</v>
      </c>
      <c r="E185" s="16">
        <v>5</v>
      </c>
      <c r="F185" s="16">
        <v>3</v>
      </c>
      <c r="G185" s="19" t="s">
        <v>842</v>
      </c>
      <c r="H185" s="16"/>
      <c r="I185" s="16" t="s">
        <v>1218</v>
      </c>
      <c r="J185" s="16" t="s">
        <v>1219</v>
      </c>
      <c r="K185" s="16" t="s">
        <v>1220</v>
      </c>
    </row>
    <row r="186" spans="1:11" ht="210" hidden="1" x14ac:dyDescent="0.25">
      <c r="A186" s="22">
        <v>300</v>
      </c>
      <c r="B186" s="16" t="s">
        <v>1373</v>
      </c>
      <c r="C186" s="16" t="s">
        <v>1374</v>
      </c>
      <c r="D186" s="16">
        <v>79850000</v>
      </c>
      <c r="E186" s="16">
        <v>3</v>
      </c>
      <c r="F186" s="16">
        <v>4</v>
      </c>
      <c r="G186" s="19" t="s">
        <v>842</v>
      </c>
      <c r="H186" s="16"/>
      <c r="I186" s="16" t="s">
        <v>1375</v>
      </c>
      <c r="J186" s="16" t="s">
        <v>1376</v>
      </c>
      <c r="K186" s="16" t="s">
        <v>1377</v>
      </c>
    </row>
    <row r="187" spans="1:11" ht="375" hidden="1" x14ac:dyDescent="0.25">
      <c r="A187" s="22">
        <v>455</v>
      </c>
      <c r="B187" s="16" t="s">
        <v>2025</v>
      </c>
      <c r="C187" s="16" t="s">
        <v>2026</v>
      </c>
      <c r="D187" s="16">
        <v>79814200</v>
      </c>
      <c r="E187" s="16">
        <v>2</v>
      </c>
      <c r="F187" s="16">
        <v>4</v>
      </c>
      <c r="G187" s="20" t="s">
        <v>1443</v>
      </c>
      <c r="H187" s="16"/>
      <c r="I187" s="16" t="s">
        <v>1101</v>
      </c>
      <c r="J187" s="16" t="s">
        <v>1102</v>
      </c>
      <c r="K187" s="16" t="s">
        <v>1103</v>
      </c>
    </row>
    <row r="188" spans="1:11" ht="409.5" hidden="1" x14ac:dyDescent="0.25">
      <c r="A188" s="22">
        <v>582</v>
      </c>
      <c r="B188" s="16" t="s">
        <v>2571</v>
      </c>
      <c r="C188" s="16" t="s">
        <v>2572</v>
      </c>
      <c r="D188" s="16">
        <v>78971000</v>
      </c>
      <c r="E188" s="16">
        <v>2</v>
      </c>
      <c r="F188" s="16">
        <v>4</v>
      </c>
      <c r="G188" s="20" t="s">
        <v>1443</v>
      </c>
      <c r="H188" s="16"/>
      <c r="I188" s="16" t="s">
        <v>2502</v>
      </c>
      <c r="J188" s="16" t="s">
        <v>2573</v>
      </c>
      <c r="K188" s="16" t="s">
        <v>2491</v>
      </c>
    </row>
    <row r="189" spans="1:11" ht="409.5" hidden="1" x14ac:dyDescent="0.25">
      <c r="A189" s="22">
        <v>515</v>
      </c>
      <c r="B189" s="16" t="s">
        <v>2298</v>
      </c>
      <c r="C189" s="16" t="s">
        <v>2299</v>
      </c>
      <c r="D189" s="16">
        <v>78780000</v>
      </c>
      <c r="E189" s="16">
        <v>3</v>
      </c>
      <c r="F189" s="16">
        <v>3</v>
      </c>
      <c r="G189" s="20" t="s">
        <v>1443</v>
      </c>
      <c r="H189" s="16"/>
      <c r="I189" s="16" t="s">
        <v>2300</v>
      </c>
      <c r="J189" s="16" t="s">
        <v>2301</v>
      </c>
      <c r="K189" s="16" t="s">
        <v>2302</v>
      </c>
    </row>
    <row r="190" spans="1:11" ht="330" hidden="1" x14ac:dyDescent="0.25">
      <c r="A190" s="22">
        <v>125</v>
      </c>
      <c r="B190" s="16" t="s">
        <v>597</v>
      </c>
      <c r="C190" s="16" t="s">
        <v>598</v>
      </c>
      <c r="D190" s="16">
        <v>78036000</v>
      </c>
      <c r="E190" s="16">
        <v>4</v>
      </c>
      <c r="F190" s="16">
        <v>5</v>
      </c>
      <c r="G190" s="18" t="s">
        <v>108</v>
      </c>
      <c r="H190" s="16"/>
      <c r="I190" s="16" t="s">
        <v>599</v>
      </c>
      <c r="J190" s="16" t="s">
        <v>600</v>
      </c>
      <c r="K190" s="16" t="s">
        <v>601</v>
      </c>
    </row>
    <row r="191" spans="1:11" ht="285" hidden="1" x14ac:dyDescent="0.25">
      <c r="A191" s="22">
        <v>122</v>
      </c>
      <c r="B191" s="16" t="s">
        <v>584</v>
      </c>
      <c r="C191" s="16" t="s">
        <v>585</v>
      </c>
      <c r="D191" s="16">
        <v>77910000</v>
      </c>
      <c r="E191" s="16">
        <v>4</v>
      </c>
      <c r="F191" s="16">
        <v>4</v>
      </c>
      <c r="G191" s="18" t="s">
        <v>108</v>
      </c>
      <c r="H191" s="16"/>
      <c r="I191" s="16" t="s">
        <v>581</v>
      </c>
      <c r="J191" s="16" t="s">
        <v>586</v>
      </c>
      <c r="K191" s="16" t="s">
        <v>583</v>
      </c>
    </row>
    <row r="192" spans="1:11" ht="210" hidden="1" x14ac:dyDescent="0.25">
      <c r="A192" s="22">
        <v>14</v>
      </c>
      <c r="B192" s="16" t="s">
        <v>88</v>
      </c>
      <c r="C192" s="16" t="s">
        <v>89</v>
      </c>
      <c r="D192" s="16">
        <v>77080000</v>
      </c>
      <c r="E192" s="16">
        <v>5</v>
      </c>
      <c r="F192" s="16">
        <v>5</v>
      </c>
      <c r="G192" s="17" t="s">
        <v>31</v>
      </c>
      <c r="H192" s="16"/>
      <c r="I192" s="16" t="s">
        <v>90</v>
      </c>
      <c r="J192" s="16" t="s">
        <v>91</v>
      </c>
      <c r="K192" s="16" t="s">
        <v>92</v>
      </c>
    </row>
    <row r="193" spans="1:11" ht="409.5" hidden="1" x14ac:dyDescent="0.25">
      <c r="A193" s="22">
        <v>575</v>
      </c>
      <c r="B193" s="16" t="s">
        <v>2550</v>
      </c>
      <c r="C193" s="16" t="s">
        <v>2551</v>
      </c>
      <c r="D193" s="16">
        <v>75574272</v>
      </c>
      <c r="E193" s="16">
        <v>2</v>
      </c>
      <c r="F193" s="16">
        <v>3</v>
      </c>
      <c r="G193" s="20" t="s">
        <v>1443</v>
      </c>
      <c r="H193" s="16"/>
      <c r="I193" s="16" t="s">
        <v>2502</v>
      </c>
      <c r="J193" s="16" t="s">
        <v>2552</v>
      </c>
      <c r="K193" s="16" t="s">
        <v>2491</v>
      </c>
    </row>
    <row r="194" spans="1:11" ht="409.5" hidden="1" x14ac:dyDescent="0.25">
      <c r="A194" s="22">
        <v>516</v>
      </c>
      <c r="B194" s="16" t="s">
        <v>2303</v>
      </c>
      <c r="C194" s="16" t="s">
        <v>2304</v>
      </c>
      <c r="D194" s="16">
        <v>75550000</v>
      </c>
      <c r="E194" s="16">
        <v>2</v>
      </c>
      <c r="F194" s="16">
        <v>3</v>
      </c>
      <c r="G194" s="20" t="s">
        <v>1443</v>
      </c>
      <c r="H194" s="16"/>
      <c r="I194" s="16" t="s">
        <v>2305</v>
      </c>
      <c r="J194" s="16" t="s">
        <v>2306</v>
      </c>
      <c r="K194" s="16" t="s">
        <v>2304</v>
      </c>
    </row>
    <row r="195" spans="1:11" ht="345" hidden="1" x14ac:dyDescent="0.25">
      <c r="A195" s="22">
        <v>301</v>
      </c>
      <c r="B195" s="16" t="s">
        <v>1378</v>
      </c>
      <c r="C195" s="16" t="s">
        <v>1379</v>
      </c>
      <c r="D195" s="16">
        <v>75250000</v>
      </c>
      <c r="E195" s="16">
        <v>3</v>
      </c>
      <c r="F195" s="16">
        <v>4</v>
      </c>
      <c r="G195" s="19" t="s">
        <v>842</v>
      </c>
      <c r="H195" s="16"/>
      <c r="I195" s="16" t="s">
        <v>1380</v>
      </c>
      <c r="J195" s="16" t="s">
        <v>1381</v>
      </c>
      <c r="K195" s="16" t="s">
        <v>1382</v>
      </c>
    </row>
    <row r="196" spans="1:11" ht="210" hidden="1" x14ac:dyDescent="0.25">
      <c r="A196" s="22">
        <v>425</v>
      </c>
      <c r="B196" s="16" t="s">
        <v>1921</v>
      </c>
      <c r="C196" s="16" t="s">
        <v>1922</v>
      </c>
      <c r="D196" s="16">
        <v>75211600</v>
      </c>
      <c r="E196" s="16">
        <v>3</v>
      </c>
      <c r="F196" s="16">
        <v>3</v>
      </c>
      <c r="G196" s="20" t="s">
        <v>1443</v>
      </c>
      <c r="H196" s="16"/>
      <c r="I196" s="16" t="s">
        <v>1923</v>
      </c>
      <c r="J196" s="16" t="s">
        <v>1924</v>
      </c>
      <c r="K196" s="16" t="s">
        <v>1925</v>
      </c>
    </row>
    <row r="197" spans="1:11" ht="375" hidden="1" x14ac:dyDescent="0.25">
      <c r="A197" s="22">
        <v>454</v>
      </c>
      <c r="B197" s="16" t="s">
        <v>2023</v>
      </c>
      <c r="C197" s="16" t="s">
        <v>2024</v>
      </c>
      <c r="D197" s="16">
        <v>74782500</v>
      </c>
      <c r="E197" s="16">
        <v>2</v>
      </c>
      <c r="F197" s="16">
        <v>4</v>
      </c>
      <c r="G197" s="20" t="s">
        <v>1443</v>
      </c>
      <c r="H197" s="16"/>
      <c r="I197" s="16" t="s">
        <v>1101</v>
      </c>
      <c r="J197" s="16" t="s">
        <v>1102</v>
      </c>
      <c r="K197" s="16" t="s">
        <v>1103</v>
      </c>
    </row>
    <row r="198" spans="1:11" ht="195" hidden="1" x14ac:dyDescent="0.25">
      <c r="A198" s="22">
        <v>110</v>
      </c>
      <c r="B198" s="16" t="s">
        <v>525</v>
      </c>
      <c r="C198" s="16" t="s">
        <v>526</v>
      </c>
      <c r="D198" s="16">
        <v>73905000</v>
      </c>
      <c r="E198" s="16">
        <v>4</v>
      </c>
      <c r="F198" s="16">
        <v>4</v>
      </c>
      <c r="G198" s="18" t="s">
        <v>108</v>
      </c>
      <c r="H198" s="16"/>
      <c r="I198" s="16" t="s">
        <v>527</v>
      </c>
      <c r="J198" s="16" t="s">
        <v>528</v>
      </c>
      <c r="K198" s="16" t="s">
        <v>529</v>
      </c>
    </row>
    <row r="199" spans="1:11" ht="345" hidden="1" x14ac:dyDescent="0.25">
      <c r="A199" s="22">
        <v>319</v>
      </c>
      <c r="B199" s="16" t="s">
        <v>1462</v>
      </c>
      <c r="C199" s="16" t="s">
        <v>1463</v>
      </c>
      <c r="D199" s="16">
        <v>73705000</v>
      </c>
      <c r="E199" s="16">
        <v>2</v>
      </c>
      <c r="F199" s="16">
        <v>5</v>
      </c>
      <c r="G199" s="20" t="s">
        <v>1443</v>
      </c>
      <c r="H199" s="16"/>
      <c r="I199" s="16" t="s">
        <v>1464</v>
      </c>
      <c r="J199" s="16" t="s">
        <v>1465</v>
      </c>
      <c r="K199" s="16" t="s">
        <v>1466</v>
      </c>
    </row>
    <row r="200" spans="1:11" ht="345" hidden="1" x14ac:dyDescent="0.25">
      <c r="A200" s="22">
        <v>576</v>
      </c>
      <c r="B200" s="16" t="s">
        <v>2553</v>
      </c>
      <c r="C200" s="16" t="s">
        <v>2554</v>
      </c>
      <c r="D200" s="16">
        <v>73234272</v>
      </c>
      <c r="E200" s="16">
        <v>2</v>
      </c>
      <c r="F200" s="16">
        <v>3</v>
      </c>
      <c r="G200" s="20" t="s">
        <v>1443</v>
      </c>
      <c r="H200" s="16"/>
      <c r="I200" s="16" t="s">
        <v>2502</v>
      </c>
      <c r="J200" s="16" t="s">
        <v>2555</v>
      </c>
      <c r="K200" s="16" t="s">
        <v>2491</v>
      </c>
    </row>
    <row r="201" spans="1:11" ht="225" hidden="1" x14ac:dyDescent="0.25">
      <c r="A201" s="22">
        <v>481</v>
      </c>
      <c r="B201" s="16" t="s">
        <v>2140</v>
      </c>
      <c r="C201" s="16" t="s">
        <v>2141</v>
      </c>
      <c r="D201" s="16">
        <v>72330000</v>
      </c>
      <c r="E201" s="16">
        <v>2</v>
      </c>
      <c r="F201" s="16">
        <v>4</v>
      </c>
      <c r="G201" s="20" t="s">
        <v>1443</v>
      </c>
      <c r="H201" s="16"/>
      <c r="I201" s="16" t="s">
        <v>2142</v>
      </c>
      <c r="J201" s="16" t="s">
        <v>2143</v>
      </c>
      <c r="K201" s="16" t="s">
        <v>2144</v>
      </c>
    </row>
    <row r="202" spans="1:11" ht="345" hidden="1" x14ac:dyDescent="0.25">
      <c r="A202" s="22">
        <v>583</v>
      </c>
      <c r="B202" s="16" t="s">
        <v>2574</v>
      </c>
      <c r="C202" s="16" t="s">
        <v>2575</v>
      </c>
      <c r="D202" s="16">
        <v>71461000</v>
      </c>
      <c r="E202" s="16">
        <v>2</v>
      </c>
      <c r="F202" s="16">
        <v>5</v>
      </c>
      <c r="G202" s="20" t="s">
        <v>1443</v>
      </c>
      <c r="H202" s="16"/>
      <c r="I202" s="16" t="s">
        <v>2494</v>
      </c>
      <c r="J202" s="16" t="s">
        <v>2576</v>
      </c>
      <c r="K202" s="16" t="s">
        <v>2491</v>
      </c>
    </row>
    <row r="203" spans="1:11" ht="409.5" hidden="1" x14ac:dyDescent="0.25">
      <c r="A203" s="22">
        <v>565</v>
      </c>
      <c r="B203" s="16" t="s">
        <v>2520</v>
      </c>
      <c r="C203" s="16" t="s">
        <v>2521</v>
      </c>
      <c r="D203" s="16">
        <v>70389272</v>
      </c>
      <c r="E203" s="16">
        <v>2</v>
      </c>
      <c r="F203" s="16">
        <v>3</v>
      </c>
      <c r="G203" s="20" t="s">
        <v>1443</v>
      </c>
      <c r="H203" s="16"/>
      <c r="I203" s="16" t="s">
        <v>2502</v>
      </c>
      <c r="J203" s="16" t="s">
        <v>2522</v>
      </c>
      <c r="K203" s="16" t="s">
        <v>2491</v>
      </c>
    </row>
    <row r="204" spans="1:11" ht="165" hidden="1" x14ac:dyDescent="0.25">
      <c r="A204" s="22">
        <v>588</v>
      </c>
      <c r="B204" s="16" t="s">
        <v>2597</v>
      </c>
      <c r="C204" s="16" t="s">
        <v>2598</v>
      </c>
      <c r="D204" s="16">
        <v>69985500</v>
      </c>
      <c r="E204" s="16">
        <v>3</v>
      </c>
      <c r="F204" s="16">
        <v>3</v>
      </c>
      <c r="G204" s="20" t="s">
        <v>1443</v>
      </c>
      <c r="H204" s="16"/>
      <c r="I204" s="16" t="s">
        <v>2599</v>
      </c>
      <c r="J204" s="16" t="s">
        <v>2600</v>
      </c>
      <c r="K204" s="16" t="s">
        <v>2601</v>
      </c>
    </row>
    <row r="205" spans="1:11" ht="240" hidden="1" x14ac:dyDescent="0.25">
      <c r="A205" s="22">
        <v>87</v>
      </c>
      <c r="B205" s="16" t="s">
        <v>414</v>
      </c>
      <c r="C205" s="16" t="s">
        <v>415</v>
      </c>
      <c r="D205" s="16">
        <v>69345000</v>
      </c>
      <c r="E205" s="16">
        <v>4</v>
      </c>
      <c r="F205" s="16">
        <v>4</v>
      </c>
      <c r="G205" s="18" t="s">
        <v>108</v>
      </c>
      <c r="H205" s="16"/>
      <c r="I205" s="16" t="s">
        <v>416</v>
      </c>
      <c r="J205" s="16" t="s">
        <v>417</v>
      </c>
      <c r="K205" s="16" t="s">
        <v>418</v>
      </c>
    </row>
    <row r="206" spans="1:11" ht="360" hidden="1" x14ac:dyDescent="0.25">
      <c r="A206" s="22">
        <v>569</v>
      </c>
      <c r="B206" s="16" t="s">
        <v>2532</v>
      </c>
      <c r="C206" s="16" t="s">
        <v>2533</v>
      </c>
      <c r="D206" s="16">
        <v>67250000</v>
      </c>
      <c r="E206" s="16">
        <v>2</v>
      </c>
      <c r="F206" s="16">
        <v>3</v>
      </c>
      <c r="G206" s="20" t="s">
        <v>1443</v>
      </c>
      <c r="H206" s="16"/>
      <c r="I206" s="16" t="s">
        <v>2502</v>
      </c>
      <c r="J206" s="16" t="s">
        <v>2534</v>
      </c>
      <c r="K206" s="16" t="s">
        <v>2491</v>
      </c>
    </row>
    <row r="207" spans="1:11" ht="240" hidden="1" x14ac:dyDescent="0.25">
      <c r="A207" s="22">
        <v>38</v>
      </c>
      <c r="B207" s="16" t="s">
        <v>200</v>
      </c>
      <c r="C207" s="16" t="s">
        <v>201</v>
      </c>
      <c r="D207" s="16">
        <v>66910600</v>
      </c>
      <c r="E207" s="16">
        <v>4</v>
      </c>
      <c r="F207" s="16">
        <v>4</v>
      </c>
      <c r="G207" s="18" t="s">
        <v>108</v>
      </c>
      <c r="H207" s="16"/>
      <c r="I207" s="16" t="s">
        <v>202</v>
      </c>
      <c r="J207" s="16" t="s">
        <v>203</v>
      </c>
      <c r="K207" s="16" t="s">
        <v>204</v>
      </c>
    </row>
    <row r="208" spans="1:11" ht="255" hidden="1" x14ac:dyDescent="0.25">
      <c r="A208" s="22">
        <v>487</v>
      </c>
      <c r="B208" s="16" t="s">
        <v>2168</v>
      </c>
      <c r="C208" s="16" t="s">
        <v>2169</v>
      </c>
      <c r="D208" s="16">
        <v>66097000</v>
      </c>
      <c r="E208" s="16">
        <v>2</v>
      </c>
      <c r="F208" s="16">
        <v>4</v>
      </c>
      <c r="G208" s="20" t="s">
        <v>1443</v>
      </c>
      <c r="H208" s="16"/>
      <c r="I208" s="16" t="s">
        <v>2170</v>
      </c>
      <c r="J208" s="16" t="s">
        <v>1996</v>
      </c>
      <c r="K208" s="16" t="s">
        <v>137</v>
      </c>
    </row>
    <row r="209" spans="1:11" ht="240" hidden="1" x14ac:dyDescent="0.25">
      <c r="A209" s="22">
        <v>489</v>
      </c>
      <c r="B209" s="16" t="s">
        <v>2175</v>
      </c>
      <c r="C209" s="16" t="s">
        <v>2176</v>
      </c>
      <c r="D209" s="16">
        <v>65612990</v>
      </c>
      <c r="E209" s="16">
        <v>2</v>
      </c>
      <c r="F209" s="16">
        <v>4</v>
      </c>
      <c r="G209" s="20" t="s">
        <v>1443</v>
      </c>
      <c r="H209" s="16"/>
      <c r="I209" s="16" t="s">
        <v>2177</v>
      </c>
      <c r="J209" s="16" t="s">
        <v>120</v>
      </c>
      <c r="K209" s="16" t="s">
        <v>137</v>
      </c>
    </row>
    <row r="210" spans="1:11" ht="210" hidden="1" x14ac:dyDescent="0.25">
      <c r="A210" s="22">
        <v>93</v>
      </c>
      <c r="B210" s="16" t="s">
        <v>443</v>
      </c>
      <c r="C210" s="16" t="s">
        <v>444</v>
      </c>
      <c r="D210" s="16">
        <v>65550000</v>
      </c>
      <c r="E210" s="16">
        <v>4</v>
      </c>
      <c r="F210" s="16">
        <v>4</v>
      </c>
      <c r="G210" s="18" t="s">
        <v>108</v>
      </c>
      <c r="H210" s="16"/>
      <c r="I210" s="16" t="s">
        <v>445</v>
      </c>
      <c r="J210" s="16" t="s">
        <v>446</v>
      </c>
      <c r="K210" s="16" t="s">
        <v>447</v>
      </c>
    </row>
    <row r="211" spans="1:11" ht="270" hidden="1" x14ac:dyDescent="0.25">
      <c r="A211" s="22">
        <v>321</v>
      </c>
      <c r="B211" s="16" t="s">
        <v>1469</v>
      </c>
      <c r="C211" s="16" t="s">
        <v>1470</v>
      </c>
      <c r="D211" s="16">
        <v>65000000</v>
      </c>
      <c r="E211" s="16">
        <v>2</v>
      </c>
      <c r="F211" s="16">
        <v>4</v>
      </c>
      <c r="G211" s="20" t="s">
        <v>1443</v>
      </c>
      <c r="H211" s="16"/>
      <c r="I211" s="16" t="s">
        <v>1471</v>
      </c>
      <c r="J211" s="16" t="s">
        <v>1472</v>
      </c>
      <c r="K211" s="16" t="s">
        <v>1473</v>
      </c>
    </row>
    <row r="212" spans="1:11" ht="390" hidden="1" x14ac:dyDescent="0.25">
      <c r="A212" s="22">
        <v>313</v>
      </c>
      <c r="B212" s="16" t="s">
        <v>1435</v>
      </c>
      <c r="C212" s="16" t="s">
        <v>1436</v>
      </c>
      <c r="D212" s="16">
        <v>63625000</v>
      </c>
      <c r="E212" s="16">
        <v>4</v>
      </c>
      <c r="F212" s="16">
        <v>3</v>
      </c>
      <c r="G212" s="19" t="s">
        <v>842</v>
      </c>
      <c r="H212" s="16"/>
      <c r="I212" s="16" t="s">
        <v>1432</v>
      </c>
      <c r="J212" s="16" t="s">
        <v>1437</v>
      </c>
      <c r="K212" s="16" t="s">
        <v>1434</v>
      </c>
    </row>
    <row r="213" spans="1:11" ht="360" hidden="1" x14ac:dyDescent="0.25">
      <c r="A213" s="22">
        <v>269</v>
      </c>
      <c r="B213" s="16" t="s">
        <v>1226</v>
      </c>
      <c r="C213" s="16" t="s">
        <v>1227</v>
      </c>
      <c r="D213" s="16">
        <v>63157000</v>
      </c>
      <c r="E213" s="16">
        <v>5</v>
      </c>
      <c r="F213" s="16">
        <v>3</v>
      </c>
      <c r="G213" s="19" t="s">
        <v>842</v>
      </c>
      <c r="H213" s="16"/>
      <c r="I213" s="16" t="s">
        <v>1228</v>
      </c>
      <c r="J213" s="16" t="s">
        <v>1229</v>
      </c>
      <c r="K213" s="16" t="s">
        <v>1230</v>
      </c>
    </row>
    <row r="214" spans="1:11" ht="315" hidden="1" x14ac:dyDescent="0.25">
      <c r="A214" s="22">
        <v>458</v>
      </c>
      <c r="B214" s="16" t="s">
        <v>2035</v>
      </c>
      <c r="C214" s="16" t="s">
        <v>2036</v>
      </c>
      <c r="D214" s="16">
        <v>63100000</v>
      </c>
      <c r="E214" s="16">
        <v>3</v>
      </c>
      <c r="F214" s="16">
        <v>2</v>
      </c>
      <c r="G214" s="20" t="s">
        <v>1443</v>
      </c>
      <c r="H214" s="16"/>
      <c r="I214" s="16" t="s">
        <v>2037</v>
      </c>
      <c r="J214" s="16" t="s">
        <v>2038</v>
      </c>
      <c r="K214" s="16" t="s">
        <v>2039</v>
      </c>
    </row>
    <row r="215" spans="1:11" ht="300" hidden="1" x14ac:dyDescent="0.25">
      <c r="A215" s="22">
        <v>57</v>
      </c>
      <c r="B215" s="16" t="s">
        <v>283</v>
      </c>
      <c r="C215" s="16" t="s">
        <v>284</v>
      </c>
      <c r="D215" s="16">
        <v>62700000</v>
      </c>
      <c r="E215" s="16">
        <v>4</v>
      </c>
      <c r="F215" s="16">
        <v>4</v>
      </c>
      <c r="G215" s="18" t="s">
        <v>108</v>
      </c>
      <c r="H215" s="16"/>
      <c r="I215" s="16" t="s">
        <v>285</v>
      </c>
      <c r="J215" s="16" t="s">
        <v>286</v>
      </c>
      <c r="K215" s="16" t="s">
        <v>287</v>
      </c>
    </row>
    <row r="216" spans="1:11" ht="225" hidden="1" x14ac:dyDescent="0.25">
      <c r="A216" s="22">
        <v>704</v>
      </c>
      <c r="B216" s="16" t="s">
        <v>3076</v>
      </c>
      <c r="C216" s="16" t="s">
        <v>3077</v>
      </c>
      <c r="D216" s="16">
        <v>62435000</v>
      </c>
      <c r="E216" s="16">
        <v>1</v>
      </c>
      <c r="F216" s="16">
        <v>1</v>
      </c>
      <c r="G216" s="21" t="s">
        <v>2807</v>
      </c>
      <c r="H216" s="16"/>
      <c r="I216" s="16" t="s">
        <v>3078</v>
      </c>
      <c r="J216" s="16" t="s">
        <v>3079</v>
      </c>
      <c r="K216" s="16" t="s">
        <v>3080</v>
      </c>
    </row>
    <row r="217" spans="1:11" ht="409.5" hidden="1" x14ac:dyDescent="0.25">
      <c r="A217" s="22">
        <v>577</v>
      </c>
      <c r="B217" s="16" t="s">
        <v>2556</v>
      </c>
      <c r="C217" s="16" t="s">
        <v>2557</v>
      </c>
      <c r="D217" s="16">
        <v>62284200</v>
      </c>
      <c r="E217" s="16">
        <v>2</v>
      </c>
      <c r="F217" s="16">
        <v>3</v>
      </c>
      <c r="G217" s="20" t="s">
        <v>1443</v>
      </c>
      <c r="H217" s="16"/>
      <c r="I217" s="16" t="s">
        <v>2502</v>
      </c>
      <c r="J217" s="16" t="s">
        <v>2558</v>
      </c>
      <c r="K217" s="16" t="s">
        <v>2491</v>
      </c>
    </row>
    <row r="218" spans="1:11" ht="270" hidden="1" x14ac:dyDescent="0.25">
      <c r="A218" s="22">
        <v>619</v>
      </c>
      <c r="B218" s="16" t="s">
        <v>2702</v>
      </c>
      <c r="C218" s="16" t="s">
        <v>2703</v>
      </c>
      <c r="D218" s="16">
        <v>61525000</v>
      </c>
      <c r="E218" s="16">
        <v>2</v>
      </c>
      <c r="F218" s="16">
        <v>3</v>
      </c>
      <c r="G218" s="20" t="s">
        <v>1443</v>
      </c>
      <c r="H218" s="16"/>
      <c r="I218" s="16" t="s">
        <v>2704</v>
      </c>
      <c r="J218" s="16" t="s">
        <v>2705</v>
      </c>
      <c r="K218" s="16" t="s">
        <v>2706</v>
      </c>
    </row>
    <row r="219" spans="1:11" ht="195" hidden="1" x14ac:dyDescent="0.25">
      <c r="A219" s="22">
        <v>85</v>
      </c>
      <c r="B219" s="16" t="s">
        <v>408</v>
      </c>
      <c r="C219" s="16" t="s">
        <v>409</v>
      </c>
      <c r="D219" s="16">
        <v>60875000</v>
      </c>
      <c r="E219" s="16">
        <v>4</v>
      </c>
      <c r="F219" s="16">
        <v>4</v>
      </c>
      <c r="G219" s="18" t="s">
        <v>108</v>
      </c>
      <c r="H219" s="16"/>
      <c r="I219" s="16" t="s">
        <v>405</v>
      </c>
      <c r="J219" s="16" t="s">
        <v>406</v>
      </c>
      <c r="K219" s="16" t="s">
        <v>410</v>
      </c>
    </row>
    <row r="220" spans="1:11" ht="165" hidden="1" x14ac:dyDescent="0.25">
      <c r="A220" s="22">
        <v>297</v>
      </c>
      <c r="B220" s="16" t="s">
        <v>1358</v>
      </c>
      <c r="C220" s="16" t="s">
        <v>1359</v>
      </c>
      <c r="D220" s="16">
        <v>60500000</v>
      </c>
      <c r="E220" s="16">
        <v>4</v>
      </c>
      <c r="F220" s="16">
        <v>3</v>
      </c>
      <c r="G220" s="19" t="s">
        <v>842</v>
      </c>
      <c r="H220" s="16"/>
      <c r="I220" s="16" t="s">
        <v>1360</v>
      </c>
      <c r="J220" s="16" t="s">
        <v>1361</v>
      </c>
      <c r="K220" s="16" t="s">
        <v>1362</v>
      </c>
    </row>
    <row r="221" spans="1:11" ht="285" hidden="1" x14ac:dyDescent="0.25">
      <c r="A221" s="22">
        <v>640</v>
      </c>
      <c r="B221" s="16" t="s">
        <v>2805</v>
      </c>
      <c r="C221" s="16" t="s">
        <v>2806</v>
      </c>
      <c r="D221" s="16">
        <v>60000000</v>
      </c>
      <c r="E221" s="16">
        <v>1</v>
      </c>
      <c r="F221" s="16">
        <v>5</v>
      </c>
      <c r="G221" s="21" t="s">
        <v>2807</v>
      </c>
      <c r="H221" s="16"/>
      <c r="I221" s="16" t="s">
        <v>2808</v>
      </c>
      <c r="J221" s="16" t="s">
        <v>2809</v>
      </c>
      <c r="K221" s="16" t="s">
        <v>2810</v>
      </c>
    </row>
    <row r="222" spans="1:11" ht="315" hidden="1" x14ac:dyDescent="0.25">
      <c r="A222" s="22">
        <v>562</v>
      </c>
      <c r="B222" s="16" t="s">
        <v>2510</v>
      </c>
      <c r="C222" s="16" t="s">
        <v>2511</v>
      </c>
      <c r="D222" s="16">
        <v>59500000</v>
      </c>
      <c r="E222" s="16">
        <v>2</v>
      </c>
      <c r="F222" s="16">
        <v>3</v>
      </c>
      <c r="G222" s="20" t="s">
        <v>1443</v>
      </c>
      <c r="H222" s="16"/>
      <c r="I222" s="16" t="s">
        <v>2512</v>
      </c>
      <c r="J222" s="16" t="s">
        <v>2513</v>
      </c>
      <c r="K222" s="16" t="s">
        <v>2491</v>
      </c>
    </row>
    <row r="223" spans="1:11" ht="225" hidden="1" x14ac:dyDescent="0.25">
      <c r="A223" s="22">
        <v>99</v>
      </c>
      <c r="B223" s="16" t="s">
        <v>471</v>
      </c>
      <c r="C223" s="16" t="s">
        <v>472</v>
      </c>
      <c r="D223" s="16">
        <v>57605000</v>
      </c>
      <c r="E223" s="16">
        <v>4</v>
      </c>
      <c r="F223" s="16">
        <v>4</v>
      </c>
      <c r="G223" s="18" t="s">
        <v>108</v>
      </c>
      <c r="H223" s="16"/>
      <c r="I223" s="16" t="s">
        <v>473</v>
      </c>
      <c r="J223" s="16" t="s">
        <v>474</v>
      </c>
      <c r="K223" s="16" t="s">
        <v>475</v>
      </c>
    </row>
    <row r="224" spans="1:11" ht="300" hidden="1" x14ac:dyDescent="0.25">
      <c r="A224" s="22">
        <v>459</v>
      </c>
      <c r="B224" s="16" t="s">
        <v>2040</v>
      </c>
      <c r="C224" s="16" t="s">
        <v>2041</v>
      </c>
      <c r="D224" s="16">
        <v>57100000</v>
      </c>
      <c r="E224" s="16">
        <v>3</v>
      </c>
      <c r="F224" s="16">
        <v>2</v>
      </c>
      <c r="G224" s="20" t="s">
        <v>1443</v>
      </c>
      <c r="H224" s="16"/>
      <c r="I224" s="16" t="s">
        <v>2042</v>
      </c>
      <c r="J224" s="16" t="s">
        <v>2043</v>
      </c>
      <c r="K224" s="16" t="s">
        <v>2044</v>
      </c>
    </row>
    <row r="225" spans="1:11" ht="270" hidden="1" x14ac:dyDescent="0.25">
      <c r="A225" s="22">
        <v>103</v>
      </c>
      <c r="B225" s="16" t="s">
        <v>490</v>
      </c>
      <c r="C225" s="16" t="s">
        <v>491</v>
      </c>
      <c r="D225" s="16">
        <v>56783000</v>
      </c>
      <c r="E225" s="16">
        <v>4</v>
      </c>
      <c r="F225" s="16">
        <v>5</v>
      </c>
      <c r="G225" s="18" t="s">
        <v>108</v>
      </c>
      <c r="H225" s="16"/>
      <c r="I225" s="16" t="s">
        <v>492</v>
      </c>
      <c r="J225" s="16" t="s">
        <v>493</v>
      </c>
      <c r="K225" s="16" t="s">
        <v>494</v>
      </c>
    </row>
    <row r="226" spans="1:11" ht="225" hidden="1" x14ac:dyDescent="0.25">
      <c r="A226" s="22">
        <v>273</v>
      </c>
      <c r="B226" s="16" t="s">
        <v>1246</v>
      </c>
      <c r="C226" s="16" t="s">
        <v>1247</v>
      </c>
      <c r="D226" s="16">
        <v>56545000</v>
      </c>
      <c r="E226" s="16">
        <v>4</v>
      </c>
      <c r="F226" s="16">
        <v>3</v>
      </c>
      <c r="G226" s="19" t="s">
        <v>842</v>
      </c>
      <c r="H226" s="16"/>
      <c r="I226" s="16" t="s">
        <v>1248</v>
      </c>
      <c r="J226" s="16" t="s">
        <v>1249</v>
      </c>
      <c r="K226" s="16" t="s">
        <v>1250</v>
      </c>
    </row>
    <row r="227" spans="1:11" ht="345" hidden="1" x14ac:dyDescent="0.25">
      <c r="A227" s="22">
        <v>621</v>
      </c>
      <c r="B227" s="16" t="s">
        <v>2712</v>
      </c>
      <c r="C227" s="16" t="s">
        <v>2713</v>
      </c>
      <c r="D227" s="16">
        <v>55600000</v>
      </c>
      <c r="E227" s="16">
        <v>2</v>
      </c>
      <c r="F227" s="16">
        <v>3</v>
      </c>
      <c r="G227" s="20" t="s">
        <v>1443</v>
      </c>
      <c r="H227" s="16"/>
      <c r="I227" s="16" t="s">
        <v>2714</v>
      </c>
      <c r="J227" s="16" t="s">
        <v>2715</v>
      </c>
      <c r="K227" s="16" t="s">
        <v>2716</v>
      </c>
    </row>
    <row r="228" spans="1:11" ht="180" hidden="1" x14ac:dyDescent="0.25">
      <c r="A228" s="22">
        <v>257</v>
      </c>
      <c r="B228" s="16" t="s">
        <v>1169</v>
      </c>
      <c r="C228" s="16" t="s">
        <v>1170</v>
      </c>
      <c r="D228" s="16">
        <v>55335000</v>
      </c>
      <c r="E228" s="16">
        <v>4</v>
      </c>
      <c r="F228" s="16">
        <v>3</v>
      </c>
      <c r="G228" s="19" t="s">
        <v>842</v>
      </c>
      <c r="H228" s="16"/>
      <c r="I228" s="16" t="s">
        <v>426</v>
      </c>
      <c r="J228" s="16" t="s">
        <v>1171</v>
      </c>
      <c r="K228" s="16" t="s">
        <v>1172</v>
      </c>
    </row>
    <row r="229" spans="1:11" ht="255" hidden="1" x14ac:dyDescent="0.25">
      <c r="A229" s="22">
        <v>275</v>
      </c>
      <c r="B229" s="16" t="s">
        <v>1256</v>
      </c>
      <c r="C229" s="16" t="s">
        <v>1257</v>
      </c>
      <c r="D229" s="16">
        <v>54300000</v>
      </c>
      <c r="E229" s="16">
        <v>5</v>
      </c>
      <c r="F229" s="16">
        <v>3</v>
      </c>
      <c r="G229" s="19" t="s">
        <v>842</v>
      </c>
      <c r="H229" s="16"/>
      <c r="I229" s="16" t="s">
        <v>1258</v>
      </c>
      <c r="J229" s="16" t="s">
        <v>1259</v>
      </c>
      <c r="K229" s="16" t="s">
        <v>1260</v>
      </c>
    </row>
    <row r="230" spans="1:11" ht="210" hidden="1" x14ac:dyDescent="0.25">
      <c r="A230" s="22">
        <v>271</v>
      </c>
      <c r="B230" s="16" t="s">
        <v>1236</v>
      </c>
      <c r="C230" s="16" t="s">
        <v>1237</v>
      </c>
      <c r="D230" s="16">
        <v>53885000</v>
      </c>
      <c r="E230" s="16">
        <v>4</v>
      </c>
      <c r="F230" s="16">
        <v>3</v>
      </c>
      <c r="G230" s="19" t="s">
        <v>842</v>
      </c>
      <c r="H230" s="16"/>
      <c r="I230" s="16" t="s">
        <v>1238</v>
      </c>
      <c r="J230" s="16" t="s">
        <v>1239</v>
      </c>
      <c r="K230" s="16" t="s">
        <v>1240</v>
      </c>
    </row>
    <row r="231" spans="1:11" ht="195" hidden="1" x14ac:dyDescent="0.25">
      <c r="A231" s="22">
        <v>89</v>
      </c>
      <c r="B231" s="16" t="s">
        <v>424</v>
      </c>
      <c r="C231" s="16" t="s">
        <v>425</v>
      </c>
      <c r="D231" s="16">
        <v>53455000</v>
      </c>
      <c r="E231" s="16">
        <v>4</v>
      </c>
      <c r="F231" s="16">
        <v>4</v>
      </c>
      <c r="G231" s="18" t="s">
        <v>108</v>
      </c>
      <c r="H231" s="16"/>
      <c r="I231" s="16" t="s">
        <v>426</v>
      </c>
      <c r="J231" s="16" t="s">
        <v>427</v>
      </c>
      <c r="K231" s="16" t="s">
        <v>428</v>
      </c>
    </row>
    <row r="232" spans="1:11" ht="180" hidden="1" x14ac:dyDescent="0.25">
      <c r="A232" s="22">
        <v>105</v>
      </c>
      <c r="B232" s="16" t="s">
        <v>500</v>
      </c>
      <c r="C232" s="16" t="s">
        <v>501</v>
      </c>
      <c r="D232" s="16">
        <v>52930000</v>
      </c>
      <c r="E232" s="16">
        <v>4</v>
      </c>
      <c r="F232" s="16">
        <v>4</v>
      </c>
      <c r="G232" s="18" t="s">
        <v>108</v>
      </c>
      <c r="H232" s="16"/>
      <c r="I232" s="16" t="s">
        <v>502</v>
      </c>
      <c r="J232" s="16" t="s">
        <v>503</v>
      </c>
      <c r="K232" s="16" t="s">
        <v>504</v>
      </c>
    </row>
    <row r="233" spans="1:11" ht="409.5" hidden="1" x14ac:dyDescent="0.25">
      <c r="A233" s="22">
        <v>80</v>
      </c>
      <c r="B233" s="16" t="s">
        <v>383</v>
      </c>
      <c r="C233" s="16" t="s">
        <v>384</v>
      </c>
      <c r="D233" s="16">
        <v>52500000</v>
      </c>
      <c r="E233" s="16">
        <v>4</v>
      </c>
      <c r="F233" s="16">
        <v>5</v>
      </c>
      <c r="G233" s="18" t="s">
        <v>108</v>
      </c>
      <c r="H233" s="16"/>
      <c r="I233" s="16" t="s">
        <v>385</v>
      </c>
      <c r="J233" s="16" t="s">
        <v>386</v>
      </c>
      <c r="K233" s="16" t="s">
        <v>387</v>
      </c>
    </row>
    <row r="234" spans="1:11" ht="195" hidden="1" x14ac:dyDescent="0.25">
      <c r="A234" s="22">
        <v>37</v>
      </c>
      <c r="B234" s="16" t="s">
        <v>195</v>
      </c>
      <c r="C234" s="16" t="s">
        <v>196</v>
      </c>
      <c r="D234" s="16">
        <v>52275000</v>
      </c>
      <c r="E234" s="16">
        <v>4</v>
      </c>
      <c r="F234" s="16">
        <v>4</v>
      </c>
      <c r="G234" s="18" t="s">
        <v>108</v>
      </c>
      <c r="H234" s="16"/>
      <c r="I234" s="16" t="s">
        <v>197</v>
      </c>
      <c r="J234" s="16" t="s">
        <v>198</v>
      </c>
      <c r="K234" s="16" t="s">
        <v>199</v>
      </c>
    </row>
    <row r="235" spans="1:11" ht="330" hidden="1" x14ac:dyDescent="0.25">
      <c r="A235" s="22">
        <v>571</v>
      </c>
      <c r="B235" s="16" t="s">
        <v>2538</v>
      </c>
      <c r="C235" s="16" t="s">
        <v>2539</v>
      </c>
      <c r="D235" s="16">
        <v>52200000</v>
      </c>
      <c r="E235" s="16">
        <v>2</v>
      </c>
      <c r="F235" s="16">
        <v>3</v>
      </c>
      <c r="G235" s="20" t="s">
        <v>1443</v>
      </c>
      <c r="H235" s="16"/>
      <c r="I235" s="16" t="s">
        <v>2502</v>
      </c>
      <c r="J235" s="16" t="s">
        <v>2540</v>
      </c>
      <c r="K235" s="16" t="s">
        <v>2491</v>
      </c>
    </row>
    <row r="236" spans="1:11" ht="150" hidden="1" x14ac:dyDescent="0.25">
      <c r="A236" s="22">
        <v>631</v>
      </c>
      <c r="B236" s="16" t="s">
        <v>2762</v>
      </c>
      <c r="C236" s="16" t="s">
        <v>2763</v>
      </c>
      <c r="D236" s="16">
        <v>51588000</v>
      </c>
      <c r="E236" s="16">
        <v>3</v>
      </c>
      <c r="F236" s="16">
        <v>2</v>
      </c>
      <c r="G236" s="20" t="s">
        <v>1443</v>
      </c>
      <c r="H236" s="16"/>
      <c r="I236" s="16" t="s">
        <v>2764</v>
      </c>
      <c r="J236" s="16" t="s">
        <v>2765</v>
      </c>
      <c r="K236" s="16" t="s">
        <v>2766</v>
      </c>
    </row>
    <row r="237" spans="1:11" ht="195" hidden="1" x14ac:dyDescent="0.25">
      <c r="A237" s="22">
        <v>94</v>
      </c>
      <c r="B237" s="16" t="s">
        <v>448</v>
      </c>
      <c r="C237" s="16" t="s">
        <v>449</v>
      </c>
      <c r="D237" s="16">
        <v>51475000</v>
      </c>
      <c r="E237" s="16">
        <v>4</v>
      </c>
      <c r="F237" s="16">
        <v>4</v>
      </c>
      <c r="G237" s="18" t="s">
        <v>108</v>
      </c>
      <c r="H237" s="16"/>
      <c r="I237" s="16" t="s">
        <v>450</v>
      </c>
      <c r="J237" s="16" t="s">
        <v>451</v>
      </c>
      <c r="K237" s="16" t="s">
        <v>452</v>
      </c>
    </row>
    <row r="238" spans="1:11" ht="195" hidden="1" x14ac:dyDescent="0.25">
      <c r="A238" s="22">
        <v>88</v>
      </c>
      <c r="B238" s="16" t="s">
        <v>419</v>
      </c>
      <c r="C238" s="16" t="s">
        <v>420</v>
      </c>
      <c r="D238" s="16">
        <v>51335000</v>
      </c>
      <c r="E238" s="16">
        <v>4</v>
      </c>
      <c r="F238" s="16">
        <v>4</v>
      </c>
      <c r="G238" s="18" t="s">
        <v>108</v>
      </c>
      <c r="H238" s="16"/>
      <c r="I238" s="16" t="s">
        <v>421</v>
      </c>
      <c r="J238" s="16" t="s">
        <v>422</v>
      </c>
      <c r="K238" s="16" t="s">
        <v>423</v>
      </c>
    </row>
    <row r="239" spans="1:11" ht="315" hidden="1" x14ac:dyDescent="0.25">
      <c r="A239" s="22">
        <v>563</v>
      </c>
      <c r="B239" s="16" t="s">
        <v>2514</v>
      </c>
      <c r="C239" s="16" t="s">
        <v>2515</v>
      </c>
      <c r="D239" s="16">
        <v>50884364</v>
      </c>
      <c r="E239" s="16">
        <v>2</v>
      </c>
      <c r="F239" s="16">
        <v>5</v>
      </c>
      <c r="G239" s="20" t="s">
        <v>1443</v>
      </c>
      <c r="H239" s="16"/>
      <c r="I239" s="16" t="s">
        <v>2502</v>
      </c>
      <c r="J239" s="16" t="s">
        <v>2516</v>
      </c>
      <c r="K239" s="16" t="s">
        <v>2491</v>
      </c>
    </row>
    <row r="240" spans="1:11" ht="135" hidden="1" x14ac:dyDescent="0.25">
      <c r="A240" s="22">
        <v>138</v>
      </c>
      <c r="B240" s="16" t="s">
        <v>655</v>
      </c>
      <c r="C240" s="16" t="s">
        <v>656</v>
      </c>
      <c r="D240" s="16">
        <v>50535000</v>
      </c>
      <c r="E240" s="16">
        <v>4</v>
      </c>
      <c r="F240" s="16">
        <v>4</v>
      </c>
      <c r="G240" s="18" t="s">
        <v>108</v>
      </c>
      <c r="H240" s="16"/>
      <c r="I240" s="16" t="s">
        <v>657</v>
      </c>
      <c r="J240" s="16" t="s">
        <v>658</v>
      </c>
      <c r="K240" s="16" t="s">
        <v>659</v>
      </c>
    </row>
    <row r="241" spans="1:11" ht="375" hidden="1" x14ac:dyDescent="0.25">
      <c r="A241" s="22">
        <v>580</v>
      </c>
      <c r="B241" s="16" t="s">
        <v>2565</v>
      </c>
      <c r="C241" s="16" t="s">
        <v>2566</v>
      </c>
      <c r="D241" s="16">
        <v>50523200</v>
      </c>
      <c r="E241" s="16">
        <v>2</v>
      </c>
      <c r="F241" s="16">
        <v>3</v>
      </c>
      <c r="G241" s="20" t="s">
        <v>1443</v>
      </c>
      <c r="H241" s="16"/>
      <c r="I241" s="16" t="s">
        <v>2489</v>
      </c>
      <c r="J241" s="16" t="s">
        <v>2567</v>
      </c>
      <c r="K241" s="16" t="s">
        <v>2491</v>
      </c>
    </row>
    <row r="242" spans="1:11" ht="390" hidden="1" x14ac:dyDescent="0.25">
      <c r="A242" s="22">
        <v>572</v>
      </c>
      <c r="B242" s="16" t="s">
        <v>2541</v>
      </c>
      <c r="C242" s="16" t="s">
        <v>2542</v>
      </c>
      <c r="D242" s="16">
        <v>50500000</v>
      </c>
      <c r="E242" s="16">
        <v>2</v>
      </c>
      <c r="F242" s="16">
        <v>5</v>
      </c>
      <c r="G242" s="20" t="s">
        <v>1443</v>
      </c>
      <c r="H242" s="16"/>
      <c r="I242" s="16" t="s">
        <v>2502</v>
      </c>
      <c r="J242" s="16" t="s">
        <v>2543</v>
      </c>
      <c r="K242" s="16" t="s">
        <v>2491</v>
      </c>
    </row>
    <row r="243" spans="1:11" ht="270" hidden="1" x14ac:dyDescent="0.25">
      <c r="A243" s="22">
        <v>79</v>
      </c>
      <c r="B243" s="16" t="s">
        <v>378</v>
      </c>
      <c r="C243" s="16" t="s">
        <v>379</v>
      </c>
      <c r="D243" s="16">
        <v>50000000</v>
      </c>
      <c r="E243" s="16">
        <v>4</v>
      </c>
      <c r="F243" s="16">
        <v>5</v>
      </c>
      <c r="G243" s="18" t="s">
        <v>108</v>
      </c>
      <c r="H243" s="16"/>
      <c r="I243" s="16" t="s">
        <v>380</v>
      </c>
      <c r="J243" s="16" t="s">
        <v>381</v>
      </c>
      <c r="K243" s="16" t="s">
        <v>382</v>
      </c>
    </row>
    <row r="244" spans="1:11" ht="240" hidden="1" x14ac:dyDescent="0.25">
      <c r="A244" s="22">
        <v>365</v>
      </c>
      <c r="B244" s="16" t="s">
        <v>1674</v>
      </c>
      <c r="C244" s="16" t="s">
        <v>1675</v>
      </c>
      <c r="D244" s="16">
        <v>50000000</v>
      </c>
      <c r="E244" s="16">
        <v>2</v>
      </c>
      <c r="F244" s="16">
        <v>4</v>
      </c>
      <c r="G244" s="20" t="s">
        <v>1443</v>
      </c>
      <c r="H244" s="16"/>
      <c r="I244" s="16" t="s">
        <v>1676</v>
      </c>
      <c r="J244" s="16" t="s">
        <v>1677</v>
      </c>
      <c r="K244" s="16" t="s">
        <v>1678</v>
      </c>
    </row>
    <row r="245" spans="1:11" ht="285" hidden="1" x14ac:dyDescent="0.25">
      <c r="A245" s="22">
        <v>371</v>
      </c>
      <c r="B245" s="16" t="s">
        <v>1701</v>
      </c>
      <c r="C245" s="16" t="s">
        <v>1702</v>
      </c>
      <c r="D245" s="16">
        <v>50000000</v>
      </c>
      <c r="E245" s="16">
        <v>2</v>
      </c>
      <c r="F245" s="16">
        <v>4</v>
      </c>
      <c r="G245" s="20" t="s">
        <v>1443</v>
      </c>
      <c r="H245" s="16"/>
      <c r="I245" s="16" t="s">
        <v>1676</v>
      </c>
      <c r="J245" s="16" t="s">
        <v>1703</v>
      </c>
      <c r="K245" s="16" t="s">
        <v>1678</v>
      </c>
    </row>
    <row r="246" spans="1:11" ht="255" hidden="1" x14ac:dyDescent="0.25">
      <c r="A246" s="22">
        <v>372</v>
      </c>
      <c r="B246" s="16" t="s">
        <v>1704</v>
      </c>
      <c r="C246" s="16" t="s">
        <v>1705</v>
      </c>
      <c r="D246" s="16">
        <v>50000000</v>
      </c>
      <c r="E246" s="16">
        <v>2</v>
      </c>
      <c r="F246" s="16">
        <v>4</v>
      </c>
      <c r="G246" s="20" t="s">
        <v>1443</v>
      </c>
      <c r="H246" s="16"/>
      <c r="I246" s="16" t="s">
        <v>1681</v>
      </c>
      <c r="J246" s="16" t="s">
        <v>1682</v>
      </c>
      <c r="K246" s="16" t="s">
        <v>1683</v>
      </c>
    </row>
    <row r="247" spans="1:11" ht="270" hidden="1" x14ac:dyDescent="0.25">
      <c r="A247" s="22">
        <v>444</v>
      </c>
      <c r="B247" s="16" t="s">
        <v>1997</v>
      </c>
      <c r="C247" s="16" t="s">
        <v>1998</v>
      </c>
      <c r="D247" s="16">
        <v>50000000</v>
      </c>
      <c r="E247" s="16">
        <v>2</v>
      </c>
      <c r="F247" s="16">
        <v>4</v>
      </c>
      <c r="G247" s="20" t="s">
        <v>1443</v>
      </c>
      <c r="H247" s="16"/>
      <c r="I247" s="16" t="s">
        <v>1999</v>
      </c>
      <c r="J247" s="16" t="s">
        <v>2000</v>
      </c>
      <c r="K247" s="16" t="s">
        <v>1678</v>
      </c>
    </row>
    <row r="248" spans="1:11" ht="240" hidden="1" x14ac:dyDescent="0.25">
      <c r="A248" s="22">
        <v>491</v>
      </c>
      <c r="B248" s="16" t="s">
        <v>2183</v>
      </c>
      <c r="C248" s="16" t="s">
        <v>2184</v>
      </c>
      <c r="D248" s="16">
        <v>50000000</v>
      </c>
      <c r="E248" s="16">
        <v>2</v>
      </c>
      <c r="F248" s="16">
        <v>4</v>
      </c>
      <c r="G248" s="20" t="s">
        <v>1443</v>
      </c>
      <c r="H248" s="16"/>
      <c r="I248" s="16" t="s">
        <v>1681</v>
      </c>
      <c r="J248" s="16" t="s">
        <v>2185</v>
      </c>
      <c r="K248" s="16" t="s">
        <v>2186</v>
      </c>
    </row>
    <row r="249" spans="1:11" ht="225" hidden="1" x14ac:dyDescent="0.25">
      <c r="A249" s="22">
        <v>420</v>
      </c>
      <c r="B249" s="16" t="s">
        <v>1898</v>
      </c>
      <c r="C249" s="16" t="s">
        <v>1899</v>
      </c>
      <c r="D249" s="16">
        <v>49950000</v>
      </c>
      <c r="E249" s="16">
        <v>2</v>
      </c>
      <c r="F249" s="16">
        <v>3</v>
      </c>
      <c r="G249" s="20" t="s">
        <v>1443</v>
      </c>
      <c r="H249" s="16"/>
      <c r="I249" s="16" t="s">
        <v>380</v>
      </c>
      <c r="J249" s="16" t="s">
        <v>1900</v>
      </c>
      <c r="K249" s="16" t="s">
        <v>1563</v>
      </c>
    </row>
    <row r="250" spans="1:11" ht="270" hidden="1" x14ac:dyDescent="0.25">
      <c r="A250" s="22">
        <v>490</v>
      </c>
      <c r="B250" s="16" t="s">
        <v>2178</v>
      </c>
      <c r="C250" s="16" t="s">
        <v>2179</v>
      </c>
      <c r="D250" s="16">
        <v>49946000</v>
      </c>
      <c r="E250" s="16">
        <v>2</v>
      </c>
      <c r="F250" s="16">
        <v>4</v>
      </c>
      <c r="G250" s="20" t="s">
        <v>1443</v>
      </c>
      <c r="H250" s="16"/>
      <c r="I250" s="16" t="s">
        <v>2180</v>
      </c>
      <c r="J250" s="16" t="s">
        <v>2181</v>
      </c>
      <c r="K250" s="16" t="s">
        <v>2182</v>
      </c>
    </row>
    <row r="251" spans="1:11" ht="270" hidden="1" x14ac:dyDescent="0.25">
      <c r="A251" s="22">
        <v>52</v>
      </c>
      <c r="B251" s="16" t="s">
        <v>266</v>
      </c>
      <c r="C251" s="16" t="s">
        <v>267</v>
      </c>
      <c r="D251" s="16">
        <v>49900000</v>
      </c>
      <c r="E251" s="16">
        <v>4</v>
      </c>
      <c r="F251" s="16">
        <v>5</v>
      </c>
      <c r="G251" s="18" t="s">
        <v>108</v>
      </c>
      <c r="H251" s="16"/>
      <c r="I251" s="16" t="s">
        <v>145</v>
      </c>
      <c r="J251" s="16" t="s">
        <v>146</v>
      </c>
      <c r="K251" s="16" t="s">
        <v>268</v>
      </c>
    </row>
    <row r="252" spans="1:11" ht="225" hidden="1" x14ac:dyDescent="0.25">
      <c r="A252" s="22">
        <v>413</v>
      </c>
      <c r="B252" s="16" t="s">
        <v>1871</v>
      </c>
      <c r="C252" s="16" t="s">
        <v>1872</v>
      </c>
      <c r="D252" s="16">
        <v>49835457</v>
      </c>
      <c r="E252" s="16">
        <v>2</v>
      </c>
      <c r="F252" s="16">
        <v>3</v>
      </c>
      <c r="G252" s="20" t="s">
        <v>1443</v>
      </c>
      <c r="H252" s="16"/>
      <c r="I252" s="16" t="s">
        <v>380</v>
      </c>
      <c r="J252" s="16" t="s">
        <v>1873</v>
      </c>
      <c r="K252" s="16" t="s">
        <v>1563</v>
      </c>
    </row>
    <row r="253" spans="1:11" ht="240" hidden="1" x14ac:dyDescent="0.25">
      <c r="A253" s="22">
        <v>359</v>
      </c>
      <c r="B253" s="16" t="s">
        <v>1646</v>
      </c>
      <c r="C253" s="16" t="s">
        <v>1647</v>
      </c>
      <c r="D253" s="16">
        <v>49518484</v>
      </c>
      <c r="E253" s="16">
        <v>3</v>
      </c>
      <c r="F253" s="16">
        <v>3</v>
      </c>
      <c r="G253" s="20" t="s">
        <v>1443</v>
      </c>
      <c r="H253" s="16"/>
      <c r="I253" s="16" t="s">
        <v>1648</v>
      </c>
      <c r="J253" s="16" t="s">
        <v>1649</v>
      </c>
      <c r="K253" s="16" t="s">
        <v>1650</v>
      </c>
    </row>
    <row r="254" spans="1:11" ht="225" hidden="1" x14ac:dyDescent="0.25">
      <c r="A254" s="22">
        <v>83</v>
      </c>
      <c r="B254" s="16" t="s">
        <v>398</v>
      </c>
      <c r="C254" s="16" t="s">
        <v>399</v>
      </c>
      <c r="D254" s="16">
        <v>49500000</v>
      </c>
      <c r="E254" s="16">
        <v>4</v>
      </c>
      <c r="F254" s="16">
        <v>4</v>
      </c>
      <c r="G254" s="18" t="s">
        <v>108</v>
      </c>
      <c r="H254" s="16"/>
      <c r="I254" s="16" t="s">
        <v>400</v>
      </c>
      <c r="J254" s="16" t="s">
        <v>401</v>
      </c>
      <c r="K254" s="16" t="s">
        <v>402</v>
      </c>
    </row>
    <row r="255" spans="1:11" ht="225" hidden="1" x14ac:dyDescent="0.25">
      <c r="A255" s="22">
        <v>341</v>
      </c>
      <c r="B255" s="16" t="s">
        <v>1560</v>
      </c>
      <c r="C255" s="16" t="s">
        <v>1561</v>
      </c>
      <c r="D255" s="16">
        <v>49500000</v>
      </c>
      <c r="E255" s="16">
        <v>2</v>
      </c>
      <c r="F255" s="16">
        <v>3</v>
      </c>
      <c r="G255" s="20" t="s">
        <v>1443</v>
      </c>
      <c r="H255" s="16"/>
      <c r="I255" s="16" t="s">
        <v>380</v>
      </c>
      <c r="J255" s="16" t="s">
        <v>1562</v>
      </c>
      <c r="K255" s="16" t="s">
        <v>1563</v>
      </c>
    </row>
    <row r="256" spans="1:11" ht="315" hidden="1" x14ac:dyDescent="0.25">
      <c r="A256" s="22">
        <v>526</v>
      </c>
      <c r="B256" s="16" t="s">
        <v>2351</v>
      </c>
      <c r="C256" s="16" t="s">
        <v>2352</v>
      </c>
      <c r="D256" s="16">
        <v>49450000</v>
      </c>
      <c r="E256" s="16">
        <v>2</v>
      </c>
      <c r="F256" s="16">
        <v>3</v>
      </c>
      <c r="G256" s="20" t="s">
        <v>1443</v>
      </c>
      <c r="H256" s="16"/>
      <c r="I256" s="16" t="s">
        <v>2353</v>
      </c>
      <c r="J256" s="16" t="s">
        <v>2354</v>
      </c>
      <c r="K256" s="16" t="s">
        <v>2355</v>
      </c>
    </row>
    <row r="257" spans="1:11" ht="225" hidden="1" x14ac:dyDescent="0.25">
      <c r="A257" s="22">
        <v>646</v>
      </c>
      <c r="B257" s="16" t="s">
        <v>2826</v>
      </c>
      <c r="C257" s="16" t="s">
        <v>2827</v>
      </c>
      <c r="D257" s="16">
        <v>49447289</v>
      </c>
      <c r="E257" s="16">
        <v>1</v>
      </c>
      <c r="F257" s="16">
        <v>3</v>
      </c>
      <c r="G257" s="21" t="s">
        <v>2807</v>
      </c>
      <c r="H257" s="16"/>
      <c r="I257" s="16" t="s">
        <v>380</v>
      </c>
      <c r="J257" s="16" t="s">
        <v>2828</v>
      </c>
      <c r="K257" s="16" t="s">
        <v>1563</v>
      </c>
    </row>
    <row r="258" spans="1:11" ht="225" hidden="1" x14ac:dyDescent="0.25">
      <c r="A258" s="22">
        <v>71</v>
      </c>
      <c r="B258" s="16" t="s">
        <v>342</v>
      </c>
      <c r="C258" s="16" t="s">
        <v>343</v>
      </c>
      <c r="D258" s="16">
        <v>49305000</v>
      </c>
      <c r="E258" s="16">
        <v>4</v>
      </c>
      <c r="F258" s="16">
        <v>4</v>
      </c>
      <c r="G258" s="18" t="s">
        <v>108</v>
      </c>
      <c r="H258" s="16"/>
      <c r="I258" s="16" t="s">
        <v>344</v>
      </c>
      <c r="J258" s="16" t="s">
        <v>345</v>
      </c>
      <c r="K258" s="16" t="s">
        <v>346</v>
      </c>
    </row>
    <row r="259" spans="1:11" ht="405" hidden="1" x14ac:dyDescent="0.25">
      <c r="A259" s="22">
        <v>142</v>
      </c>
      <c r="B259" s="16" t="s">
        <v>675</v>
      </c>
      <c r="C259" s="16" t="s">
        <v>676</v>
      </c>
      <c r="D259" s="16">
        <v>49116000</v>
      </c>
      <c r="E259" s="16">
        <v>4</v>
      </c>
      <c r="F259" s="16">
        <v>5</v>
      </c>
      <c r="G259" s="18" t="s">
        <v>108</v>
      </c>
      <c r="H259" s="16"/>
      <c r="I259" s="16" t="s">
        <v>667</v>
      </c>
      <c r="J259" s="16" t="s">
        <v>677</v>
      </c>
      <c r="K259" s="16" t="s">
        <v>669</v>
      </c>
    </row>
    <row r="260" spans="1:11" ht="300" hidden="1" x14ac:dyDescent="0.25">
      <c r="A260" s="22">
        <v>247</v>
      </c>
      <c r="B260" s="16" t="s">
        <v>1135</v>
      </c>
      <c r="C260" s="16" t="s">
        <v>1136</v>
      </c>
      <c r="D260" s="16">
        <v>48646932</v>
      </c>
      <c r="E260" s="16">
        <v>4</v>
      </c>
      <c r="F260" s="16">
        <v>3</v>
      </c>
      <c r="G260" s="19" t="s">
        <v>842</v>
      </c>
      <c r="H260" s="16"/>
      <c r="I260" s="16" t="s">
        <v>1132</v>
      </c>
      <c r="J260" s="16" t="s">
        <v>1133</v>
      </c>
      <c r="K260" s="16" t="s">
        <v>1134</v>
      </c>
    </row>
    <row r="261" spans="1:11" ht="225" hidden="1" x14ac:dyDescent="0.25">
      <c r="A261" s="22">
        <v>139</v>
      </c>
      <c r="B261" s="16" t="s">
        <v>660</v>
      </c>
      <c r="C261" s="16" t="s">
        <v>661</v>
      </c>
      <c r="D261" s="16">
        <v>48520000</v>
      </c>
      <c r="E261" s="16">
        <v>4</v>
      </c>
      <c r="F261" s="16">
        <v>4</v>
      </c>
      <c r="G261" s="18" t="s">
        <v>108</v>
      </c>
      <c r="H261" s="16"/>
      <c r="I261" s="16" t="s">
        <v>662</v>
      </c>
      <c r="J261" s="16" t="s">
        <v>663</v>
      </c>
      <c r="K261" s="16" t="s">
        <v>664</v>
      </c>
    </row>
    <row r="262" spans="1:11" ht="240" hidden="1" x14ac:dyDescent="0.25">
      <c r="A262" s="22">
        <v>74</v>
      </c>
      <c r="B262" s="16" t="s">
        <v>357</v>
      </c>
      <c r="C262" s="16" t="s">
        <v>358</v>
      </c>
      <c r="D262" s="16">
        <v>48500000</v>
      </c>
      <c r="E262" s="16">
        <v>4</v>
      </c>
      <c r="F262" s="16">
        <v>5</v>
      </c>
      <c r="G262" s="18" t="s">
        <v>108</v>
      </c>
      <c r="H262" s="16"/>
      <c r="I262" s="16" t="s">
        <v>359</v>
      </c>
      <c r="J262" s="16" t="s">
        <v>360</v>
      </c>
      <c r="K262" s="16" t="s">
        <v>361</v>
      </c>
    </row>
    <row r="263" spans="1:11" ht="150" hidden="1" x14ac:dyDescent="0.25">
      <c r="A263" s="22">
        <v>482</v>
      </c>
      <c r="B263" s="16" t="s">
        <v>2145</v>
      </c>
      <c r="C263" s="16" t="s">
        <v>2146</v>
      </c>
      <c r="D263" s="16">
        <v>48170000</v>
      </c>
      <c r="E263" s="16">
        <v>3</v>
      </c>
      <c r="F263" s="16">
        <v>3</v>
      </c>
      <c r="G263" s="20" t="s">
        <v>1443</v>
      </c>
      <c r="H263" s="16"/>
      <c r="I263" s="16" t="s">
        <v>2147</v>
      </c>
      <c r="J263" s="16" t="s">
        <v>2148</v>
      </c>
      <c r="K263" s="16" t="s">
        <v>2149</v>
      </c>
    </row>
    <row r="264" spans="1:11" ht="255" hidden="1" x14ac:dyDescent="0.25">
      <c r="A264" s="22">
        <v>72</v>
      </c>
      <c r="B264" s="16" t="s">
        <v>347</v>
      </c>
      <c r="C264" s="16" t="s">
        <v>348</v>
      </c>
      <c r="D264" s="16">
        <v>48137891</v>
      </c>
      <c r="E264" s="16">
        <v>4</v>
      </c>
      <c r="F264" s="16">
        <v>4</v>
      </c>
      <c r="G264" s="18" t="s">
        <v>108</v>
      </c>
      <c r="H264" s="16"/>
      <c r="I264" s="16" t="s">
        <v>349</v>
      </c>
      <c r="J264" s="16" t="s">
        <v>350</v>
      </c>
      <c r="K264" s="16" t="s">
        <v>351</v>
      </c>
    </row>
    <row r="265" spans="1:11" ht="375" hidden="1" x14ac:dyDescent="0.25">
      <c r="A265" s="22">
        <v>432</v>
      </c>
      <c r="B265" s="16" t="s">
        <v>1953</v>
      </c>
      <c r="C265" s="16" t="s">
        <v>1954</v>
      </c>
      <c r="D265" s="16">
        <v>47870000</v>
      </c>
      <c r="E265" s="16">
        <v>3</v>
      </c>
      <c r="F265" s="16">
        <v>3</v>
      </c>
      <c r="G265" s="20" t="s">
        <v>1443</v>
      </c>
      <c r="H265" s="16"/>
      <c r="I265" s="16" t="s">
        <v>1581</v>
      </c>
      <c r="J265" s="16" t="s">
        <v>1582</v>
      </c>
      <c r="K265" s="16" t="s">
        <v>1955</v>
      </c>
    </row>
    <row r="266" spans="1:11" ht="240" hidden="1" x14ac:dyDescent="0.25">
      <c r="A266" s="22">
        <v>20</v>
      </c>
      <c r="B266" s="16" t="s">
        <v>117</v>
      </c>
      <c r="C266" s="16" t="s">
        <v>118</v>
      </c>
      <c r="D266" s="16">
        <v>47600000</v>
      </c>
      <c r="E266" s="16">
        <v>4</v>
      </c>
      <c r="F266" s="16">
        <v>5</v>
      </c>
      <c r="G266" s="18" t="s">
        <v>108</v>
      </c>
      <c r="H266" s="16"/>
      <c r="I266" s="16" t="s">
        <v>119</v>
      </c>
      <c r="J266" s="16" t="s">
        <v>120</v>
      </c>
      <c r="K266" s="16" t="s">
        <v>121</v>
      </c>
    </row>
    <row r="267" spans="1:11" ht="180" hidden="1" x14ac:dyDescent="0.25">
      <c r="A267" s="22">
        <v>537</v>
      </c>
      <c r="B267" s="16" t="s">
        <v>2402</v>
      </c>
      <c r="C267" s="16" t="s">
        <v>2403</v>
      </c>
      <c r="D267" s="16">
        <v>47566500</v>
      </c>
      <c r="E267" s="16">
        <v>2</v>
      </c>
      <c r="F267" s="16">
        <v>3</v>
      </c>
      <c r="G267" s="20" t="s">
        <v>1443</v>
      </c>
      <c r="H267" s="16"/>
      <c r="I267" s="16" t="s">
        <v>2404</v>
      </c>
      <c r="J267" s="16" t="s">
        <v>2405</v>
      </c>
      <c r="K267" s="16" t="s">
        <v>2406</v>
      </c>
    </row>
    <row r="268" spans="1:11" ht="225" hidden="1" x14ac:dyDescent="0.25">
      <c r="A268" s="22">
        <v>714</v>
      </c>
      <c r="B268" s="16" t="s">
        <v>3116</v>
      </c>
      <c r="C268" s="16" t="s">
        <v>3117</v>
      </c>
      <c r="D268" s="16">
        <v>47535000</v>
      </c>
      <c r="E268" s="16">
        <v>1</v>
      </c>
      <c r="F268" s="16">
        <v>1</v>
      </c>
      <c r="G268" s="21" t="s">
        <v>2807</v>
      </c>
      <c r="H268" s="16"/>
      <c r="I268" s="16" t="s">
        <v>3118</v>
      </c>
      <c r="J268" s="16" t="s">
        <v>3119</v>
      </c>
      <c r="K268" s="16" t="s">
        <v>2761</v>
      </c>
    </row>
    <row r="269" spans="1:11" ht="330" hidden="1" x14ac:dyDescent="0.25">
      <c r="A269" s="22">
        <v>566</v>
      </c>
      <c r="B269" s="16" t="s">
        <v>2523</v>
      </c>
      <c r="C269" s="16" t="s">
        <v>2524</v>
      </c>
      <c r="D269" s="16">
        <v>47500000</v>
      </c>
      <c r="E269" s="16">
        <v>2</v>
      </c>
      <c r="F269" s="16">
        <v>4</v>
      </c>
      <c r="G269" s="20" t="s">
        <v>1443</v>
      </c>
      <c r="H269" s="16"/>
      <c r="I269" s="16" t="s">
        <v>2502</v>
      </c>
      <c r="J269" s="16" t="s">
        <v>2525</v>
      </c>
      <c r="K269" s="16" t="s">
        <v>2491</v>
      </c>
    </row>
    <row r="270" spans="1:11" ht="315" hidden="1" x14ac:dyDescent="0.25">
      <c r="A270" s="22">
        <v>567</v>
      </c>
      <c r="B270" s="16" t="s">
        <v>2526</v>
      </c>
      <c r="C270" s="16" t="s">
        <v>2527</v>
      </c>
      <c r="D270" s="16">
        <v>47500000</v>
      </c>
      <c r="E270" s="16">
        <v>2</v>
      </c>
      <c r="F270" s="16">
        <v>4</v>
      </c>
      <c r="G270" s="20" t="s">
        <v>1443</v>
      </c>
      <c r="H270" s="16"/>
      <c r="I270" s="16" t="s">
        <v>2502</v>
      </c>
      <c r="J270" s="16" t="s">
        <v>2528</v>
      </c>
      <c r="K270" s="16" t="s">
        <v>2491</v>
      </c>
    </row>
    <row r="271" spans="1:11" ht="345" hidden="1" x14ac:dyDescent="0.25">
      <c r="A271" s="22">
        <v>573</v>
      </c>
      <c r="B271" s="16" t="s">
        <v>2544</v>
      </c>
      <c r="C271" s="16" t="s">
        <v>2545</v>
      </c>
      <c r="D271" s="16">
        <v>47500000</v>
      </c>
      <c r="E271" s="16">
        <v>2</v>
      </c>
      <c r="F271" s="16">
        <v>4</v>
      </c>
      <c r="G271" s="20" t="s">
        <v>1443</v>
      </c>
      <c r="H271" s="16"/>
      <c r="I271" s="16" t="s">
        <v>2502</v>
      </c>
      <c r="J271" s="16" t="s">
        <v>2546</v>
      </c>
      <c r="K271" s="16" t="s">
        <v>2491</v>
      </c>
    </row>
    <row r="272" spans="1:11" ht="315" hidden="1" x14ac:dyDescent="0.25">
      <c r="A272" s="22">
        <v>578</v>
      </c>
      <c r="B272" s="16" t="s">
        <v>2559</v>
      </c>
      <c r="C272" s="16" t="s">
        <v>2560</v>
      </c>
      <c r="D272" s="16">
        <v>47500000</v>
      </c>
      <c r="E272" s="16">
        <v>2</v>
      </c>
      <c r="F272" s="16">
        <v>4</v>
      </c>
      <c r="G272" s="20" t="s">
        <v>1443</v>
      </c>
      <c r="H272" s="16"/>
      <c r="I272" s="16" t="s">
        <v>2502</v>
      </c>
      <c r="J272" s="16" t="s">
        <v>2561</v>
      </c>
      <c r="K272" s="16" t="s">
        <v>2491</v>
      </c>
    </row>
    <row r="273" spans="1:11" ht="285" hidden="1" x14ac:dyDescent="0.25">
      <c r="A273" s="22">
        <v>713</v>
      </c>
      <c r="B273" s="16" t="s">
        <v>3111</v>
      </c>
      <c r="C273" s="16" t="s">
        <v>3112</v>
      </c>
      <c r="D273" s="16">
        <v>47155000</v>
      </c>
      <c r="E273" s="16">
        <v>2</v>
      </c>
      <c r="F273" s="16">
        <v>2</v>
      </c>
      <c r="G273" s="21" t="s">
        <v>2807</v>
      </c>
      <c r="H273" s="16"/>
      <c r="I273" s="16" t="s">
        <v>3113</v>
      </c>
      <c r="J273" s="16" t="s">
        <v>3114</v>
      </c>
      <c r="K273" s="16" t="s">
        <v>3115</v>
      </c>
    </row>
    <row r="274" spans="1:11" ht="240" hidden="1" x14ac:dyDescent="0.25">
      <c r="A274" s="22">
        <v>225</v>
      </c>
      <c r="B274" s="16" t="s">
        <v>1042</v>
      </c>
      <c r="C274" s="16" t="s">
        <v>1043</v>
      </c>
      <c r="D274" s="16">
        <v>46919000</v>
      </c>
      <c r="E274" s="16">
        <v>3</v>
      </c>
      <c r="F274" s="16">
        <v>4</v>
      </c>
      <c r="G274" s="19" t="s">
        <v>842</v>
      </c>
      <c r="H274" s="16"/>
      <c r="I274" s="16" t="s">
        <v>899</v>
      </c>
      <c r="J274" s="16" t="s">
        <v>900</v>
      </c>
      <c r="K274" s="16" t="s">
        <v>901</v>
      </c>
    </row>
    <row r="275" spans="1:11" ht="240" hidden="1" x14ac:dyDescent="0.25">
      <c r="A275" s="22">
        <v>411</v>
      </c>
      <c r="B275" s="16" t="s">
        <v>1864</v>
      </c>
      <c r="C275" s="16" t="s">
        <v>1865</v>
      </c>
      <c r="D275" s="16">
        <v>46800000</v>
      </c>
      <c r="E275" s="16">
        <v>2</v>
      </c>
      <c r="F275" s="16">
        <v>3</v>
      </c>
      <c r="G275" s="20" t="s">
        <v>1443</v>
      </c>
      <c r="H275" s="16"/>
      <c r="I275" s="16" t="s">
        <v>1866</v>
      </c>
      <c r="J275" s="16" t="s">
        <v>1867</v>
      </c>
      <c r="K275" s="16" t="s">
        <v>142</v>
      </c>
    </row>
    <row r="276" spans="1:11" ht="240" hidden="1" x14ac:dyDescent="0.25">
      <c r="A276" s="22">
        <v>485</v>
      </c>
      <c r="B276" s="16" t="s">
        <v>2158</v>
      </c>
      <c r="C276" s="16" t="s">
        <v>2159</v>
      </c>
      <c r="D276" s="16">
        <v>45720000</v>
      </c>
      <c r="E276" s="16">
        <v>2</v>
      </c>
      <c r="F276" s="16">
        <v>4</v>
      </c>
      <c r="G276" s="20" t="s">
        <v>1443</v>
      </c>
      <c r="H276" s="16"/>
      <c r="I276" s="16" t="s">
        <v>2160</v>
      </c>
      <c r="J276" s="16" t="s">
        <v>2161</v>
      </c>
      <c r="K276" s="16" t="s">
        <v>2162</v>
      </c>
    </row>
    <row r="277" spans="1:11" ht="270" hidden="1" x14ac:dyDescent="0.25">
      <c r="A277" s="22">
        <v>26</v>
      </c>
      <c r="B277" s="16" t="s">
        <v>143</v>
      </c>
      <c r="C277" s="16" t="s">
        <v>144</v>
      </c>
      <c r="D277" s="16">
        <v>45000000</v>
      </c>
      <c r="E277" s="16">
        <v>4</v>
      </c>
      <c r="F277" s="16">
        <v>5</v>
      </c>
      <c r="G277" s="18" t="s">
        <v>108</v>
      </c>
      <c r="H277" s="16"/>
      <c r="I277" s="16" t="s">
        <v>145</v>
      </c>
      <c r="J277" s="16" t="s">
        <v>146</v>
      </c>
      <c r="K277" s="16" t="s">
        <v>147</v>
      </c>
    </row>
    <row r="278" spans="1:11" ht="315" hidden="1" x14ac:dyDescent="0.25">
      <c r="A278" s="22">
        <v>243</v>
      </c>
      <c r="B278" s="16" t="s">
        <v>1117</v>
      </c>
      <c r="C278" s="16" t="s">
        <v>1118</v>
      </c>
      <c r="D278" s="16">
        <v>45000000</v>
      </c>
      <c r="E278" s="16">
        <v>3</v>
      </c>
      <c r="F278" s="16">
        <v>5</v>
      </c>
      <c r="G278" s="19" t="s">
        <v>842</v>
      </c>
      <c r="H278" s="16"/>
      <c r="I278" s="16" t="s">
        <v>1119</v>
      </c>
      <c r="J278" s="16" t="s">
        <v>1120</v>
      </c>
      <c r="K278" s="16" t="s">
        <v>1121</v>
      </c>
    </row>
    <row r="279" spans="1:11" ht="75" hidden="1" x14ac:dyDescent="0.25">
      <c r="A279" s="22">
        <v>302</v>
      </c>
      <c r="B279" s="16" t="s">
        <v>1383</v>
      </c>
      <c r="C279" s="16" t="s">
        <v>1384</v>
      </c>
      <c r="D279" s="16">
        <v>45000000</v>
      </c>
      <c r="E279" s="16">
        <v>3</v>
      </c>
      <c r="F279" s="16">
        <v>5</v>
      </c>
      <c r="G279" s="19" t="s">
        <v>842</v>
      </c>
      <c r="H279" s="16"/>
      <c r="I279" s="16" t="s">
        <v>1385</v>
      </c>
      <c r="J279" s="16" t="s">
        <v>1386</v>
      </c>
      <c r="K279" s="16" t="s">
        <v>1387</v>
      </c>
    </row>
    <row r="280" spans="1:11" ht="255" hidden="1" x14ac:dyDescent="0.25">
      <c r="A280" s="22">
        <v>366</v>
      </c>
      <c r="B280" s="16" t="s">
        <v>1679</v>
      </c>
      <c r="C280" s="16" t="s">
        <v>1680</v>
      </c>
      <c r="D280" s="16">
        <v>45000000</v>
      </c>
      <c r="E280" s="16">
        <v>2</v>
      </c>
      <c r="F280" s="16">
        <v>4</v>
      </c>
      <c r="G280" s="20" t="s">
        <v>1443</v>
      </c>
      <c r="H280" s="16"/>
      <c r="I280" s="16" t="s">
        <v>1681</v>
      </c>
      <c r="J280" s="16" t="s">
        <v>1682</v>
      </c>
      <c r="K280" s="16" t="s">
        <v>1683</v>
      </c>
    </row>
    <row r="281" spans="1:11" ht="300" hidden="1" x14ac:dyDescent="0.25">
      <c r="A281" s="22">
        <v>461</v>
      </c>
      <c r="B281" s="16" t="s">
        <v>2050</v>
      </c>
      <c r="C281" s="16" t="s">
        <v>2051</v>
      </c>
      <c r="D281" s="16">
        <v>45000000</v>
      </c>
      <c r="E281" s="16">
        <v>3</v>
      </c>
      <c r="F281" s="16">
        <v>3</v>
      </c>
      <c r="G281" s="20" t="s">
        <v>1443</v>
      </c>
      <c r="H281" s="16"/>
      <c r="I281" s="16" t="s">
        <v>1663</v>
      </c>
      <c r="J281" s="16" t="s">
        <v>2052</v>
      </c>
      <c r="K281" s="16" t="s">
        <v>2053</v>
      </c>
    </row>
    <row r="282" spans="1:11" ht="345" hidden="1" x14ac:dyDescent="0.25">
      <c r="A282" s="22">
        <v>620</v>
      </c>
      <c r="B282" s="16" t="s">
        <v>2707</v>
      </c>
      <c r="C282" s="16" t="s">
        <v>2708</v>
      </c>
      <c r="D282" s="16">
        <v>44900000</v>
      </c>
      <c r="E282" s="16">
        <v>3</v>
      </c>
      <c r="F282" s="16">
        <v>2</v>
      </c>
      <c r="G282" s="20" t="s">
        <v>1443</v>
      </c>
      <c r="H282" s="16"/>
      <c r="I282" s="16" t="s">
        <v>2709</v>
      </c>
      <c r="J282" s="16" t="s">
        <v>2710</v>
      </c>
      <c r="K282" s="16" t="s">
        <v>2711</v>
      </c>
    </row>
    <row r="283" spans="1:11" ht="409.5" hidden="1" x14ac:dyDescent="0.25">
      <c r="A283" s="22">
        <v>551</v>
      </c>
      <c r="B283" s="16" t="s">
        <v>2466</v>
      </c>
      <c r="C283" s="16" t="s">
        <v>2467</v>
      </c>
      <c r="D283" s="16">
        <v>44620000</v>
      </c>
      <c r="E283" s="16">
        <v>2</v>
      </c>
      <c r="F283" s="16">
        <v>3</v>
      </c>
      <c r="G283" s="20" t="s">
        <v>1443</v>
      </c>
      <c r="H283" s="16"/>
      <c r="I283" s="16" t="s">
        <v>642</v>
      </c>
      <c r="J283" s="16" t="s">
        <v>2468</v>
      </c>
      <c r="K283" s="16" t="s">
        <v>2469</v>
      </c>
    </row>
    <row r="284" spans="1:11" ht="300" hidden="1" x14ac:dyDescent="0.25">
      <c r="A284" s="22">
        <v>200</v>
      </c>
      <c r="B284" s="16" t="s">
        <v>937</v>
      </c>
      <c r="C284" s="16" t="s">
        <v>938</v>
      </c>
      <c r="D284" s="16">
        <v>44400000</v>
      </c>
      <c r="E284" s="16">
        <v>3</v>
      </c>
      <c r="F284" s="16">
        <v>5</v>
      </c>
      <c r="G284" s="19" t="s">
        <v>842</v>
      </c>
      <c r="H284" s="16"/>
      <c r="I284" s="16" t="s">
        <v>939</v>
      </c>
      <c r="J284" s="16" t="s">
        <v>940</v>
      </c>
      <c r="K284" s="16" t="s">
        <v>941</v>
      </c>
    </row>
    <row r="285" spans="1:11" ht="315" hidden="1" x14ac:dyDescent="0.25">
      <c r="A285" s="22">
        <v>230</v>
      </c>
      <c r="B285" s="16" t="s">
        <v>1063</v>
      </c>
      <c r="C285" s="16" t="s">
        <v>1064</v>
      </c>
      <c r="D285" s="16">
        <v>44400000</v>
      </c>
      <c r="E285" s="16">
        <v>3</v>
      </c>
      <c r="F285" s="16">
        <v>5</v>
      </c>
      <c r="G285" s="19" t="s">
        <v>842</v>
      </c>
      <c r="H285" s="16"/>
      <c r="I285" s="16" t="s">
        <v>939</v>
      </c>
      <c r="J285" s="16" t="s">
        <v>1065</v>
      </c>
      <c r="K285" s="16" t="s">
        <v>941</v>
      </c>
    </row>
    <row r="286" spans="1:11" ht="240" hidden="1" x14ac:dyDescent="0.25">
      <c r="A286" s="22">
        <v>460</v>
      </c>
      <c r="B286" s="16" t="s">
        <v>2045</v>
      </c>
      <c r="C286" s="16" t="s">
        <v>2046</v>
      </c>
      <c r="D286" s="16">
        <v>44225000</v>
      </c>
      <c r="E286" s="16">
        <v>3</v>
      </c>
      <c r="F286" s="16">
        <v>3</v>
      </c>
      <c r="G286" s="20" t="s">
        <v>1443</v>
      </c>
      <c r="H286" s="16"/>
      <c r="I286" s="16" t="s">
        <v>2047</v>
      </c>
      <c r="J286" s="16" t="s">
        <v>2048</v>
      </c>
      <c r="K286" s="16" t="s">
        <v>2049</v>
      </c>
    </row>
    <row r="287" spans="1:11" ht="330" hidden="1" x14ac:dyDescent="0.25">
      <c r="A287" s="22">
        <v>7</v>
      </c>
      <c r="B287" s="16" t="s">
        <v>54</v>
      </c>
      <c r="C287" s="16" t="s">
        <v>55</v>
      </c>
      <c r="D287" s="16">
        <v>44084580</v>
      </c>
      <c r="E287" s="16">
        <v>5</v>
      </c>
      <c r="F287" s="16">
        <v>5</v>
      </c>
      <c r="G287" s="17" t="s">
        <v>31</v>
      </c>
      <c r="H287" s="16"/>
      <c r="I287" s="16" t="s">
        <v>56</v>
      </c>
      <c r="J287" s="16" t="s">
        <v>57</v>
      </c>
      <c r="K287" s="16" t="s">
        <v>58</v>
      </c>
    </row>
    <row r="288" spans="1:11" ht="180" hidden="1" x14ac:dyDescent="0.25">
      <c r="A288" s="22">
        <v>457</v>
      </c>
      <c r="B288" s="16" t="s">
        <v>2030</v>
      </c>
      <c r="C288" s="16" t="s">
        <v>2031</v>
      </c>
      <c r="D288" s="16">
        <v>43854550</v>
      </c>
      <c r="E288" s="16">
        <v>3</v>
      </c>
      <c r="F288" s="16">
        <v>3</v>
      </c>
      <c r="G288" s="20" t="s">
        <v>1443</v>
      </c>
      <c r="H288" s="16"/>
      <c r="I288" s="16" t="s">
        <v>2032</v>
      </c>
      <c r="J288" s="16" t="s">
        <v>2033</v>
      </c>
      <c r="K288" s="16" t="s">
        <v>2034</v>
      </c>
    </row>
    <row r="289" spans="1:11" ht="240" hidden="1" x14ac:dyDescent="0.25">
      <c r="A289" s="22">
        <v>66</v>
      </c>
      <c r="B289" s="16" t="s">
        <v>324</v>
      </c>
      <c r="C289" s="16" t="s">
        <v>325</v>
      </c>
      <c r="D289" s="16">
        <v>43700000</v>
      </c>
      <c r="E289" s="16">
        <v>4</v>
      </c>
      <c r="F289" s="16">
        <v>5</v>
      </c>
      <c r="G289" s="18" t="s">
        <v>108</v>
      </c>
      <c r="H289" s="16"/>
      <c r="I289" s="16" t="s">
        <v>119</v>
      </c>
      <c r="J289" s="16" t="s">
        <v>120</v>
      </c>
      <c r="K289" s="16" t="s">
        <v>121</v>
      </c>
    </row>
    <row r="290" spans="1:11" ht="195" hidden="1" x14ac:dyDescent="0.25">
      <c r="A290" s="22">
        <v>39</v>
      </c>
      <c r="B290" s="16" t="s">
        <v>205</v>
      </c>
      <c r="C290" s="16" t="s">
        <v>206</v>
      </c>
      <c r="D290" s="16">
        <v>43664618</v>
      </c>
      <c r="E290" s="16">
        <v>4</v>
      </c>
      <c r="F290" s="16">
        <v>4</v>
      </c>
      <c r="G290" s="18" t="s">
        <v>108</v>
      </c>
      <c r="H290" s="16"/>
      <c r="I290" s="16" t="s">
        <v>207</v>
      </c>
      <c r="J290" s="16" t="s">
        <v>208</v>
      </c>
      <c r="K290" s="16" t="s">
        <v>209</v>
      </c>
    </row>
    <row r="291" spans="1:11" ht="409.5" hidden="1" x14ac:dyDescent="0.25">
      <c r="A291" s="22">
        <v>145</v>
      </c>
      <c r="B291" s="16" t="s">
        <v>688</v>
      </c>
      <c r="C291" s="16" t="s">
        <v>689</v>
      </c>
      <c r="D291" s="16">
        <v>43525000</v>
      </c>
      <c r="E291" s="16">
        <v>4</v>
      </c>
      <c r="F291" s="16">
        <v>4</v>
      </c>
      <c r="G291" s="18" t="s">
        <v>108</v>
      </c>
      <c r="H291" s="16"/>
      <c r="I291" s="16" t="s">
        <v>690</v>
      </c>
      <c r="J291" s="16" t="s">
        <v>691</v>
      </c>
      <c r="K291" s="16" t="s">
        <v>692</v>
      </c>
    </row>
    <row r="292" spans="1:11" ht="345" hidden="1" x14ac:dyDescent="0.25">
      <c r="A292" s="22">
        <v>32</v>
      </c>
      <c r="B292" s="16" t="s">
        <v>170</v>
      </c>
      <c r="C292" s="16" t="s">
        <v>171</v>
      </c>
      <c r="D292" s="16">
        <v>43415000</v>
      </c>
      <c r="E292" s="16">
        <v>4</v>
      </c>
      <c r="F292" s="16">
        <v>4</v>
      </c>
      <c r="G292" s="18" t="s">
        <v>108</v>
      </c>
      <c r="H292" s="16"/>
      <c r="I292" s="16" t="s">
        <v>172</v>
      </c>
      <c r="J292" s="16" t="s">
        <v>173</v>
      </c>
      <c r="K292" s="16" t="s">
        <v>174</v>
      </c>
    </row>
    <row r="293" spans="1:11" ht="345" hidden="1" x14ac:dyDescent="0.25">
      <c r="A293" s="22">
        <v>517</v>
      </c>
      <c r="B293" s="16" t="s">
        <v>2307</v>
      </c>
      <c r="C293" s="16" t="s">
        <v>2308</v>
      </c>
      <c r="D293" s="16">
        <v>42594000</v>
      </c>
      <c r="E293" s="16">
        <v>2</v>
      </c>
      <c r="F293" s="16">
        <v>4</v>
      </c>
      <c r="G293" s="20" t="s">
        <v>1443</v>
      </c>
      <c r="H293" s="16"/>
      <c r="I293" s="16" t="s">
        <v>2309</v>
      </c>
      <c r="J293" s="16" t="s">
        <v>2310</v>
      </c>
      <c r="K293" s="16" t="s">
        <v>2311</v>
      </c>
    </row>
    <row r="294" spans="1:11" ht="255" hidden="1" x14ac:dyDescent="0.25">
      <c r="A294" s="22">
        <v>277</v>
      </c>
      <c r="B294" s="16" t="s">
        <v>1266</v>
      </c>
      <c r="C294" s="16" t="s">
        <v>1267</v>
      </c>
      <c r="D294" s="16">
        <v>42483000</v>
      </c>
      <c r="E294" s="16">
        <v>3</v>
      </c>
      <c r="F294" s="16">
        <v>5</v>
      </c>
      <c r="G294" s="19" t="s">
        <v>842</v>
      </c>
      <c r="H294" s="16"/>
      <c r="I294" s="16" t="s">
        <v>1268</v>
      </c>
      <c r="J294" s="16" t="s">
        <v>1269</v>
      </c>
      <c r="K294" s="16" t="s">
        <v>1270</v>
      </c>
    </row>
    <row r="295" spans="1:11" ht="315" hidden="1" x14ac:dyDescent="0.25">
      <c r="A295" s="22">
        <v>554</v>
      </c>
      <c r="B295" s="16" t="s">
        <v>2479</v>
      </c>
      <c r="C295" s="16" t="s">
        <v>2480</v>
      </c>
      <c r="D295" s="16">
        <v>42200000</v>
      </c>
      <c r="E295" s="16">
        <v>2</v>
      </c>
      <c r="F295" s="16">
        <v>3</v>
      </c>
      <c r="G295" s="20" t="s">
        <v>1443</v>
      </c>
      <c r="H295" s="16"/>
      <c r="I295" s="16" t="s">
        <v>642</v>
      </c>
      <c r="J295" s="16" t="s">
        <v>2481</v>
      </c>
      <c r="K295" s="16" t="s">
        <v>2482</v>
      </c>
    </row>
    <row r="296" spans="1:11" ht="409.5" hidden="1" x14ac:dyDescent="0.25">
      <c r="A296" s="22">
        <v>564</v>
      </c>
      <c r="B296" s="16" t="s">
        <v>2517</v>
      </c>
      <c r="C296" s="16" t="s">
        <v>2518</v>
      </c>
      <c r="D296" s="16">
        <v>41507394</v>
      </c>
      <c r="E296" s="16">
        <v>2</v>
      </c>
      <c r="F296" s="16">
        <v>3</v>
      </c>
      <c r="G296" s="20" t="s">
        <v>1443</v>
      </c>
      <c r="H296" s="16"/>
      <c r="I296" s="16" t="s">
        <v>2489</v>
      </c>
      <c r="J296" s="16" t="s">
        <v>2519</v>
      </c>
      <c r="K296" s="16" t="s">
        <v>2491</v>
      </c>
    </row>
    <row r="297" spans="1:11" ht="345" hidden="1" x14ac:dyDescent="0.25">
      <c r="A297" s="22">
        <v>320</v>
      </c>
      <c r="B297" s="16" t="s">
        <v>1467</v>
      </c>
      <c r="C297" s="16" t="s">
        <v>1468</v>
      </c>
      <c r="D297" s="16">
        <v>41434000</v>
      </c>
      <c r="E297" s="16">
        <v>2</v>
      </c>
      <c r="F297" s="16">
        <v>5</v>
      </c>
      <c r="G297" s="20" t="s">
        <v>1443</v>
      </c>
      <c r="H297" s="16"/>
      <c r="I297" s="16" t="s">
        <v>1464</v>
      </c>
      <c r="J297" s="16" t="s">
        <v>1465</v>
      </c>
      <c r="K297" s="16" t="s">
        <v>1466</v>
      </c>
    </row>
    <row r="298" spans="1:11" ht="240" hidden="1" x14ac:dyDescent="0.25">
      <c r="A298" s="22">
        <v>219</v>
      </c>
      <c r="B298" s="16" t="s">
        <v>1017</v>
      </c>
      <c r="C298" s="16" t="s">
        <v>1018</v>
      </c>
      <c r="D298" s="16">
        <v>41310000</v>
      </c>
      <c r="E298" s="16">
        <v>3</v>
      </c>
      <c r="F298" s="16">
        <v>4</v>
      </c>
      <c r="G298" s="19" t="s">
        <v>842</v>
      </c>
      <c r="H298" s="16"/>
      <c r="I298" s="16" t="s">
        <v>1019</v>
      </c>
      <c r="J298" s="16" t="s">
        <v>1020</v>
      </c>
      <c r="K298" s="16" t="s">
        <v>1021</v>
      </c>
    </row>
    <row r="299" spans="1:11" ht="300" hidden="1" x14ac:dyDescent="0.25">
      <c r="A299" s="22">
        <v>141</v>
      </c>
      <c r="B299" s="16" t="s">
        <v>670</v>
      </c>
      <c r="C299" s="16" t="s">
        <v>671</v>
      </c>
      <c r="D299" s="16">
        <v>41265000</v>
      </c>
      <c r="E299" s="16">
        <v>4</v>
      </c>
      <c r="F299" s="16">
        <v>5</v>
      </c>
      <c r="G299" s="18" t="s">
        <v>108</v>
      </c>
      <c r="H299" s="16"/>
      <c r="I299" s="16" t="s">
        <v>672</v>
      </c>
      <c r="J299" s="16" t="s">
        <v>673</v>
      </c>
      <c r="K299" s="16" t="s">
        <v>674</v>
      </c>
    </row>
    <row r="300" spans="1:11" ht="360" hidden="1" x14ac:dyDescent="0.25">
      <c r="A300" s="22">
        <v>574</v>
      </c>
      <c r="B300" s="16" t="s">
        <v>2547</v>
      </c>
      <c r="C300" s="16" t="s">
        <v>2548</v>
      </c>
      <c r="D300" s="16">
        <v>41023761</v>
      </c>
      <c r="E300" s="16">
        <v>2</v>
      </c>
      <c r="F300" s="16">
        <v>5</v>
      </c>
      <c r="G300" s="20" t="s">
        <v>1443</v>
      </c>
      <c r="H300" s="16"/>
      <c r="I300" s="16" t="s">
        <v>2502</v>
      </c>
      <c r="J300" s="16" t="s">
        <v>2549</v>
      </c>
      <c r="K300" s="16" t="s">
        <v>2491</v>
      </c>
    </row>
    <row r="301" spans="1:11" ht="300" hidden="1" x14ac:dyDescent="0.25">
      <c r="A301" s="22">
        <v>6</v>
      </c>
      <c r="B301" s="16" t="s">
        <v>49</v>
      </c>
      <c r="C301" s="16" t="s">
        <v>50</v>
      </c>
      <c r="D301" s="16">
        <v>40887000</v>
      </c>
      <c r="E301" s="16">
        <v>5</v>
      </c>
      <c r="F301" s="16">
        <v>5</v>
      </c>
      <c r="G301" s="17" t="s">
        <v>31</v>
      </c>
      <c r="H301" s="16"/>
      <c r="I301" s="16" t="s">
        <v>51</v>
      </c>
      <c r="J301" s="16" t="s">
        <v>52</v>
      </c>
      <c r="K301" s="16" t="s">
        <v>53</v>
      </c>
    </row>
    <row r="302" spans="1:11" ht="315" hidden="1" x14ac:dyDescent="0.25">
      <c r="A302" s="22">
        <v>682</v>
      </c>
      <c r="B302" s="16" t="s">
        <v>2976</v>
      </c>
      <c r="C302" s="16" t="s">
        <v>2977</v>
      </c>
      <c r="D302" s="16">
        <v>40600000</v>
      </c>
      <c r="E302" s="16">
        <v>1</v>
      </c>
      <c r="F302" s="16">
        <v>4</v>
      </c>
      <c r="G302" s="21" t="s">
        <v>2807</v>
      </c>
      <c r="H302" s="16"/>
      <c r="I302" s="16" t="s">
        <v>2978</v>
      </c>
      <c r="J302" s="16" t="s">
        <v>2979</v>
      </c>
      <c r="K302" s="16" t="s">
        <v>2311</v>
      </c>
    </row>
    <row r="303" spans="1:11" ht="270" hidden="1" x14ac:dyDescent="0.25">
      <c r="A303" s="22">
        <v>480</v>
      </c>
      <c r="B303" s="16" t="s">
        <v>2135</v>
      </c>
      <c r="C303" s="16" t="s">
        <v>2136</v>
      </c>
      <c r="D303" s="16">
        <v>40314000</v>
      </c>
      <c r="E303" s="16">
        <v>2</v>
      </c>
      <c r="F303" s="16">
        <v>3</v>
      </c>
      <c r="G303" s="20" t="s">
        <v>1443</v>
      </c>
      <c r="H303" s="16"/>
      <c r="I303" s="16" t="s">
        <v>2137</v>
      </c>
      <c r="J303" s="16" t="s">
        <v>2138</v>
      </c>
      <c r="K303" s="16" t="s">
        <v>2139</v>
      </c>
    </row>
    <row r="304" spans="1:11" ht="375" hidden="1" x14ac:dyDescent="0.25">
      <c r="A304" s="22">
        <v>329</v>
      </c>
      <c r="B304" s="16" t="s">
        <v>1507</v>
      </c>
      <c r="C304" s="16" t="s">
        <v>1508</v>
      </c>
      <c r="D304" s="16">
        <v>40085000</v>
      </c>
      <c r="E304" s="16">
        <v>5</v>
      </c>
      <c r="F304" s="16">
        <v>2</v>
      </c>
      <c r="G304" s="20" t="s">
        <v>1443</v>
      </c>
      <c r="H304" s="16"/>
      <c r="I304" s="16" t="s">
        <v>1509</v>
      </c>
      <c r="J304" s="16" t="s">
        <v>1510</v>
      </c>
      <c r="K304" s="16" t="s">
        <v>1511</v>
      </c>
    </row>
    <row r="305" spans="1:11" ht="255" hidden="1" x14ac:dyDescent="0.25">
      <c r="A305" s="22">
        <v>629</v>
      </c>
      <c r="B305" s="16" t="s">
        <v>2752</v>
      </c>
      <c r="C305" s="16" t="s">
        <v>2753</v>
      </c>
      <c r="D305" s="16">
        <v>40020000</v>
      </c>
      <c r="E305" s="16">
        <v>2</v>
      </c>
      <c r="F305" s="16">
        <v>4</v>
      </c>
      <c r="G305" s="20" t="s">
        <v>1443</v>
      </c>
      <c r="H305" s="16"/>
      <c r="I305" s="16" t="s">
        <v>2754</v>
      </c>
      <c r="J305" s="16" t="s">
        <v>2755</v>
      </c>
      <c r="K305" s="16" t="s">
        <v>2756</v>
      </c>
    </row>
    <row r="306" spans="1:11" ht="225" hidden="1" x14ac:dyDescent="0.25">
      <c r="A306" s="22">
        <v>137</v>
      </c>
      <c r="B306" s="16" t="s">
        <v>650</v>
      </c>
      <c r="C306" s="16" t="s">
        <v>651</v>
      </c>
      <c r="D306" s="16">
        <v>40000000</v>
      </c>
      <c r="E306" s="16">
        <v>4</v>
      </c>
      <c r="F306" s="16">
        <v>4</v>
      </c>
      <c r="G306" s="18" t="s">
        <v>108</v>
      </c>
      <c r="H306" s="16"/>
      <c r="I306" s="16" t="s">
        <v>652</v>
      </c>
      <c r="J306" s="16" t="s">
        <v>653</v>
      </c>
      <c r="K306" s="16" t="s">
        <v>654</v>
      </c>
    </row>
    <row r="307" spans="1:11" ht="45" hidden="1" x14ac:dyDescent="0.25">
      <c r="A307" s="22">
        <v>182</v>
      </c>
      <c r="B307" s="16" t="s">
        <v>851</v>
      </c>
      <c r="C307" s="16" t="s">
        <v>852</v>
      </c>
      <c r="D307" s="16">
        <v>40000000</v>
      </c>
      <c r="E307" s="16">
        <v>3</v>
      </c>
      <c r="F307" s="16">
        <v>4</v>
      </c>
      <c r="G307" s="19" t="s">
        <v>842</v>
      </c>
      <c r="H307" s="16"/>
      <c r="I307" s="16"/>
      <c r="J307" s="16"/>
      <c r="K307" s="16"/>
    </row>
    <row r="308" spans="1:11" ht="315" hidden="1" x14ac:dyDescent="0.25">
      <c r="A308" s="22">
        <v>520</v>
      </c>
      <c r="B308" s="16" t="s">
        <v>2321</v>
      </c>
      <c r="C308" s="16" t="s">
        <v>2322</v>
      </c>
      <c r="D308" s="16">
        <v>40000000</v>
      </c>
      <c r="E308" s="16">
        <v>2</v>
      </c>
      <c r="F308" s="16">
        <v>4</v>
      </c>
      <c r="G308" s="20" t="s">
        <v>1443</v>
      </c>
      <c r="H308" s="16"/>
      <c r="I308" s="16" t="s">
        <v>2323</v>
      </c>
      <c r="J308" s="16" t="s">
        <v>2324</v>
      </c>
      <c r="K308" s="16" t="s">
        <v>2325</v>
      </c>
    </row>
    <row r="309" spans="1:11" ht="409.5" hidden="1" x14ac:dyDescent="0.25">
      <c r="A309" s="22">
        <v>446</v>
      </c>
      <c r="B309" s="16" t="s">
        <v>2006</v>
      </c>
      <c r="C309" s="16" t="s">
        <v>2007</v>
      </c>
      <c r="D309" s="16">
        <v>39919000</v>
      </c>
      <c r="E309" s="16">
        <v>2</v>
      </c>
      <c r="F309" s="16">
        <v>5</v>
      </c>
      <c r="G309" s="20" t="s">
        <v>1443</v>
      </c>
      <c r="H309" s="16"/>
      <c r="I309" s="16" t="s">
        <v>2008</v>
      </c>
      <c r="J309" s="16" t="s">
        <v>1097</v>
      </c>
      <c r="K309" s="16" t="s">
        <v>1098</v>
      </c>
    </row>
    <row r="310" spans="1:11" ht="409.5" hidden="1" x14ac:dyDescent="0.25">
      <c r="A310" s="22">
        <v>447</v>
      </c>
      <c r="B310" s="16" t="s">
        <v>2009</v>
      </c>
      <c r="C310" s="16" t="s">
        <v>2010</v>
      </c>
      <c r="D310" s="16">
        <v>39919000</v>
      </c>
      <c r="E310" s="16">
        <v>2</v>
      </c>
      <c r="F310" s="16">
        <v>4</v>
      </c>
      <c r="G310" s="20" t="s">
        <v>1443</v>
      </c>
      <c r="H310" s="16"/>
      <c r="I310" s="16" t="s">
        <v>2008</v>
      </c>
      <c r="J310" s="16" t="s">
        <v>1097</v>
      </c>
      <c r="K310" s="16" t="s">
        <v>1098</v>
      </c>
    </row>
    <row r="311" spans="1:11" ht="409.5" hidden="1" x14ac:dyDescent="0.25">
      <c r="A311" s="22">
        <v>657</v>
      </c>
      <c r="B311" s="16" t="s">
        <v>2870</v>
      </c>
      <c r="C311" s="16" t="s">
        <v>2871</v>
      </c>
      <c r="D311" s="16">
        <v>39669000</v>
      </c>
      <c r="E311" s="16">
        <v>1</v>
      </c>
      <c r="F311" s="16">
        <v>3</v>
      </c>
      <c r="G311" s="21" t="s">
        <v>2807</v>
      </c>
      <c r="H311" s="16"/>
      <c r="I311" s="16" t="s">
        <v>2872</v>
      </c>
      <c r="J311" s="16" t="s">
        <v>2873</v>
      </c>
      <c r="K311" s="16" t="s">
        <v>2874</v>
      </c>
    </row>
    <row r="312" spans="1:11" ht="240" hidden="1" x14ac:dyDescent="0.25">
      <c r="A312" s="22">
        <v>73</v>
      </c>
      <c r="B312" s="16" t="s">
        <v>352</v>
      </c>
      <c r="C312" s="16" t="s">
        <v>353</v>
      </c>
      <c r="D312" s="16">
        <v>39500000</v>
      </c>
      <c r="E312" s="16">
        <v>4</v>
      </c>
      <c r="F312" s="16">
        <v>5</v>
      </c>
      <c r="G312" s="18" t="s">
        <v>108</v>
      </c>
      <c r="H312" s="16"/>
      <c r="I312" s="16" t="s">
        <v>354</v>
      </c>
      <c r="J312" s="16" t="s">
        <v>355</v>
      </c>
      <c r="K312" s="16" t="s">
        <v>356</v>
      </c>
    </row>
    <row r="313" spans="1:11" ht="300" hidden="1" x14ac:dyDescent="0.25">
      <c r="A313" s="22">
        <v>402</v>
      </c>
      <c r="B313" s="16" t="s">
        <v>1828</v>
      </c>
      <c r="C313" s="16" t="s">
        <v>1829</v>
      </c>
      <c r="D313" s="16">
        <v>38395000</v>
      </c>
      <c r="E313" s="16">
        <v>2</v>
      </c>
      <c r="F313" s="16">
        <v>4</v>
      </c>
      <c r="G313" s="20" t="s">
        <v>1443</v>
      </c>
      <c r="H313" s="16"/>
      <c r="I313" s="16" t="s">
        <v>1830</v>
      </c>
      <c r="J313" s="16" t="s">
        <v>1831</v>
      </c>
      <c r="K313" s="16" t="s">
        <v>1832</v>
      </c>
    </row>
    <row r="314" spans="1:11" ht="300" hidden="1" x14ac:dyDescent="0.25">
      <c r="A314" s="22">
        <v>30</v>
      </c>
      <c r="B314" s="16" t="s">
        <v>160</v>
      </c>
      <c r="C314" s="16" t="s">
        <v>161</v>
      </c>
      <c r="D314" s="16">
        <v>37675000</v>
      </c>
      <c r="E314" s="16">
        <v>4</v>
      </c>
      <c r="F314" s="16">
        <v>4</v>
      </c>
      <c r="G314" s="18" t="s">
        <v>108</v>
      </c>
      <c r="H314" s="16"/>
      <c r="I314" s="16" t="s">
        <v>162</v>
      </c>
      <c r="J314" s="16" t="s">
        <v>163</v>
      </c>
      <c r="K314" s="16" t="s">
        <v>164</v>
      </c>
    </row>
    <row r="315" spans="1:11" ht="270" hidden="1" x14ac:dyDescent="0.25">
      <c r="A315" s="22">
        <v>211</v>
      </c>
      <c r="B315" s="16" t="s">
        <v>986</v>
      </c>
      <c r="C315" s="16" t="s">
        <v>987</v>
      </c>
      <c r="D315" s="16">
        <v>37625000</v>
      </c>
      <c r="E315" s="16">
        <v>4</v>
      </c>
      <c r="F315" s="16">
        <v>3</v>
      </c>
      <c r="G315" s="19" t="s">
        <v>842</v>
      </c>
      <c r="H315" s="16"/>
      <c r="I315" s="16" t="s">
        <v>988</v>
      </c>
      <c r="J315" s="16" t="s">
        <v>989</v>
      </c>
      <c r="K315" s="16" t="s">
        <v>990</v>
      </c>
    </row>
    <row r="316" spans="1:11" ht="165" hidden="1" x14ac:dyDescent="0.25">
      <c r="A316" s="22">
        <v>77</v>
      </c>
      <c r="B316" s="16" t="s">
        <v>371</v>
      </c>
      <c r="C316" s="16" t="s">
        <v>372</v>
      </c>
      <c r="D316" s="16">
        <v>37500000</v>
      </c>
      <c r="E316" s="16">
        <v>4</v>
      </c>
      <c r="F316" s="16">
        <v>5</v>
      </c>
      <c r="G316" s="18" t="s">
        <v>108</v>
      </c>
      <c r="H316" s="16"/>
      <c r="I316" s="16" t="s">
        <v>364</v>
      </c>
      <c r="J316" s="16" t="s">
        <v>373</v>
      </c>
      <c r="K316" s="16" t="s">
        <v>374</v>
      </c>
    </row>
    <row r="317" spans="1:11" ht="90" hidden="1" x14ac:dyDescent="0.25">
      <c r="A317" s="22">
        <v>303</v>
      </c>
      <c r="B317" s="16" t="s">
        <v>1388</v>
      </c>
      <c r="C317" s="16" t="s">
        <v>1389</v>
      </c>
      <c r="D317" s="16">
        <v>37500000</v>
      </c>
      <c r="E317" s="16">
        <v>3</v>
      </c>
      <c r="F317" s="16">
        <v>4</v>
      </c>
      <c r="G317" s="19" t="s">
        <v>842</v>
      </c>
      <c r="H317" s="16"/>
      <c r="I317" s="16" t="s">
        <v>1390</v>
      </c>
      <c r="J317" s="16" t="s">
        <v>1391</v>
      </c>
      <c r="K317" s="16" t="s">
        <v>1392</v>
      </c>
    </row>
    <row r="318" spans="1:11" ht="409.5" hidden="1" x14ac:dyDescent="0.25">
      <c r="A318" s="22">
        <v>237</v>
      </c>
      <c r="B318" s="16" t="s">
        <v>1094</v>
      </c>
      <c r="C318" s="16" t="s">
        <v>1095</v>
      </c>
      <c r="D318" s="16">
        <v>37471000</v>
      </c>
      <c r="E318" s="16">
        <v>3</v>
      </c>
      <c r="F318" s="16">
        <v>4</v>
      </c>
      <c r="G318" s="19" t="s">
        <v>842</v>
      </c>
      <c r="H318" s="16"/>
      <c r="I318" s="16" t="s">
        <v>1096</v>
      </c>
      <c r="J318" s="16" t="s">
        <v>1097</v>
      </c>
      <c r="K318" s="16" t="s">
        <v>1098</v>
      </c>
    </row>
    <row r="319" spans="1:11" ht="240" hidden="1" x14ac:dyDescent="0.25">
      <c r="A319" s="22">
        <v>352</v>
      </c>
      <c r="B319" s="16" t="s">
        <v>1611</v>
      </c>
      <c r="C319" s="16" t="s">
        <v>1612</v>
      </c>
      <c r="D319" s="16">
        <v>36975000</v>
      </c>
      <c r="E319" s="16">
        <v>2</v>
      </c>
      <c r="F319" s="16">
        <v>3</v>
      </c>
      <c r="G319" s="20" t="s">
        <v>1443</v>
      </c>
      <c r="H319" s="16"/>
      <c r="I319" s="16" t="s">
        <v>1613</v>
      </c>
      <c r="J319" s="16" t="s">
        <v>1614</v>
      </c>
      <c r="K319" s="16" t="s">
        <v>1615</v>
      </c>
    </row>
    <row r="320" spans="1:11" ht="255" hidden="1" x14ac:dyDescent="0.25">
      <c r="A320" s="22">
        <v>439</v>
      </c>
      <c r="B320" s="16" t="s">
        <v>1980</v>
      </c>
      <c r="C320" s="16" t="s">
        <v>1981</v>
      </c>
      <c r="D320" s="16">
        <v>36820200</v>
      </c>
      <c r="E320" s="16">
        <v>2</v>
      </c>
      <c r="F320" s="16">
        <v>4</v>
      </c>
      <c r="G320" s="20" t="s">
        <v>1443</v>
      </c>
      <c r="H320" s="16"/>
      <c r="I320" s="16" t="s">
        <v>1982</v>
      </c>
      <c r="J320" s="16" t="s">
        <v>1682</v>
      </c>
      <c r="K320" s="16" t="s">
        <v>1683</v>
      </c>
    </row>
    <row r="321" spans="1:11" ht="210" hidden="1" x14ac:dyDescent="0.25">
      <c r="A321" s="22">
        <v>478</v>
      </c>
      <c r="B321" s="16" t="s">
        <v>2125</v>
      </c>
      <c r="C321" s="16" t="s">
        <v>2126</v>
      </c>
      <c r="D321" s="16">
        <v>36750000</v>
      </c>
      <c r="E321" s="16">
        <v>2</v>
      </c>
      <c r="F321" s="16">
        <v>3</v>
      </c>
      <c r="G321" s="20" t="s">
        <v>1443</v>
      </c>
      <c r="H321" s="16"/>
      <c r="I321" s="16" t="s">
        <v>2127</v>
      </c>
      <c r="J321" s="16" t="s">
        <v>2128</v>
      </c>
      <c r="K321" s="16" t="s">
        <v>2129</v>
      </c>
    </row>
    <row r="322" spans="1:11" ht="360" hidden="1" x14ac:dyDescent="0.25">
      <c r="A322" s="22">
        <v>559</v>
      </c>
      <c r="B322" s="16" t="s">
        <v>2500</v>
      </c>
      <c r="C322" s="16" t="s">
        <v>2501</v>
      </c>
      <c r="D322" s="16">
        <v>36750000</v>
      </c>
      <c r="E322" s="16">
        <v>2</v>
      </c>
      <c r="F322" s="16">
        <v>5</v>
      </c>
      <c r="G322" s="20" t="s">
        <v>1443</v>
      </c>
      <c r="H322" s="16"/>
      <c r="I322" s="16" t="s">
        <v>2502</v>
      </c>
      <c r="J322" s="16" t="s">
        <v>2503</v>
      </c>
      <c r="K322" s="16" t="s">
        <v>2491</v>
      </c>
    </row>
    <row r="323" spans="1:11" ht="360" hidden="1" x14ac:dyDescent="0.25">
      <c r="A323" s="22">
        <v>445</v>
      </c>
      <c r="B323" s="16" t="s">
        <v>2001</v>
      </c>
      <c r="C323" s="16" t="s">
        <v>2002</v>
      </c>
      <c r="D323" s="16">
        <v>36595000</v>
      </c>
      <c r="E323" s="16">
        <v>3</v>
      </c>
      <c r="F323" s="16">
        <v>3</v>
      </c>
      <c r="G323" s="20" t="s">
        <v>1443</v>
      </c>
      <c r="H323" s="16"/>
      <c r="I323" s="16" t="s">
        <v>2003</v>
      </c>
      <c r="J323" s="16" t="s">
        <v>2004</v>
      </c>
      <c r="K323" s="16" t="s">
        <v>2005</v>
      </c>
    </row>
    <row r="324" spans="1:11" ht="180" hidden="1" x14ac:dyDescent="0.25">
      <c r="A324" s="22">
        <v>479</v>
      </c>
      <c r="B324" s="16" t="s">
        <v>2130</v>
      </c>
      <c r="C324" s="16" t="s">
        <v>2131</v>
      </c>
      <c r="D324" s="16">
        <v>36272000</v>
      </c>
      <c r="E324" s="16">
        <v>3</v>
      </c>
      <c r="F324" s="16">
        <v>3</v>
      </c>
      <c r="G324" s="20" t="s">
        <v>1443</v>
      </c>
      <c r="H324" s="16"/>
      <c r="I324" s="16" t="s">
        <v>2132</v>
      </c>
      <c r="J324" s="16" t="s">
        <v>2133</v>
      </c>
      <c r="K324" s="16" t="s">
        <v>2134</v>
      </c>
    </row>
    <row r="325" spans="1:11" ht="270" hidden="1" x14ac:dyDescent="0.25">
      <c r="A325" s="22">
        <v>76</v>
      </c>
      <c r="B325" s="16" t="s">
        <v>367</v>
      </c>
      <c r="C325" s="16" t="s">
        <v>368</v>
      </c>
      <c r="D325" s="16">
        <v>36000000</v>
      </c>
      <c r="E325" s="16">
        <v>4</v>
      </c>
      <c r="F325" s="16">
        <v>5</v>
      </c>
      <c r="G325" s="18" t="s">
        <v>108</v>
      </c>
      <c r="H325" s="16"/>
      <c r="I325" s="16" t="s">
        <v>364</v>
      </c>
      <c r="J325" s="16" t="s">
        <v>369</v>
      </c>
      <c r="K325" s="16" t="s">
        <v>370</v>
      </c>
    </row>
    <row r="326" spans="1:11" ht="270" hidden="1" x14ac:dyDescent="0.25">
      <c r="A326" s="22">
        <v>82</v>
      </c>
      <c r="B326" s="16" t="s">
        <v>393</v>
      </c>
      <c r="C326" s="16" t="s">
        <v>394</v>
      </c>
      <c r="D326" s="16">
        <v>35950000</v>
      </c>
      <c r="E326" s="16">
        <v>4</v>
      </c>
      <c r="F326" s="16">
        <v>5</v>
      </c>
      <c r="G326" s="18" t="s">
        <v>108</v>
      </c>
      <c r="H326" s="16"/>
      <c r="I326" s="16" t="s">
        <v>395</v>
      </c>
      <c r="J326" s="16" t="s">
        <v>396</v>
      </c>
      <c r="K326" s="16" t="s">
        <v>397</v>
      </c>
    </row>
    <row r="327" spans="1:11" ht="195" hidden="1" x14ac:dyDescent="0.25">
      <c r="A327" s="22">
        <v>633</v>
      </c>
      <c r="B327" s="16" t="s">
        <v>2771</v>
      </c>
      <c r="C327" s="16" t="s">
        <v>2772</v>
      </c>
      <c r="D327" s="16">
        <v>35920000</v>
      </c>
      <c r="E327" s="16">
        <v>3</v>
      </c>
      <c r="F327" s="16">
        <v>2</v>
      </c>
      <c r="G327" s="20" t="s">
        <v>1443</v>
      </c>
      <c r="H327" s="16"/>
      <c r="I327" s="16" t="s">
        <v>2773</v>
      </c>
      <c r="J327" s="16" t="s">
        <v>2774</v>
      </c>
      <c r="K327" s="16" t="s">
        <v>2766</v>
      </c>
    </row>
    <row r="328" spans="1:11" ht="300" hidden="1" x14ac:dyDescent="0.25">
      <c r="A328" s="22">
        <v>246</v>
      </c>
      <c r="B328" s="16" t="s">
        <v>1130</v>
      </c>
      <c r="C328" s="16" t="s">
        <v>1131</v>
      </c>
      <c r="D328" s="16">
        <v>35251500</v>
      </c>
      <c r="E328" s="16">
        <v>4</v>
      </c>
      <c r="F328" s="16">
        <v>3</v>
      </c>
      <c r="G328" s="19" t="s">
        <v>842</v>
      </c>
      <c r="H328" s="16"/>
      <c r="I328" s="16" t="s">
        <v>1132</v>
      </c>
      <c r="J328" s="16" t="s">
        <v>1133</v>
      </c>
      <c r="K328" s="16" t="s">
        <v>1134</v>
      </c>
    </row>
    <row r="329" spans="1:11" ht="270" hidden="1" x14ac:dyDescent="0.25">
      <c r="A329" s="22">
        <v>355</v>
      </c>
      <c r="B329" s="16" t="s">
        <v>1626</v>
      </c>
      <c r="C329" s="16" t="s">
        <v>1627</v>
      </c>
      <c r="D329" s="16">
        <v>35224000</v>
      </c>
      <c r="E329" s="16">
        <v>2</v>
      </c>
      <c r="F329" s="16">
        <v>4</v>
      </c>
      <c r="G329" s="20" t="s">
        <v>1443</v>
      </c>
      <c r="H329" s="16"/>
      <c r="I329" s="16" t="s">
        <v>1628</v>
      </c>
      <c r="J329" s="16" t="s">
        <v>1629</v>
      </c>
      <c r="K329" s="16" t="s">
        <v>1630</v>
      </c>
    </row>
    <row r="330" spans="1:11" ht="345" hidden="1" x14ac:dyDescent="0.25">
      <c r="A330" s="22">
        <v>337</v>
      </c>
      <c r="B330" s="16" t="s">
        <v>1545</v>
      </c>
      <c r="C330" s="16" t="s">
        <v>1546</v>
      </c>
      <c r="D330" s="16">
        <v>35080000</v>
      </c>
      <c r="E330" s="16">
        <v>3</v>
      </c>
      <c r="F330" s="16">
        <v>3</v>
      </c>
      <c r="G330" s="20" t="s">
        <v>1443</v>
      </c>
      <c r="H330" s="16"/>
      <c r="I330" s="16" t="s">
        <v>1547</v>
      </c>
      <c r="J330" s="16" t="s">
        <v>1548</v>
      </c>
      <c r="K330" s="16" t="s">
        <v>1549</v>
      </c>
    </row>
    <row r="331" spans="1:11" ht="180" hidden="1" x14ac:dyDescent="0.25">
      <c r="A331" s="22">
        <v>183</v>
      </c>
      <c r="B331" s="16" t="s">
        <v>853</v>
      </c>
      <c r="C331" s="16" t="s">
        <v>854</v>
      </c>
      <c r="D331" s="16">
        <v>35000000</v>
      </c>
      <c r="E331" s="16">
        <v>3</v>
      </c>
      <c r="F331" s="16">
        <v>4</v>
      </c>
      <c r="G331" s="19" t="s">
        <v>842</v>
      </c>
      <c r="H331" s="16"/>
      <c r="I331" s="16" t="s">
        <v>855</v>
      </c>
      <c r="J331" s="16" t="s">
        <v>855</v>
      </c>
      <c r="K331" s="16" t="s">
        <v>856</v>
      </c>
    </row>
    <row r="332" spans="1:11" ht="240" hidden="1" x14ac:dyDescent="0.25">
      <c r="A332" s="22">
        <v>377</v>
      </c>
      <c r="B332" s="16" t="s">
        <v>1720</v>
      </c>
      <c r="C332" s="16" t="s">
        <v>1721</v>
      </c>
      <c r="D332" s="16">
        <v>35000000</v>
      </c>
      <c r="E332" s="16">
        <v>2</v>
      </c>
      <c r="F332" s="16">
        <v>4</v>
      </c>
      <c r="G332" s="20" t="s">
        <v>1443</v>
      </c>
      <c r="H332" s="16"/>
      <c r="I332" s="16" t="s">
        <v>1676</v>
      </c>
      <c r="J332" s="16" t="s">
        <v>1722</v>
      </c>
      <c r="K332" s="16" t="s">
        <v>1723</v>
      </c>
    </row>
    <row r="333" spans="1:11" ht="255" hidden="1" x14ac:dyDescent="0.25">
      <c r="A333" s="22">
        <v>543</v>
      </c>
      <c r="B333" s="16" t="s">
        <v>2427</v>
      </c>
      <c r="C333" s="16" t="s">
        <v>2428</v>
      </c>
      <c r="D333" s="16">
        <v>35000000</v>
      </c>
      <c r="E333" s="16">
        <v>3</v>
      </c>
      <c r="F333" s="16">
        <v>3</v>
      </c>
      <c r="G333" s="20" t="s">
        <v>1443</v>
      </c>
      <c r="H333" s="16"/>
      <c r="I333" s="16" t="s">
        <v>2429</v>
      </c>
      <c r="J333" s="16" t="s">
        <v>2430</v>
      </c>
      <c r="K333" s="16" t="s">
        <v>2431</v>
      </c>
    </row>
    <row r="334" spans="1:11" ht="270" hidden="1" x14ac:dyDescent="0.25">
      <c r="A334" s="22">
        <v>544</v>
      </c>
      <c r="B334" s="16" t="s">
        <v>2432</v>
      </c>
      <c r="C334" s="16" t="s">
        <v>2433</v>
      </c>
      <c r="D334" s="16">
        <v>35000000</v>
      </c>
      <c r="E334" s="16">
        <v>3</v>
      </c>
      <c r="F334" s="16">
        <v>3</v>
      </c>
      <c r="G334" s="20" t="s">
        <v>1443</v>
      </c>
      <c r="H334" s="16"/>
      <c r="I334" s="16" t="s">
        <v>2434</v>
      </c>
      <c r="J334" s="16" t="s">
        <v>2435</v>
      </c>
      <c r="K334" s="16" t="s">
        <v>2436</v>
      </c>
    </row>
    <row r="335" spans="1:11" ht="270" hidden="1" x14ac:dyDescent="0.25">
      <c r="A335" s="22">
        <v>545</v>
      </c>
      <c r="B335" s="16" t="s">
        <v>2437</v>
      </c>
      <c r="C335" s="16" t="s">
        <v>2438</v>
      </c>
      <c r="D335" s="16">
        <v>35000000</v>
      </c>
      <c r="E335" s="16">
        <v>3</v>
      </c>
      <c r="F335" s="16">
        <v>3</v>
      </c>
      <c r="G335" s="20" t="s">
        <v>1443</v>
      </c>
      <c r="H335" s="16"/>
      <c r="I335" s="16" t="s">
        <v>2439</v>
      </c>
      <c r="J335" s="16" t="s">
        <v>2440</v>
      </c>
      <c r="K335" s="16" t="s">
        <v>2441</v>
      </c>
    </row>
    <row r="336" spans="1:11" ht="165" hidden="1" x14ac:dyDescent="0.25">
      <c r="A336" s="22">
        <v>546</v>
      </c>
      <c r="B336" s="16" t="s">
        <v>2442</v>
      </c>
      <c r="C336" s="16" t="s">
        <v>2443</v>
      </c>
      <c r="D336" s="16">
        <v>35000000</v>
      </c>
      <c r="E336" s="16">
        <v>2</v>
      </c>
      <c r="F336" s="16">
        <v>4</v>
      </c>
      <c r="G336" s="20" t="s">
        <v>1443</v>
      </c>
      <c r="H336" s="16"/>
      <c r="I336" s="16" t="s">
        <v>2444</v>
      </c>
      <c r="J336" s="16" t="s">
        <v>2445</v>
      </c>
      <c r="K336" s="16" t="s">
        <v>2446</v>
      </c>
    </row>
    <row r="337" spans="1:11" ht="270" hidden="1" x14ac:dyDescent="0.25">
      <c r="A337" s="22">
        <v>547</v>
      </c>
      <c r="B337" s="16" t="s">
        <v>2447</v>
      </c>
      <c r="C337" s="16" t="s">
        <v>2448</v>
      </c>
      <c r="D337" s="16">
        <v>35000000</v>
      </c>
      <c r="E337" s="16">
        <v>3</v>
      </c>
      <c r="F337" s="16">
        <v>3</v>
      </c>
      <c r="G337" s="20" t="s">
        <v>1443</v>
      </c>
      <c r="H337" s="16"/>
      <c r="I337" s="16" t="s">
        <v>2449</v>
      </c>
      <c r="J337" s="16" t="s">
        <v>2450</v>
      </c>
      <c r="K337" s="16" t="s">
        <v>2451</v>
      </c>
    </row>
    <row r="338" spans="1:11" ht="270" hidden="1" x14ac:dyDescent="0.25">
      <c r="A338" s="22">
        <v>180</v>
      </c>
      <c r="B338" s="16" t="s">
        <v>840</v>
      </c>
      <c r="C338" s="16" t="s">
        <v>841</v>
      </c>
      <c r="D338" s="16">
        <v>34629000</v>
      </c>
      <c r="E338" s="16">
        <v>4</v>
      </c>
      <c r="F338" s="16">
        <v>3</v>
      </c>
      <c r="G338" s="19" t="s">
        <v>842</v>
      </c>
      <c r="H338" s="16"/>
      <c r="I338" s="16" t="s">
        <v>843</v>
      </c>
      <c r="J338" s="16" t="s">
        <v>844</v>
      </c>
      <c r="K338" s="16" t="s">
        <v>845</v>
      </c>
    </row>
    <row r="339" spans="1:11" ht="120" hidden="1" x14ac:dyDescent="0.25">
      <c r="A339" s="22">
        <v>702</v>
      </c>
      <c r="B339" s="16" t="s">
        <v>3066</v>
      </c>
      <c r="C339" s="16" t="s">
        <v>3067</v>
      </c>
      <c r="D339" s="16">
        <v>34400000</v>
      </c>
      <c r="E339" s="16">
        <v>1</v>
      </c>
      <c r="F339" s="16">
        <v>1</v>
      </c>
      <c r="G339" s="21" t="s">
        <v>2807</v>
      </c>
      <c r="H339" s="16"/>
      <c r="I339" s="16" t="s">
        <v>3068</v>
      </c>
      <c r="J339" s="16" t="s">
        <v>3069</v>
      </c>
      <c r="K339" s="16" t="s">
        <v>3070</v>
      </c>
    </row>
    <row r="340" spans="1:11" ht="180" hidden="1" x14ac:dyDescent="0.25">
      <c r="A340" s="22">
        <v>476</v>
      </c>
      <c r="B340" s="16" t="s">
        <v>2115</v>
      </c>
      <c r="C340" s="16" t="s">
        <v>2116</v>
      </c>
      <c r="D340" s="16">
        <v>34386000</v>
      </c>
      <c r="E340" s="16">
        <v>2</v>
      </c>
      <c r="F340" s="16">
        <v>4</v>
      </c>
      <c r="G340" s="20" t="s">
        <v>1443</v>
      </c>
      <c r="H340" s="16"/>
      <c r="I340" s="16" t="s">
        <v>2117</v>
      </c>
      <c r="J340" s="16" t="s">
        <v>2118</v>
      </c>
      <c r="K340" s="16" t="s">
        <v>2119</v>
      </c>
    </row>
    <row r="341" spans="1:11" ht="409.5" hidden="1" x14ac:dyDescent="0.25">
      <c r="A341" s="22">
        <v>61</v>
      </c>
      <c r="B341" s="16" t="s">
        <v>301</v>
      </c>
      <c r="C341" s="16" t="s">
        <v>302</v>
      </c>
      <c r="D341" s="16">
        <v>34175000</v>
      </c>
      <c r="E341" s="16">
        <v>4</v>
      </c>
      <c r="F341" s="16">
        <v>4</v>
      </c>
      <c r="G341" s="18" t="s">
        <v>108</v>
      </c>
      <c r="H341" s="16"/>
      <c r="I341" s="16" t="s">
        <v>303</v>
      </c>
      <c r="J341" s="16" t="s">
        <v>304</v>
      </c>
      <c r="K341" s="16" t="s">
        <v>292</v>
      </c>
    </row>
    <row r="342" spans="1:11" ht="240" hidden="1" x14ac:dyDescent="0.25">
      <c r="A342" s="22">
        <v>53</v>
      </c>
      <c r="B342" s="16" t="s">
        <v>269</v>
      </c>
      <c r="C342" s="16" t="s">
        <v>270</v>
      </c>
      <c r="D342" s="16">
        <v>33614000</v>
      </c>
      <c r="E342" s="16">
        <v>4</v>
      </c>
      <c r="F342" s="16">
        <v>5</v>
      </c>
      <c r="G342" s="18" t="s">
        <v>108</v>
      </c>
      <c r="H342" s="16"/>
      <c r="I342" s="16" t="s">
        <v>119</v>
      </c>
      <c r="J342" s="16" t="s">
        <v>120</v>
      </c>
      <c r="K342" s="16" t="s">
        <v>121</v>
      </c>
    </row>
    <row r="343" spans="1:11" ht="409.5" hidden="1" x14ac:dyDescent="0.25">
      <c r="A343" s="22">
        <v>343</v>
      </c>
      <c r="B343" s="16" t="s">
        <v>1569</v>
      </c>
      <c r="C343" s="16" t="s">
        <v>1570</v>
      </c>
      <c r="D343" s="16">
        <v>33405000</v>
      </c>
      <c r="E343" s="16">
        <v>3</v>
      </c>
      <c r="F343" s="16">
        <v>3</v>
      </c>
      <c r="G343" s="20" t="s">
        <v>1443</v>
      </c>
      <c r="H343" s="16"/>
      <c r="I343" s="16" t="s">
        <v>1571</v>
      </c>
      <c r="J343" s="16" t="s">
        <v>1572</v>
      </c>
      <c r="K343" s="16" t="s">
        <v>1573</v>
      </c>
    </row>
    <row r="344" spans="1:11" ht="240" hidden="1" x14ac:dyDescent="0.25">
      <c r="A344" s="22">
        <v>102</v>
      </c>
      <c r="B344" s="16" t="s">
        <v>485</v>
      </c>
      <c r="C344" s="16" t="s">
        <v>486</v>
      </c>
      <c r="D344" s="16">
        <v>33261000</v>
      </c>
      <c r="E344" s="16">
        <v>4</v>
      </c>
      <c r="F344" s="16">
        <v>4</v>
      </c>
      <c r="G344" s="18" t="s">
        <v>108</v>
      </c>
      <c r="H344" s="16"/>
      <c r="I344" s="16" t="s">
        <v>487</v>
      </c>
      <c r="J344" s="16" t="s">
        <v>488</v>
      </c>
      <c r="K344" s="16" t="s">
        <v>489</v>
      </c>
    </row>
    <row r="345" spans="1:11" ht="255" hidden="1" x14ac:dyDescent="0.25">
      <c r="A345" s="22">
        <v>378</v>
      </c>
      <c r="B345" s="16" t="s">
        <v>1724</v>
      </c>
      <c r="C345" s="16" t="s">
        <v>1725</v>
      </c>
      <c r="D345" s="16">
        <v>33159100</v>
      </c>
      <c r="E345" s="16">
        <v>2</v>
      </c>
      <c r="F345" s="16">
        <v>4</v>
      </c>
      <c r="G345" s="20" t="s">
        <v>1443</v>
      </c>
      <c r="H345" s="16"/>
      <c r="I345" s="16" t="s">
        <v>1681</v>
      </c>
      <c r="J345" s="16" t="s">
        <v>1682</v>
      </c>
      <c r="K345" s="16" t="s">
        <v>1683</v>
      </c>
    </row>
    <row r="346" spans="1:11" ht="375" hidden="1" x14ac:dyDescent="0.25">
      <c r="A346" s="22">
        <v>568</v>
      </c>
      <c r="B346" s="16" t="s">
        <v>2529</v>
      </c>
      <c r="C346" s="16" t="s">
        <v>2530</v>
      </c>
      <c r="D346" s="16">
        <v>32850000</v>
      </c>
      <c r="E346" s="16">
        <v>2</v>
      </c>
      <c r="F346" s="16">
        <v>5</v>
      </c>
      <c r="G346" s="20" t="s">
        <v>1443</v>
      </c>
      <c r="H346" s="16"/>
      <c r="I346" s="16" t="s">
        <v>2502</v>
      </c>
      <c r="J346" s="16" t="s">
        <v>2531</v>
      </c>
      <c r="K346" s="16" t="s">
        <v>2491</v>
      </c>
    </row>
    <row r="347" spans="1:11" ht="225" hidden="1" x14ac:dyDescent="0.25">
      <c r="A347" s="22">
        <v>483</v>
      </c>
      <c r="B347" s="16" t="s">
        <v>2150</v>
      </c>
      <c r="C347" s="16" t="s">
        <v>2151</v>
      </c>
      <c r="D347" s="16">
        <v>32750000</v>
      </c>
      <c r="E347" s="16">
        <v>2</v>
      </c>
      <c r="F347" s="16">
        <v>3</v>
      </c>
      <c r="G347" s="20" t="s">
        <v>1443</v>
      </c>
      <c r="H347" s="16"/>
      <c r="I347" s="16" t="s">
        <v>2127</v>
      </c>
      <c r="J347" s="16" t="s">
        <v>2152</v>
      </c>
      <c r="K347" s="16" t="s">
        <v>2129</v>
      </c>
    </row>
    <row r="348" spans="1:11" ht="300" hidden="1" x14ac:dyDescent="0.25">
      <c r="A348" s="22">
        <v>114</v>
      </c>
      <c r="B348" s="16" t="s">
        <v>544</v>
      </c>
      <c r="C348" s="16" t="s">
        <v>545</v>
      </c>
      <c r="D348" s="16">
        <v>32625000</v>
      </c>
      <c r="E348" s="16">
        <v>5</v>
      </c>
      <c r="F348" s="16">
        <v>4</v>
      </c>
      <c r="G348" s="18" t="s">
        <v>108</v>
      </c>
      <c r="H348" s="16"/>
      <c r="I348" s="16" t="s">
        <v>546</v>
      </c>
      <c r="J348" s="16" t="s">
        <v>547</v>
      </c>
      <c r="K348" s="16" t="s">
        <v>548</v>
      </c>
    </row>
    <row r="349" spans="1:11" ht="225" hidden="1" x14ac:dyDescent="0.25">
      <c r="A349" s="22">
        <v>670</v>
      </c>
      <c r="B349" s="16" t="s">
        <v>2919</v>
      </c>
      <c r="C349" s="16" t="s">
        <v>2920</v>
      </c>
      <c r="D349" s="16">
        <v>32600000</v>
      </c>
      <c r="E349" s="16">
        <v>1</v>
      </c>
      <c r="F349" s="16">
        <v>4</v>
      </c>
      <c r="G349" s="21" t="s">
        <v>2807</v>
      </c>
      <c r="H349" s="16"/>
      <c r="I349" s="16" t="s">
        <v>1599</v>
      </c>
      <c r="J349" s="16" t="s">
        <v>2921</v>
      </c>
      <c r="K349" s="16" t="s">
        <v>2922</v>
      </c>
    </row>
    <row r="350" spans="1:11" ht="135" hidden="1" x14ac:dyDescent="0.25">
      <c r="A350" s="22">
        <v>641</v>
      </c>
      <c r="B350" s="16" t="s">
        <v>2811</v>
      </c>
      <c r="C350" s="16" t="s">
        <v>2812</v>
      </c>
      <c r="D350" s="16">
        <v>32101000</v>
      </c>
      <c r="E350" s="16">
        <v>2</v>
      </c>
      <c r="F350" s="16">
        <v>2</v>
      </c>
      <c r="G350" s="21" t="s">
        <v>2807</v>
      </c>
      <c r="H350" s="16"/>
      <c r="I350" s="16" t="s">
        <v>2813</v>
      </c>
      <c r="J350" s="16" t="s">
        <v>2814</v>
      </c>
      <c r="K350" s="16" t="s">
        <v>2815</v>
      </c>
    </row>
    <row r="351" spans="1:11" ht="409.5" hidden="1" x14ac:dyDescent="0.25">
      <c r="A351" s="22">
        <v>391</v>
      </c>
      <c r="B351" s="16" t="s">
        <v>1777</v>
      </c>
      <c r="C351" s="16" t="s">
        <v>1778</v>
      </c>
      <c r="D351" s="16">
        <v>32010000</v>
      </c>
      <c r="E351" s="16">
        <v>3</v>
      </c>
      <c r="F351" s="16">
        <v>3</v>
      </c>
      <c r="G351" s="20" t="s">
        <v>1443</v>
      </c>
      <c r="H351" s="16"/>
      <c r="I351" s="16" t="s">
        <v>1779</v>
      </c>
      <c r="J351" s="16" t="s">
        <v>1780</v>
      </c>
      <c r="K351" s="16" t="s">
        <v>1781</v>
      </c>
    </row>
    <row r="352" spans="1:11" ht="165" hidden="1" x14ac:dyDescent="0.25">
      <c r="A352" s="22">
        <v>635</v>
      </c>
      <c r="B352" s="16" t="s">
        <v>2780</v>
      </c>
      <c r="C352" s="16" t="s">
        <v>2781</v>
      </c>
      <c r="D352" s="16">
        <v>31710000</v>
      </c>
      <c r="E352" s="16">
        <v>3</v>
      </c>
      <c r="F352" s="16">
        <v>2</v>
      </c>
      <c r="G352" s="20" t="s">
        <v>1443</v>
      </c>
      <c r="H352" s="16"/>
      <c r="I352" s="16" t="s">
        <v>2782</v>
      </c>
      <c r="J352" s="16" t="s">
        <v>2783</v>
      </c>
      <c r="K352" s="16" t="s">
        <v>2784</v>
      </c>
    </row>
    <row r="353" spans="1:11" ht="345" hidden="1" x14ac:dyDescent="0.25">
      <c r="A353" s="22">
        <v>560</v>
      </c>
      <c r="B353" s="16" t="s">
        <v>2504</v>
      </c>
      <c r="C353" s="16" t="s">
        <v>2505</v>
      </c>
      <c r="D353" s="16">
        <v>31600000</v>
      </c>
      <c r="E353" s="16">
        <v>2</v>
      </c>
      <c r="F353" s="16">
        <v>3</v>
      </c>
      <c r="G353" s="20" t="s">
        <v>1443</v>
      </c>
      <c r="H353" s="16"/>
      <c r="I353" s="16" t="s">
        <v>2502</v>
      </c>
      <c r="J353" s="16" t="s">
        <v>2506</v>
      </c>
      <c r="K353" s="16" t="s">
        <v>2491</v>
      </c>
    </row>
    <row r="354" spans="1:11" ht="225" hidden="1" x14ac:dyDescent="0.25">
      <c r="A354" s="22">
        <v>248</v>
      </c>
      <c r="B354" s="16" t="s">
        <v>1137</v>
      </c>
      <c r="C354" s="16" t="s">
        <v>1138</v>
      </c>
      <c r="D354" s="16">
        <v>31210000</v>
      </c>
      <c r="E354" s="16">
        <v>3</v>
      </c>
      <c r="F354" s="16">
        <v>4</v>
      </c>
      <c r="G354" s="19" t="s">
        <v>842</v>
      </c>
      <c r="H354" s="16"/>
      <c r="I354" s="16" t="s">
        <v>1139</v>
      </c>
      <c r="J354" s="16" t="s">
        <v>1140</v>
      </c>
      <c r="K354" s="16" t="s">
        <v>1141</v>
      </c>
    </row>
    <row r="355" spans="1:11" ht="255" hidden="1" x14ac:dyDescent="0.25">
      <c r="A355" s="22">
        <v>263</v>
      </c>
      <c r="B355" s="16" t="s">
        <v>1196</v>
      </c>
      <c r="C355" s="16" t="s">
        <v>1197</v>
      </c>
      <c r="D355" s="16">
        <v>30870000</v>
      </c>
      <c r="E355" s="16">
        <v>4</v>
      </c>
      <c r="F355" s="16">
        <v>3</v>
      </c>
      <c r="G355" s="19" t="s">
        <v>842</v>
      </c>
      <c r="H355" s="16"/>
      <c r="I355" s="16" t="s">
        <v>1198</v>
      </c>
      <c r="J355" s="16" t="s">
        <v>1199</v>
      </c>
      <c r="K355" s="16" t="s">
        <v>1200</v>
      </c>
    </row>
    <row r="356" spans="1:11" ht="375" hidden="1" x14ac:dyDescent="0.25">
      <c r="A356" s="22">
        <v>148</v>
      </c>
      <c r="B356" s="16" t="s">
        <v>702</v>
      </c>
      <c r="C356" s="16" t="s">
        <v>703</v>
      </c>
      <c r="D356" s="16">
        <v>30239000</v>
      </c>
      <c r="E356" s="16">
        <v>4</v>
      </c>
      <c r="F356" s="16">
        <v>4</v>
      </c>
      <c r="G356" s="18" t="s">
        <v>108</v>
      </c>
      <c r="H356" s="16"/>
      <c r="I356" s="16" t="s">
        <v>704</v>
      </c>
      <c r="J356" s="16" t="s">
        <v>705</v>
      </c>
      <c r="K356" s="16" t="s">
        <v>706</v>
      </c>
    </row>
    <row r="357" spans="1:11" ht="330" hidden="1" x14ac:dyDescent="0.25">
      <c r="A357" s="22">
        <v>495</v>
      </c>
      <c r="B357" s="16" t="s">
        <v>2202</v>
      </c>
      <c r="C357" s="16" t="s">
        <v>2203</v>
      </c>
      <c r="D357" s="16">
        <v>30150000</v>
      </c>
      <c r="E357" s="16">
        <v>2</v>
      </c>
      <c r="F357" s="16">
        <v>3</v>
      </c>
      <c r="G357" s="20" t="s">
        <v>1443</v>
      </c>
      <c r="H357" s="16"/>
      <c r="I357" s="16" t="s">
        <v>2204</v>
      </c>
      <c r="J357" s="16" t="s">
        <v>2205</v>
      </c>
      <c r="K357" s="16" t="s">
        <v>2206</v>
      </c>
    </row>
    <row r="358" spans="1:11" ht="240" hidden="1" x14ac:dyDescent="0.25">
      <c r="A358" s="22">
        <v>153</v>
      </c>
      <c r="B358" s="16" t="s">
        <v>727</v>
      </c>
      <c r="C358" s="16" t="s">
        <v>728</v>
      </c>
      <c r="D358" s="16">
        <v>30000000</v>
      </c>
      <c r="E358" s="16">
        <v>4</v>
      </c>
      <c r="F358" s="16">
        <v>5</v>
      </c>
      <c r="G358" s="18" t="s">
        <v>108</v>
      </c>
      <c r="H358" s="16"/>
      <c r="I358" s="16" t="s">
        <v>724</v>
      </c>
      <c r="J358" s="16" t="s">
        <v>725</v>
      </c>
      <c r="K358" s="16" t="s">
        <v>726</v>
      </c>
    </row>
    <row r="359" spans="1:11" ht="315" hidden="1" x14ac:dyDescent="0.25">
      <c r="A359" s="22">
        <v>527</v>
      </c>
      <c r="B359" s="16" t="s">
        <v>2356</v>
      </c>
      <c r="C359" s="16" t="s">
        <v>2357</v>
      </c>
      <c r="D359" s="16">
        <v>30000000</v>
      </c>
      <c r="E359" s="16">
        <v>2</v>
      </c>
      <c r="F359" s="16">
        <v>4</v>
      </c>
      <c r="G359" s="20" t="s">
        <v>1443</v>
      </c>
      <c r="H359" s="16"/>
      <c r="I359" s="16" t="s">
        <v>2358</v>
      </c>
      <c r="J359" s="16" t="s">
        <v>2359</v>
      </c>
      <c r="K359" s="16" t="s">
        <v>2360</v>
      </c>
    </row>
    <row r="360" spans="1:11" ht="409.5" hidden="1" x14ac:dyDescent="0.25">
      <c r="A360" s="22">
        <v>531</v>
      </c>
      <c r="B360" s="16" t="s">
        <v>2376</v>
      </c>
      <c r="C360" s="16" t="s">
        <v>2377</v>
      </c>
      <c r="D360" s="16">
        <v>30000000</v>
      </c>
      <c r="E360" s="16">
        <v>2</v>
      </c>
      <c r="F360" s="16">
        <v>4</v>
      </c>
      <c r="G360" s="20" t="s">
        <v>1443</v>
      </c>
      <c r="H360" s="16"/>
      <c r="I360" s="16" t="s">
        <v>2328</v>
      </c>
      <c r="J360" s="16" t="s">
        <v>2329</v>
      </c>
      <c r="K360" s="16" t="s">
        <v>2330</v>
      </c>
    </row>
    <row r="361" spans="1:11" ht="409.5" hidden="1" x14ac:dyDescent="0.25">
      <c r="A361" s="22">
        <v>690</v>
      </c>
      <c r="B361" s="16" t="s">
        <v>3011</v>
      </c>
      <c r="C361" s="16" t="s">
        <v>3012</v>
      </c>
      <c r="D361" s="16">
        <v>30000000</v>
      </c>
      <c r="E361" s="16">
        <v>1</v>
      </c>
      <c r="F361" s="16">
        <v>5</v>
      </c>
      <c r="G361" s="21" t="s">
        <v>2807</v>
      </c>
      <c r="H361" s="16"/>
      <c r="I361" s="16" t="s">
        <v>3008</v>
      </c>
      <c r="J361" s="16" t="s">
        <v>3013</v>
      </c>
      <c r="K361" s="16" t="s">
        <v>3014</v>
      </c>
    </row>
    <row r="362" spans="1:11" ht="409.5" hidden="1" x14ac:dyDescent="0.25">
      <c r="A362" s="22">
        <v>323</v>
      </c>
      <c r="B362" s="16" t="s">
        <v>1479</v>
      </c>
      <c r="C362" s="16" t="s">
        <v>1480</v>
      </c>
      <c r="D362" s="16">
        <v>29997000</v>
      </c>
      <c r="E362" s="16">
        <v>3</v>
      </c>
      <c r="F362" s="16">
        <v>3</v>
      </c>
      <c r="G362" s="20" t="s">
        <v>1443</v>
      </c>
      <c r="H362" s="16"/>
      <c r="I362" s="16" t="s">
        <v>1481</v>
      </c>
      <c r="J362" s="16" t="s">
        <v>1482</v>
      </c>
      <c r="K362" s="16" t="s">
        <v>1483</v>
      </c>
    </row>
    <row r="363" spans="1:11" ht="285" hidden="1" x14ac:dyDescent="0.25">
      <c r="A363" s="22">
        <v>193</v>
      </c>
      <c r="B363" s="16" t="s">
        <v>902</v>
      </c>
      <c r="C363" s="16" t="s">
        <v>903</v>
      </c>
      <c r="D363" s="16">
        <v>29851000</v>
      </c>
      <c r="E363" s="16">
        <v>3</v>
      </c>
      <c r="F363" s="16">
        <v>5</v>
      </c>
      <c r="G363" s="19" t="s">
        <v>842</v>
      </c>
      <c r="H363" s="16"/>
      <c r="I363" s="16" t="s">
        <v>904</v>
      </c>
      <c r="J363" s="16" t="s">
        <v>905</v>
      </c>
      <c r="K363" s="16" t="s">
        <v>906</v>
      </c>
    </row>
    <row r="364" spans="1:11" ht="165" hidden="1" x14ac:dyDescent="0.25">
      <c r="A364" s="22">
        <v>701</v>
      </c>
      <c r="B364" s="16" t="s">
        <v>3061</v>
      </c>
      <c r="C364" s="16" t="s">
        <v>3062</v>
      </c>
      <c r="D364" s="16">
        <v>29840000</v>
      </c>
      <c r="E364" s="16">
        <v>2</v>
      </c>
      <c r="F364" s="16">
        <v>2</v>
      </c>
      <c r="G364" s="21" t="s">
        <v>2807</v>
      </c>
      <c r="H364" s="16"/>
      <c r="I364" s="16" t="s">
        <v>3063</v>
      </c>
      <c r="J364" s="16" t="s">
        <v>3064</v>
      </c>
      <c r="K364" s="16" t="s">
        <v>3065</v>
      </c>
    </row>
    <row r="365" spans="1:11" ht="409.5" hidden="1" x14ac:dyDescent="0.25">
      <c r="A365" s="22">
        <v>209</v>
      </c>
      <c r="B365" s="16" t="s">
        <v>976</v>
      </c>
      <c r="C365" s="16" t="s">
        <v>977</v>
      </c>
      <c r="D365" s="16">
        <v>29490000</v>
      </c>
      <c r="E365" s="16">
        <v>3</v>
      </c>
      <c r="F365" s="16">
        <v>4</v>
      </c>
      <c r="G365" s="19" t="s">
        <v>842</v>
      </c>
      <c r="H365" s="16"/>
      <c r="I365" s="16" t="s">
        <v>978</v>
      </c>
      <c r="J365" s="16" t="s">
        <v>979</v>
      </c>
      <c r="K365" s="16" t="s">
        <v>980</v>
      </c>
    </row>
    <row r="366" spans="1:11" ht="240" hidden="1" x14ac:dyDescent="0.25">
      <c r="A366" s="22">
        <v>24</v>
      </c>
      <c r="B366" s="16" t="s">
        <v>134</v>
      </c>
      <c r="C366" s="16" t="s">
        <v>135</v>
      </c>
      <c r="D366" s="16">
        <v>29470000</v>
      </c>
      <c r="E366" s="16">
        <v>4</v>
      </c>
      <c r="F366" s="16">
        <v>5</v>
      </c>
      <c r="G366" s="18" t="s">
        <v>108</v>
      </c>
      <c r="H366" s="16"/>
      <c r="I366" s="16" t="s">
        <v>136</v>
      </c>
      <c r="J366" s="16" t="s">
        <v>120</v>
      </c>
      <c r="K366" s="16" t="s">
        <v>137</v>
      </c>
    </row>
    <row r="367" spans="1:11" ht="360" hidden="1" x14ac:dyDescent="0.25">
      <c r="A367" s="22">
        <v>683</v>
      </c>
      <c r="B367" s="16" t="s">
        <v>2980</v>
      </c>
      <c r="C367" s="16" t="s">
        <v>2981</v>
      </c>
      <c r="D367" s="16">
        <v>29378750</v>
      </c>
      <c r="E367" s="16">
        <v>1</v>
      </c>
      <c r="F367" s="16">
        <v>5</v>
      </c>
      <c r="G367" s="21" t="s">
        <v>2807</v>
      </c>
      <c r="H367" s="16"/>
      <c r="I367" s="16" t="s">
        <v>2314</v>
      </c>
      <c r="J367" s="16" t="s">
        <v>2982</v>
      </c>
      <c r="K367" s="16" t="s">
        <v>2311</v>
      </c>
    </row>
    <row r="368" spans="1:11" ht="210" hidden="1" x14ac:dyDescent="0.25">
      <c r="A368" s="22">
        <v>255</v>
      </c>
      <c r="B368" s="16" t="s">
        <v>1159</v>
      </c>
      <c r="C368" s="16" t="s">
        <v>1160</v>
      </c>
      <c r="D368" s="16">
        <v>29366800</v>
      </c>
      <c r="E368" s="16">
        <v>4</v>
      </c>
      <c r="F368" s="16">
        <v>3</v>
      </c>
      <c r="G368" s="19" t="s">
        <v>842</v>
      </c>
      <c r="H368" s="16"/>
      <c r="I368" s="16" t="s">
        <v>1161</v>
      </c>
      <c r="J368" s="16" t="s">
        <v>1162</v>
      </c>
      <c r="K368" s="16" t="s">
        <v>1163</v>
      </c>
    </row>
    <row r="369" spans="1:11" ht="345" hidden="1" x14ac:dyDescent="0.25">
      <c r="A369" s="22">
        <v>552</v>
      </c>
      <c r="B369" s="16" t="s">
        <v>2470</v>
      </c>
      <c r="C369" s="16" t="s">
        <v>2471</v>
      </c>
      <c r="D369" s="16">
        <v>29348000</v>
      </c>
      <c r="E369" s="16">
        <v>2</v>
      </c>
      <c r="F369" s="16">
        <v>3</v>
      </c>
      <c r="G369" s="20" t="s">
        <v>1443</v>
      </c>
      <c r="H369" s="16"/>
      <c r="I369" s="16" t="s">
        <v>2472</v>
      </c>
      <c r="J369" s="16" t="s">
        <v>2473</v>
      </c>
      <c r="K369" s="16" t="s">
        <v>2474</v>
      </c>
    </row>
    <row r="370" spans="1:11" ht="150" hidden="1" x14ac:dyDescent="0.25">
      <c r="A370" s="22">
        <v>477</v>
      </c>
      <c r="B370" s="16" t="s">
        <v>2120</v>
      </c>
      <c r="C370" s="16" t="s">
        <v>2121</v>
      </c>
      <c r="D370" s="16">
        <v>29282000</v>
      </c>
      <c r="E370" s="16">
        <v>3</v>
      </c>
      <c r="F370" s="16">
        <v>3</v>
      </c>
      <c r="G370" s="20" t="s">
        <v>1443</v>
      </c>
      <c r="H370" s="16"/>
      <c r="I370" s="16" t="s">
        <v>2122</v>
      </c>
      <c r="J370" s="16" t="s">
        <v>2123</v>
      </c>
      <c r="K370" s="16" t="s">
        <v>2124</v>
      </c>
    </row>
    <row r="371" spans="1:11" ht="345" hidden="1" x14ac:dyDescent="0.25">
      <c r="A371" s="22">
        <v>484</v>
      </c>
      <c r="B371" s="16" t="s">
        <v>2153</v>
      </c>
      <c r="C371" s="16" t="s">
        <v>2154</v>
      </c>
      <c r="D371" s="16">
        <v>29206000</v>
      </c>
      <c r="E371" s="16">
        <v>2</v>
      </c>
      <c r="F371" s="16">
        <v>4</v>
      </c>
      <c r="G371" s="20" t="s">
        <v>1443</v>
      </c>
      <c r="H371" s="16"/>
      <c r="I371" s="16" t="s">
        <v>2155</v>
      </c>
      <c r="J371" s="16" t="s">
        <v>2156</v>
      </c>
      <c r="K371" s="16" t="s">
        <v>2157</v>
      </c>
    </row>
    <row r="372" spans="1:11" ht="390" hidden="1" x14ac:dyDescent="0.25">
      <c r="A372" s="22">
        <v>113</v>
      </c>
      <c r="B372" s="16" t="s">
        <v>539</v>
      </c>
      <c r="C372" s="16" t="s">
        <v>540</v>
      </c>
      <c r="D372" s="16">
        <v>29150000</v>
      </c>
      <c r="E372" s="16">
        <v>5</v>
      </c>
      <c r="F372" s="16">
        <v>4</v>
      </c>
      <c r="G372" s="18" t="s">
        <v>108</v>
      </c>
      <c r="H372" s="16"/>
      <c r="I372" s="16" t="s">
        <v>541</v>
      </c>
      <c r="J372" s="16" t="s">
        <v>542</v>
      </c>
      <c r="K372" s="16" t="s">
        <v>543</v>
      </c>
    </row>
    <row r="373" spans="1:11" ht="300" hidden="1" x14ac:dyDescent="0.25">
      <c r="A373" s="22">
        <v>407</v>
      </c>
      <c r="B373" s="16" t="s">
        <v>1847</v>
      </c>
      <c r="C373" s="16" t="s">
        <v>1848</v>
      </c>
      <c r="D373" s="16">
        <v>28940000</v>
      </c>
      <c r="E373" s="16">
        <v>2</v>
      </c>
      <c r="F373" s="16">
        <v>4</v>
      </c>
      <c r="G373" s="20" t="s">
        <v>1443</v>
      </c>
      <c r="H373" s="16"/>
      <c r="I373" s="16" t="s">
        <v>1849</v>
      </c>
      <c r="J373" s="16" t="s">
        <v>1850</v>
      </c>
      <c r="K373" s="16" t="s">
        <v>1851</v>
      </c>
    </row>
    <row r="374" spans="1:11" ht="225" hidden="1" x14ac:dyDescent="0.25">
      <c r="A374" s="22">
        <v>3</v>
      </c>
      <c r="B374" s="16" t="s">
        <v>37</v>
      </c>
      <c r="C374" s="16" t="s">
        <v>38</v>
      </c>
      <c r="D374" s="16">
        <v>28817500</v>
      </c>
      <c r="E374" s="16">
        <v>5</v>
      </c>
      <c r="F374" s="16">
        <v>5</v>
      </c>
      <c r="G374" s="17" t="s">
        <v>31</v>
      </c>
      <c r="H374" s="16"/>
      <c r="I374" s="16" t="s">
        <v>32</v>
      </c>
      <c r="J374" s="16" t="s">
        <v>33</v>
      </c>
      <c r="K374" s="16" t="s">
        <v>34</v>
      </c>
    </row>
    <row r="375" spans="1:11" ht="225" hidden="1" x14ac:dyDescent="0.25">
      <c r="A375" s="22">
        <v>623</v>
      </c>
      <c r="B375" s="16" t="s">
        <v>2722</v>
      </c>
      <c r="C375" s="16" t="s">
        <v>2723</v>
      </c>
      <c r="D375" s="16">
        <v>28600000</v>
      </c>
      <c r="E375" s="16">
        <v>3</v>
      </c>
      <c r="F375" s="16">
        <v>3</v>
      </c>
      <c r="G375" s="20" t="s">
        <v>1443</v>
      </c>
      <c r="H375" s="16"/>
      <c r="I375" s="16" t="s">
        <v>2724</v>
      </c>
      <c r="J375" s="16" t="s">
        <v>2725</v>
      </c>
      <c r="K375" s="16" t="s">
        <v>2726</v>
      </c>
    </row>
    <row r="376" spans="1:11" ht="285" hidden="1" x14ac:dyDescent="0.25">
      <c r="A376" s="22">
        <v>550</v>
      </c>
      <c r="B376" s="16" t="s">
        <v>2462</v>
      </c>
      <c r="C376" s="16" t="s">
        <v>2463</v>
      </c>
      <c r="D376" s="16">
        <v>28495280</v>
      </c>
      <c r="E376" s="16">
        <v>2</v>
      </c>
      <c r="F376" s="16">
        <v>3</v>
      </c>
      <c r="G376" s="20" t="s">
        <v>1443</v>
      </c>
      <c r="H376" s="16"/>
      <c r="I376" s="16" t="s">
        <v>642</v>
      </c>
      <c r="J376" s="16" t="s">
        <v>2464</v>
      </c>
      <c r="K376" s="16" t="s">
        <v>2465</v>
      </c>
    </row>
    <row r="377" spans="1:11" ht="120" hidden="1" x14ac:dyDescent="0.25">
      <c r="A377" s="22">
        <v>700</v>
      </c>
      <c r="B377" s="16" t="s">
        <v>3056</v>
      </c>
      <c r="C377" s="16" t="s">
        <v>3057</v>
      </c>
      <c r="D377" s="16">
        <v>28330000</v>
      </c>
      <c r="E377" s="16">
        <v>1</v>
      </c>
      <c r="F377" s="16">
        <v>3</v>
      </c>
      <c r="G377" s="21" t="s">
        <v>2807</v>
      </c>
      <c r="H377" s="16"/>
      <c r="I377" s="16" t="s">
        <v>3058</v>
      </c>
      <c r="J377" s="16" t="s">
        <v>3059</v>
      </c>
      <c r="K377" s="16" t="s">
        <v>3060</v>
      </c>
    </row>
    <row r="378" spans="1:11" ht="180" hidden="1" x14ac:dyDescent="0.25">
      <c r="A378" s="22">
        <v>636</v>
      </c>
      <c r="B378" s="16" t="s">
        <v>2785</v>
      </c>
      <c r="C378" s="16" t="s">
        <v>2786</v>
      </c>
      <c r="D378" s="16">
        <v>28260000</v>
      </c>
      <c r="E378" s="16">
        <v>2</v>
      </c>
      <c r="F378" s="16">
        <v>4</v>
      </c>
      <c r="G378" s="20" t="s">
        <v>1443</v>
      </c>
      <c r="H378" s="16"/>
      <c r="I378" s="16" t="s">
        <v>2787</v>
      </c>
      <c r="J378" s="16" t="s">
        <v>2788</v>
      </c>
      <c r="K378" s="16" t="s">
        <v>2789</v>
      </c>
    </row>
    <row r="379" spans="1:11" ht="240" hidden="1" x14ac:dyDescent="0.25">
      <c r="A379" s="22">
        <v>474</v>
      </c>
      <c r="B379" s="16" t="s">
        <v>2106</v>
      </c>
      <c r="C379" s="16" t="s">
        <v>2107</v>
      </c>
      <c r="D379" s="16">
        <v>28193000</v>
      </c>
      <c r="E379" s="16">
        <v>2</v>
      </c>
      <c r="F379" s="16">
        <v>4</v>
      </c>
      <c r="G379" s="20" t="s">
        <v>1443</v>
      </c>
      <c r="H379" s="16"/>
      <c r="I379" s="16" t="s">
        <v>2108</v>
      </c>
      <c r="J379" s="16" t="s">
        <v>2109</v>
      </c>
      <c r="K379" s="16" t="s">
        <v>2110</v>
      </c>
    </row>
    <row r="380" spans="1:11" ht="165" hidden="1" x14ac:dyDescent="0.25">
      <c r="A380" s="22">
        <v>469</v>
      </c>
      <c r="B380" s="16" t="s">
        <v>2088</v>
      </c>
      <c r="C380" s="16" t="s">
        <v>2089</v>
      </c>
      <c r="D380" s="16">
        <v>27575000</v>
      </c>
      <c r="E380" s="16">
        <v>2</v>
      </c>
      <c r="F380" s="16">
        <v>3</v>
      </c>
      <c r="G380" s="20" t="s">
        <v>1443</v>
      </c>
      <c r="H380" s="16"/>
      <c r="I380" s="16" t="s">
        <v>1599</v>
      </c>
      <c r="J380" s="16" t="s">
        <v>1600</v>
      </c>
      <c r="K380" s="16" t="s">
        <v>2090</v>
      </c>
    </row>
    <row r="381" spans="1:11" ht="270" hidden="1" x14ac:dyDescent="0.25">
      <c r="A381" s="22">
        <v>274</v>
      </c>
      <c r="B381" s="16" t="s">
        <v>1251</v>
      </c>
      <c r="C381" s="16" t="s">
        <v>1252</v>
      </c>
      <c r="D381" s="16">
        <v>27299750</v>
      </c>
      <c r="E381" s="16">
        <v>5</v>
      </c>
      <c r="F381" s="16">
        <v>3</v>
      </c>
      <c r="G381" s="19" t="s">
        <v>842</v>
      </c>
      <c r="H381" s="16"/>
      <c r="I381" s="16" t="s">
        <v>1253</v>
      </c>
      <c r="J381" s="16" t="s">
        <v>1254</v>
      </c>
      <c r="K381" s="16" t="s">
        <v>1255</v>
      </c>
    </row>
    <row r="382" spans="1:11" ht="315" hidden="1" x14ac:dyDescent="0.25">
      <c r="A382" s="22">
        <v>530</v>
      </c>
      <c r="B382" s="16" t="s">
        <v>2371</v>
      </c>
      <c r="C382" s="16" t="s">
        <v>2372</v>
      </c>
      <c r="D382" s="16">
        <v>27280000</v>
      </c>
      <c r="E382" s="16">
        <v>2</v>
      </c>
      <c r="F382" s="16">
        <v>4</v>
      </c>
      <c r="G382" s="20" t="s">
        <v>1443</v>
      </c>
      <c r="H382" s="16"/>
      <c r="I382" s="16" t="s">
        <v>2373</v>
      </c>
      <c r="J382" s="16" t="s">
        <v>2374</v>
      </c>
      <c r="K382" s="16" t="s">
        <v>2375</v>
      </c>
    </row>
    <row r="383" spans="1:11" ht="409.5" hidden="1" x14ac:dyDescent="0.25">
      <c r="A383" s="22">
        <v>555</v>
      </c>
      <c r="B383" s="16" t="s">
        <v>2483</v>
      </c>
      <c r="C383" s="16" t="s">
        <v>2484</v>
      </c>
      <c r="D383" s="16">
        <v>27208000</v>
      </c>
      <c r="E383" s="16">
        <v>2</v>
      </c>
      <c r="F383" s="16">
        <v>3</v>
      </c>
      <c r="G383" s="20" t="s">
        <v>1443</v>
      </c>
      <c r="H383" s="16"/>
      <c r="I383" s="16" t="s">
        <v>642</v>
      </c>
      <c r="J383" s="16" t="s">
        <v>2485</v>
      </c>
      <c r="K383" s="16" t="s">
        <v>2486</v>
      </c>
    </row>
    <row r="384" spans="1:11" ht="390" hidden="1" x14ac:dyDescent="0.25">
      <c r="A384" s="22">
        <v>433</v>
      </c>
      <c r="B384" s="16" t="s">
        <v>1956</v>
      </c>
      <c r="C384" s="16" t="s">
        <v>1957</v>
      </c>
      <c r="D384" s="16">
        <v>27085000</v>
      </c>
      <c r="E384" s="16">
        <v>3</v>
      </c>
      <c r="F384" s="16">
        <v>3</v>
      </c>
      <c r="G384" s="20" t="s">
        <v>1443</v>
      </c>
      <c r="H384" s="16"/>
      <c r="I384" s="16" t="s">
        <v>642</v>
      </c>
      <c r="J384" s="16" t="s">
        <v>1958</v>
      </c>
      <c r="K384" s="16" t="s">
        <v>1959</v>
      </c>
    </row>
    <row r="385" spans="1:11" ht="409.5" hidden="1" x14ac:dyDescent="0.25">
      <c r="A385" s="22">
        <v>348</v>
      </c>
      <c r="B385" s="16" t="s">
        <v>1592</v>
      </c>
      <c r="C385" s="16" t="s">
        <v>1593</v>
      </c>
      <c r="D385" s="16">
        <v>26885000</v>
      </c>
      <c r="E385" s="16">
        <v>3</v>
      </c>
      <c r="F385" s="16">
        <v>2</v>
      </c>
      <c r="G385" s="20" t="s">
        <v>1443</v>
      </c>
      <c r="H385" s="16"/>
      <c r="I385" s="16" t="s">
        <v>1594</v>
      </c>
      <c r="J385" s="16" t="s">
        <v>1595</v>
      </c>
      <c r="K385" s="16" t="s">
        <v>1596</v>
      </c>
    </row>
    <row r="386" spans="1:11" ht="330" hidden="1" x14ac:dyDescent="0.25">
      <c r="A386" s="22">
        <v>358</v>
      </c>
      <c r="B386" s="16" t="s">
        <v>1641</v>
      </c>
      <c r="C386" s="16" t="s">
        <v>1642</v>
      </c>
      <c r="D386" s="16">
        <v>26289000</v>
      </c>
      <c r="E386" s="16">
        <v>4</v>
      </c>
      <c r="F386" s="16">
        <v>2</v>
      </c>
      <c r="G386" s="20" t="s">
        <v>1443</v>
      </c>
      <c r="H386" s="16"/>
      <c r="I386" s="16" t="s">
        <v>1643</v>
      </c>
      <c r="J386" s="16" t="s">
        <v>1644</v>
      </c>
      <c r="K386" s="16" t="s">
        <v>1645</v>
      </c>
    </row>
    <row r="387" spans="1:11" ht="360" hidden="1" x14ac:dyDescent="0.25">
      <c r="A387" s="22">
        <v>570</v>
      </c>
      <c r="B387" s="16" t="s">
        <v>2535</v>
      </c>
      <c r="C387" s="16" t="s">
        <v>2536</v>
      </c>
      <c r="D387" s="16">
        <v>26200000</v>
      </c>
      <c r="E387" s="16">
        <v>2</v>
      </c>
      <c r="F387" s="16">
        <v>3</v>
      </c>
      <c r="G387" s="20" t="s">
        <v>1443</v>
      </c>
      <c r="H387" s="16"/>
      <c r="I387" s="16" t="s">
        <v>2502</v>
      </c>
      <c r="J387" s="16" t="s">
        <v>2537</v>
      </c>
      <c r="K387" s="16" t="s">
        <v>2491</v>
      </c>
    </row>
    <row r="388" spans="1:11" ht="390" hidden="1" x14ac:dyDescent="0.25">
      <c r="A388" s="22">
        <v>33</v>
      </c>
      <c r="B388" s="16" t="s">
        <v>175</v>
      </c>
      <c r="C388" s="16" t="s">
        <v>176</v>
      </c>
      <c r="D388" s="16">
        <v>26147000</v>
      </c>
      <c r="E388" s="16">
        <v>4</v>
      </c>
      <c r="F388" s="16">
        <v>4</v>
      </c>
      <c r="G388" s="18" t="s">
        <v>108</v>
      </c>
      <c r="H388" s="16"/>
      <c r="I388" s="16" t="s">
        <v>177</v>
      </c>
      <c r="J388" s="16" t="s">
        <v>178</v>
      </c>
      <c r="K388" s="16" t="s">
        <v>179</v>
      </c>
    </row>
    <row r="389" spans="1:11" ht="409.5" hidden="1" x14ac:dyDescent="0.25">
      <c r="A389" s="22">
        <v>31</v>
      </c>
      <c r="B389" s="16" t="s">
        <v>165</v>
      </c>
      <c r="C389" s="16" t="s">
        <v>166</v>
      </c>
      <c r="D389" s="16">
        <v>26095000</v>
      </c>
      <c r="E389" s="16">
        <v>4</v>
      </c>
      <c r="F389" s="16">
        <v>4</v>
      </c>
      <c r="G389" s="18" t="s">
        <v>108</v>
      </c>
      <c r="H389" s="16"/>
      <c r="I389" s="16" t="s">
        <v>167</v>
      </c>
      <c r="J389" s="16" t="s">
        <v>168</v>
      </c>
      <c r="K389" s="16" t="s">
        <v>169</v>
      </c>
    </row>
    <row r="390" spans="1:11" ht="300" hidden="1" x14ac:dyDescent="0.25">
      <c r="A390" s="22">
        <v>34</v>
      </c>
      <c r="B390" s="16" t="s">
        <v>180</v>
      </c>
      <c r="C390" s="16" t="s">
        <v>181</v>
      </c>
      <c r="D390" s="16">
        <v>25835000</v>
      </c>
      <c r="E390" s="16">
        <v>4</v>
      </c>
      <c r="F390" s="16">
        <v>4</v>
      </c>
      <c r="G390" s="18" t="s">
        <v>108</v>
      </c>
      <c r="H390" s="16"/>
      <c r="I390" s="16" t="s">
        <v>182</v>
      </c>
      <c r="J390" s="16" t="s">
        <v>183</v>
      </c>
      <c r="K390" s="16" t="s">
        <v>184</v>
      </c>
    </row>
    <row r="391" spans="1:11" ht="195" hidden="1" x14ac:dyDescent="0.25">
      <c r="A391" s="22">
        <v>241</v>
      </c>
      <c r="B391" s="16" t="s">
        <v>1108</v>
      </c>
      <c r="C391" s="16" t="s">
        <v>1109</v>
      </c>
      <c r="D391" s="16">
        <v>25787000</v>
      </c>
      <c r="E391" s="16">
        <v>3</v>
      </c>
      <c r="F391" s="16">
        <v>4</v>
      </c>
      <c r="G391" s="19" t="s">
        <v>842</v>
      </c>
      <c r="H391" s="16"/>
      <c r="I391" s="16" t="s">
        <v>1110</v>
      </c>
      <c r="J391" s="16" t="s">
        <v>1111</v>
      </c>
      <c r="K391" s="16" t="s">
        <v>1112</v>
      </c>
    </row>
    <row r="392" spans="1:11" ht="225" hidden="1" x14ac:dyDescent="0.25">
      <c r="A392" s="22">
        <v>116</v>
      </c>
      <c r="B392" s="16" t="s">
        <v>554</v>
      </c>
      <c r="C392" s="16" t="s">
        <v>555</v>
      </c>
      <c r="D392" s="16">
        <v>25475000</v>
      </c>
      <c r="E392" s="16">
        <v>5</v>
      </c>
      <c r="F392" s="16">
        <v>4</v>
      </c>
      <c r="G392" s="18" t="s">
        <v>108</v>
      </c>
      <c r="H392" s="16"/>
      <c r="I392" s="16" t="s">
        <v>556</v>
      </c>
      <c r="J392" s="16" t="s">
        <v>557</v>
      </c>
      <c r="K392" s="16" t="s">
        <v>558</v>
      </c>
    </row>
    <row r="393" spans="1:11" ht="195" hidden="1" x14ac:dyDescent="0.25">
      <c r="A393" s="22">
        <v>654</v>
      </c>
      <c r="B393" s="16" t="s">
        <v>2855</v>
      </c>
      <c r="C393" s="16" t="s">
        <v>2856</v>
      </c>
      <c r="D393" s="16">
        <v>25290000</v>
      </c>
      <c r="E393" s="16">
        <v>2</v>
      </c>
      <c r="F393" s="16">
        <v>2</v>
      </c>
      <c r="G393" s="21" t="s">
        <v>2807</v>
      </c>
      <c r="H393" s="16"/>
      <c r="I393" s="16" t="s">
        <v>2857</v>
      </c>
      <c r="J393" s="16" t="s">
        <v>2858</v>
      </c>
      <c r="K393" s="16" t="s">
        <v>2859</v>
      </c>
    </row>
    <row r="394" spans="1:11" ht="195" hidden="1" x14ac:dyDescent="0.25">
      <c r="A394" s="22">
        <v>342</v>
      </c>
      <c r="B394" s="16" t="s">
        <v>1564</v>
      </c>
      <c r="C394" s="16" t="s">
        <v>1565</v>
      </c>
      <c r="D394" s="16">
        <v>25000000</v>
      </c>
      <c r="E394" s="16">
        <v>2</v>
      </c>
      <c r="F394" s="16">
        <v>3</v>
      </c>
      <c r="G394" s="20" t="s">
        <v>1443</v>
      </c>
      <c r="H394" s="16"/>
      <c r="I394" s="16" t="s">
        <v>1566</v>
      </c>
      <c r="J394" s="16" t="s">
        <v>1567</v>
      </c>
      <c r="K394" s="16" t="s">
        <v>1568</v>
      </c>
    </row>
    <row r="395" spans="1:11" ht="210" hidden="1" x14ac:dyDescent="0.25">
      <c r="A395" s="22">
        <v>92</v>
      </c>
      <c r="B395" s="16" t="s">
        <v>438</v>
      </c>
      <c r="C395" s="16" t="s">
        <v>439</v>
      </c>
      <c r="D395" s="16">
        <v>24615000</v>
      </c>
      <c r="E395" s="16">
        <v>4</v>
      </c>
      <c r="F395" s="16">
        <v>4</v>
      </c>
      <c r="G395" s="18" t="s">
        <v>108</v>
      </c>
      <c r="H395" s="16"/>
      <c r="I395" s="16" t="s">
        <v>440</v>
      </c>
      <c r="J395" s="16" t="s">
        <v>441</v>
      </c>
      <c r="K395" s="16" t="s">
        <v>442</v>
      </c>
    </row>
    <row r="396" spans="1:11" ht="360" hidden="1" x14ac:dyDescent="0.25">
      <c r="A396" s="22">
        <v>518</v>
      </c>
      <c r="B396" s="16" t="s">
        <v>2312</v>
      </c>
      <c r="C396" s="16" t="s">
        <v>2313</v>
      </c>
      <c r="D396" s="16">
        <v>24501000</v>
      </c>
      <c r="E396" s="16">
        <v>2</v>
      </c>
      <c r="F396" s="16">
        <v>4</v>
      </c>
      <c r="G396" s="20" t="s">
        <v>1443</v>
      </c>
      <c r="H396" s="16"/>
      <c r="I396" s="16" t="s">
        <v>2314</v>
      </c>
      <c r="J396" s="16" t="s">
        <v>2315</v>
      </c>
      <c r="K396" s="16" t="s">
        <v>2311</v>
      </c>
    </row>
    <row r="397" spans="1:11" ht="210" hidden="1" x14ac:dyDescent="0.25">
      <c r="A397" s="22">
        <v>324</v>
      </c>
      <c r="B397" s="16" t="s">
        <v>1484</v>
      </c>
      <c r="C397" s="16" t="s">
        <v>1485</v>
      </c>
      <c r="D397" s="16">
        <v>24500000</v>
      </c>
      <c r="E397" s="16">
        <v>2</v>
      </c>
      <c r="F397" s="16">
        <v>5</v>
      </c>
      <c r="G397" s="20" t="s">
        <v>1443</v>
      </c>
      <c r="H397" s="16"/>
      <c r="I397" s="16" t="s">
        <v>1486</v>
      </c>
      <c r="J397" s="16" t="s">
        <v>1487</v>
      </c>
      <c r="K397" s="16" t="s">
        <v>1488</v>
      </c>
    </row>
    <row r="398" spans="1:11" ht="255" hidden="1" x14ac:dyDescent="0.25">
      <c r="A398" s="22">
        <v>664</v>
      </c>
      <c r="B398" s="16" t="s">
        <v>2901</v>
      </c>
      <c r="C398" s="16" t="s">
        <v>2902</v>
      </c>
      <c r="D398" s="16">
        <v>24329000</v>
      </c>
      <c r="E398" s="16">
        <v>1</v>
      </c>
      <c r="F398" s="16">
        <v>3</v>
      </c>
      <c r="G398" s="21" t="s">
        <v>2807</v>
      </c>
      <c r="H398" s="16"/>
      <c r="I398" s="16" t="s">
        <v>2840</v>
      </c>
      <c r="J398" s="16" t="s">
        <v>2841</v>
      </c>
      <c r="K398" s="16" t="s">
        <v>2842</v>
      </c>
    </row>
    <row r="399" spans="1:11" ht="195" hidden="1" x14ac:dyDescent="0.25">
      <c r="A399" s="22">
        <v>648</v>
      </c>
      <c r="B399" s="16" t="s">
        <v>2831</v>
      </c>
      <c r="C399" s="16" t="s">
        <v>2832</v>
      </c>
      <c r="D399" s="16">
        <v>24300000</v>
      </c>
      <c r="E399" s="16">
        <v>1</v>
      </c>
      <c r="F399" s="16">
        <v>4</v>
      </c>
      <c r="G399" s="21" t="s">
        <v>2807</v>
      </c>
      <c r="H399" s="16"/>
      <c r="I399" s="16" t="s">
        <v>129</v>
      </c>
      <c r="J399" s="16" t="s">
        <v>997</v>
      </c>
      <c r="K399" s="16" t="s">
        <v>998</v>
      </c>
    </row>
    <row r="400" spans="1:11" ht="300" hidden="1" x14ac:dyDescent="0.25">
      <c r="A400" s="22">
        <v>383</v>
      </c>
      <c r="B400" s="16" t="s">
        <v>1741</v>
      </c>
      <c r="C400" s="16" t="s">
        <v>1742</v>
      </c>
      <c r="D400" s="16">
        <v>24267000</v>
      </c>
      <c r="E400" s="16">
        <v>2</v>
      </c>
      <c r="F400" s="16">
        <v>3</v>
      </c>
      <c r="G400" s="20" t="s">
        <v>1443</v>
      </c>
      <c r="H400" s="16"/>
      <c r="I400" s="16" t="s">
        <v>1663</v>
      </c>
      <c r="J400" s="16" t="s">
        <v>1743</v>
      </c>
      <c r="K400" s="16" t="s">
        <v>1744</v>
      </c>
    </row>
    <row r="401" spans="1:11" ht="240" hidden="1" x14ac:dyDescent="0.25">
      <c r="A401" s="22">
        <v>415</v>
      </c>
      <c r="B401" s="16" t="s">
        <v>1879</v>
      </c>
      <c r="C401" s="16" t="s">
        <v>1880</v>
      </c>
      <c r="D401" s="16">
        <v>24208000</v>
      </c>
      <c r="E401" s="16">
        <v>2</v>
      </c>
      <c r="F401" s="16">
        <v>5</v>
      </c>
      <c r="G401" s="20" t="s">
        <v>1443</v>
      </c>
      <c r="H401" s="16"/>
      <c r="I401" s="16" t="s">
        <v>1881</v>
      </c>
      <c r="J401" s="16" t="s">
        <v>130</v>
      </c>
      <c r="K401" s="16" t="s">
        <v>131</v>
      </c>
    </row>
    <row r="402" spans="1:11" ht="315" hidden="1" x14ac:dyDescent="0.25">
      <c r="A402" s="22">
        <v>525</v>
      </c>
      <c r="B402" s="16" t="s">
        <v>2346</v>
      </c>
      <c r="C402" s="16" t="s">
        <v>2347</v>
      </c>
      <c r="D402" s="16">
        <v>24150000</v>
      </c>
      <c r="E402" s="16">
        <v>2</v>
      </c>
      <c r="F402" s="16">
        <v>4</v>
      </c>
      <c r="G402" s="20" t="s">
        <v>1443</v>
      </c>
      <c r="H402" s="16"/>
      <c r="I402" s="16" t="s">
        <v>2348</v>
      </c>
      <c r="J402" s="16" t="s">
        <v>2349</v>
      </c>
      <c r="K402" s="16" t="s">
        <v>2350</v>
      </c>
    </row>
    <row r="403" spans="1:11" ht="409.5" hidden="1" x14ac:dyDescent="0.25">
      <c r="A403" s="22">
        <v>385</v>
      </c>
      <c r="B403" s="16" t="s">
        <v>1748</v>
      </c>
      <c r="C403" s="16" t="s">
        <v>1749</v>
      </c>
      <c r="D403" s="16">
        <v>23959000</v>
      </c>
      <c r="E403" s="16">
        <v>2</v>
      </c>
      <c r="F403" s="16">
        <v>4</v>
      </c>
      <c r="G403" s="20" t="s">
        <v>1443</v>
      </c>
      <c r="H403" s="16"/>
      <c r="I403" s="16" t="s">
        <v>1750</v>
      </c>
      <c r="J403" s="16" t="s">
        <v>1751</v>
      </c>
      <c r="K403" s="16" t="s">
        <v>1752</v>
      </c>
    </row>
    <row r="404" spans="1:11" ht="390" hidden="1" x14ac:dyDescent="0.25">
      <c r="A404" s="22">
        <v>661</v>
      </c>
      <c r="B404" s="16" t="s">
        <v>2889</v>
      </c>
      <c r="C404" s="16" t="s">
        <v>2890</v>
      </c>
      <c r="D404" s="16">
        <v>23925000</v>
      </c>
      <c r="E404" s="16">
        <v>1</v>
      </c>
      <c r="F404" s="16">
        <v>3</v>
      </c>
      <c r="G404" s="21" t="s">
        <v>2807</v>
      </c>
      <c r="H404" s="16"/>
      <c r="I404" s="16" t="s">
        <v>2891</v>
      </c>
      <c r="J404" s="16" t="s">
        <v>2892</v>
      </c>
      <c r="K404" s="16" t="s">
        <v>2893</v>
      </c>
    </row>
    <row r="405" spans="1:11" ht="210" hidden="1" x14ac:dyDescent="0.25">
      <c r="A405" s="22">
        <v>325</v>
      </c>
      <c r="B405" s="16" t="s">
        <v>1489</v>
      </c>
      <c r="C405" s="16" t="s">
        <v>1490</v>
      </c>
      <c r="D405" s="16">
        <v>23831000</v>
      </c>
      <c r="E405" s="16">
        <v>2</v>
      </c>
      <c r="F405" s="16">
        <v>5</v>
      </c>
      <c r="G405" s="20" t="s">
        <v>1443</v>
      </c>
      <c r="H405" s="16"/>
      <c r="I405" s="16" t="s">
        <v>1491</v>
      </c>
      <c r="J405" s="16" t="s">
        <v>1492</v>
      </c>
      <c r="K405" s="16" t="s">
        <v>1493</v>
      </c>
    </row>
    <row r="406" spans="1:11" ht="300" hidden="1" x14ac:dyDescent="0.25">
      <c r="A406" s="22">
        <v>347</v>
      </c>
      <c r="B406" s="16" t="s">
        <v>1589</v>
      </c>
      <c r="C406" s="16" t="s">
        <v>1590</v>
      </c>
      <c r="D406" s="16">
        <v>23800000</v>
      </c>
      <c r="E406" s="16">
        <v>2</v>
      </c>
      <c r="F406" s="16">
        <v>5</v>
      </c>
      <c r="G406" s="20" t="s">
        <v>1443</v>
      </c>
      <c r="H406" s="16"/>
      <c r="I406" s="16" t="s">
        <v>140</v>
      </c>
      <c r="J406" s="16" t="s">
        <v>1591</v>
      </c>
      <c r="K406" s="16" t="s">
        <v>142</v>
      </c>
    </row>
    <row r="407" spans="1:11" ht="165" hidden="1" x14ac:dyDescent="0.25">
      <c r="A407" s="22">
        <v>630</v>
      </c>
      <c r="B407" s="16" t="s">
        <v>2757</v>
      </c>
      <c r="C407" s="16" t="s">
        <v>2758</v>
      </c>
      <c r="D407" s="16">
        <v>23800000</v>
      </c>
      <c r="E407" s="16">
        <v>3</v>
      </c>
      <c r="F407" s="16">
        <v>2</v>
      </c>
      <c r="G407" s="20" t="s">
        <v>1443</v>
      </c>
      <c r="H407" s="16"/>
      <c r="I407" s="16" t="s">
        <v>2759</v>
      </c>
      <c r="J407" s="16" t="s">
        <v>2760</v>
      </c>
      <c r="K407" s="16" t="s">
        <v>2761</v>
      </c>
    </row>
    <row r="408" spans="1:11" ht="285" hidden="1" x14ac:dyDescent="0.25">
      <c r="A408" s="22">
        <v>119</v>
      </c>
      <c r="B408" s="16" t="s">
        <v>569</v>
      </c>
      <c r="C408" s="16" t="s">
        <v>570</v>
      </c>
      <c r="D408" s="16">
        <v>23755000</v>
      </c>
      <c r="E408" s="16">
        <v>4</v>
      </c>
      <c r="F408" s="16">
        <v>4</v>
      </c>
      <c r="G408" s="18" t="s">
        <v>108</v>
      </c>
      <c r="H408" s="16"/>
      <c r="I408" s="16" t="s">
        <v>571</v>
      </c>
      <c r="J408" s="16" t="s">
        <v>572</v>
      </c>
      <c r="K408" s="16" t="s">
        <v>573</v>
      </c>
    </row>
    <row r="409" spans="1:11" ht="285" hidden="1" x14ac:dyDescent="0.25">
      <c r="A409" s="22">
        <v>679</v>
      </c>
      <c r="B409" s="16" t="s">
        <v>2962</v>
      </c>
      <c r="C409" s="16" t="s">
        <v>2963</v>
      </c>
      <c r="D409" s="16">
        <v>23720000</v>
      </c>
      <c r="E409" s="16">
        <v>2</v>
      </c>
      <c r="F409" s="16">
        <v>2</v>
      </c>
      <c r="G409" s="21" t="s">
        <v>2807</v>
      </c>
      <c r="H409" s="16"/>
      <c r="I409" s="16" t="s">
        <v>2964</v>
      </c>
      <c r="J409" s="16" t="s">
        <v>2965</v>
      </c>
      <c r="K409" s="16" t="s">
        <v>2966</v>
      </c>
    </row>
    <row r="410" spans="1:11" ht="330" hidden="1" x14ac:dyDescent="0.25">
      <c r="A410" s="22">
        <v>259</v>
      </c>
      <c r="B410" s="16" t="s">
        <v>1178</v>
      </c>
      <c r="C410" s="16" t="s">
        <v>1179</v>
      </c>
      <c r="D410" s="16">
        <v>23715000</v>
      </c>
      <c r="E410" s="16">
        <v>3</v>
      </c>
      <c r="F410" s="16">
        <v>5</v>
      </c>
      <c r="G410" s="19" t="s">
        <v>842</v>
      </c>
      <c r="H410" s="16"/>
      <c r="I410" s="16" t="s">
        <v>1175</v>
      </c>
      <c r="J410" s="16" t="s">
        <v>1176</v>
      </c>
      <c r="K410" s="16" t="s">
        <v>1180</v>
      </c>
    </row>
    <row r="411" spans="1:11" ht="285" hidden="1" x14ac:dyDescent="0.25">
      <c r="A411" s="22">
        <v>220</v>
      </c>
      <c r="B411" s="16" t="s">
        <v>1022</v>
      </c>
      <c r="C411" s="16" t="s">
        <v>1023</v>
      </c>
      <c r="D411" s="16">
        <v>23580000</v>
      </c>
      <c r="E411" s="16">
        <v>4</v>
      </c>
      <c r="F411" s="16">
        <v>3</v>
      </c>
      <c r="G411" s="19" t="s">
        <v>842</v>
      </c>
      <c r="H411" s="16"/>
      <c r="I411" s="16" t="s">
        <v>1024</v>
      </c>
      <c r="J411" s="16" t="s">
        <v>1025</v>
      </c>
      <c r="K411" s="16" t="s">
        <v>1026</v>
      </c>
    </row>
    <row r="412" spans="1:11" ht="210" hidden="1" x14ac:dyDescent="0.25">
      <c r="A412" s="22">
        <v>67</v>
      </c>
      <c r="B412" s="16" t="s">
        <v>326</v>
      </c>
      <c r="C412" s="16" t="s">
        <v>327</v>
      </c>
      <c r="D412" s="16">
        <v>23549000</v>
      </c>
      <c r="E412" s="16">
        <v>4</v>
      </c>
      <c r="F412" s="16">
        <v>4</v>
      </c>
      <c r="G412" s="18" t="s">
        <v>108</v>
      </c>
      <c r="H412" s="16"/>
      <c r="I412" s="16" t="s">
        <v>321</v>
      </c>
      <c r="J412" s="16" t="s">
        <v>322</v>
      </c>
      <c r="K412" s="16" t="s">
        <v>323</v>
      </c>
    </row>
    <row r="413" spans="1:11" ht="195" hidden="1" x14ac:dyDescent="0.25">
      <c r="A413" s="22">
        <v>266</v>
      </c>
      <c r="B413" s="16" t="s">
        <v>1211</v>
      </c>
      <c r="C413" s="16" t="s">
        <v>1212</v>
      </c>
      <c r="D413" s="16">
        <v>23395000</v>
      </c>
      <c r="E413" s="16">
        <v>4</v>
      </c>
      <c r="F413" s="16">
        <v>3</v>
      </c>
      <c r="G413" s="19" t="s">
        <v>842</v>
      </c>
      <c r="H413" s="16"/>
      <c r="I413" s="16" t="s">
        <v>1213</v>
      </c>
      <c r="J413" s="16" t="s">
        <v>1214</v>
      </c>
      <c r="K413" s="16" t="s">
        <v>1215</v>
      </c>
    </row>
    <row r="414" spans="1:11" ht="210" hidden="1" x14ac:dyDescent="0.25">
      <c r="A414" s="22">
        <v>65</v>
      </c>
      <c r="B414" s="16" t="s">
        <v>319</v>
      </c>
      <c r="C414" s="16" t="s">
        <v>320</v>
      </c>
      <c r="D414" s="16">
        <v>23384000</v>
      </c>
      <c r="E414" s="16">
        <v>4</v>
      </c>
      <c r="F414" s="16">
        <v>4</v>
      </c>
      <c r="G414" s="18" t="s">
        <v>108</v>
      </c>
      <c r="H414" s="16"/>
      <c r="I414" s="16" t="s">
        <v>321</v>
      </c>
      <c r="J414" s="16" t="s">
        <v>322</v>
      </c>
      <c r="K414" s="16" t="s">
        <v>323</v>
      </c>
    </row>
    <row r="415" spans="1:11" ht="409.5" hidden="1" x14ac:dyDescent="0.25">
      <c r="A415" s="22">
        <v>468</v>
      </c>
      <c r="B415" s="16" t="s">
        <v>2083</v>
      </c>
      <c r="C415" s="16" t="s">
        <v>2084</v>
      </c>
      <c r="D415" s="16">
        <v>22875000</v>
      </c>
      <c r="E415" s="16">
        <v>2</v>
      </c>
      <c r="F415" s="16">
        <v>5</v>
      </c>
      <c r="G415" s="20" t="s">
        <v>1443</v>
      </c>
      <c r="H415" s="16"/>
      <c r="I415" s="16" t="s">
        <v>2085</v>
      </c>
      <c r="J415" s="16" t="s">
        <v>2086</v>
      </c>
      <c r="K415" s="16" t="s">
        <v>2087</v>
      </c>
    </row>
    <row r="416" spans="1:11" ht="240" hidden="1" x14ac:dyDescent="0.25">
      <c r="A416" s="22">
        <v>338</v>
      </c>
      <c r="B416" s="16" t="s">
        <v>1550</v>
      </c>
      <c r="C416" s="16" t="s">
        <v>1551</v>
      </c>
      <c r="D416" s="16">
        <v>22845000</v>
      </c>
      <c r="E416" s="16">
        <v>3</v>
      </c>
      <c r="F416" s="16">
        <v>3</v>
      </c>
      <c r="G416" s="20" t="s">
        <v>1443</v>
      </c>
      <c r="H416" s="16"/>
      <c r="I416" s="16" t="s">
        <v>1552</v>
      </c>
      <c r="J416" s="16" t="s">
        <v>1553</v>
      </c>
      <c r="K416" s="16" t="s">
        <v>1554</v>
      </c>
    </row>
    <row r="417" spans="1:11" ht="375" hidden="1" x14ac:dyDescent="0.25">
      <c r="A417" s="22">
        <v>456</v>
      </c>
      <c r="B417" s="16" t="s">
        <v>2027</v>
      </c>
      <c r="C417" s="16" t="s">
        <v>2028</v>
      </c>
      <c r="D417" s="16">
        <v>22757300</v>
      </c>
      <c r="E417" s="16">
        <v>2</v>
      </c>
      <c r="F417" s="16">
        <v>4</v>
      </c>
      <c r="G417" s="20" t="s">
        <v>1443</v>
      </c>
      <c r="H417" s="16"/>
      <c r="I417" s="16" t="s">
        <v>1101</v>
      </c>
      <c r="J417" s="16" t="s">
        <v>2029</v>
      </c>
      <c r="K417" s="16" t="s">
        <v>1103</v>
      </c>
    </row>
    <row r="418" spans="1:11" ht="255" hidden="1" x14ac:dyDescent="0.25">
      <c r="A418" s="22">
        <v>405</v>
      </c>
      <c r="B418" s="16" t="s">
        <v>1840</v>
      </c>
      <c r="C418" s="16" t="s">
        <v>1841</v>
      </c>
      <c r="D418" s="16">
        <v>22710900</v>
      </c>
      <c r="E418" s="16">
        <v>2</v>
      </c>
      <c r="F418" s="16">
        <v>4</v>
      </c>
      <c r="G418" s="20" t="s">
        <v>1443</v>
      </c>
      <c r="H418" s="16"/>
      <c r="I418" s="16" t="s">
        <v>1681</v>
      </c>
      <c r="J418" s="16" t="s">
        <v>1682</v>
      </c>
      <c r="K418" s="16" t="s">
        <v>1683</v>
      </c>
    </row>
    <row r="419" spans="1:11" ht="285" hidden="1" x14ac:dyDescent="0.25">
      <c r="A419" s="22">
        <v>81</v>
      </c>
      <c r="B419" s="16" t="s">
        <v>388</v>
      </c>
      <c r="C419" s="16" t="s">
        <v>389</v>
      </c>
      <c r="D419" s="16">
        <v>22665000</v>
      </c>
      <c r="E419" s="16">
        <v>5</v>
      </c>
      <c r="F419" s="16">
        <v>4</v>
      </c>
      <c r="G419" s="18" t="s">
        <v>108</v>
      </c>
      <c r="H419" s="16"/>
      <c r="I419" s="16" t="s">
        <v>390</v>
      </c>
      <c r="J419" s="16" t="s">
        <v>391</v>
      </c>
      <c r="K419" s="16" t="s">
        <v>392</v>
      </c>
    </row>
    <row r="420" spans="1:11" ht="195" hidden="1" x14ac:dyDescent="0.25">
      <c r="A420" s="22">
        <v>694</v>
      </c>
      <c r="B420" s="16" t="s">
        <v>3030</v>
      </c>
      <c r="C420" s="16" t="s">
        <v>3031</v>
      </c>
      <c r="D420" s="16">
        <v>22608000</v>
      </c>
      <c r="E420" s="16">
        <v>1</v>
      </c>
      <c r="F420" s="16">
        <v>4</v>
      </c>
      <c r="G420" s="21" t="s">
        <v>2807</v>
      </c>
      <c r="H420" s="16"/>
      <c r="I420" s="16" t="s">
        <v>129</v>
      </c>
      <c r="J420" s="16" t="s">
        <v>3032</v>
      </c>
      <c r="K420" s="16"/>
    </row>
    <row r="421" spans="1:11" ht="195" hidden="1" x14ac:dyDescent="0.25">
      <c r="A421" s="22">
        <v>97</v>
      </c>
      <c r="B421" s="16" t="s">
        <v>462</v>
      </c>
      <c r="C421" s="16" t="s">
        <v>463</v>
      </c>
      <c r="D421" s="16">
        <v>22593000</v>
      </c>
      <c r="E421" s="16">
        <v>4</v>
      </c>
      <c r="F421" s="16">
        <v>4</v>
      </c>
      <c r="G421" s="18" t="s">
        <v>108</v>
      </c>
      <c r="H421" s="16"/>
      <c r="I421" s="16" t="s">
        <v>464</v>
      </c>
      <c r="J421" s="16" t="s">
        <v>465</v>
      </c>
      <c r="K421" s="16" t="s">
        <v>466</v>
      </c>
    </row>
    <row r="422" spans="1:11" ht="240" hidden="1" x14ac:dyDescent="0.25">
      <c r="A422" s="22">
        <v>27</v>
      </c>
      <c r="B422" s="16" t="s">
        <v>148</v>
      </c>
      <c r="C422" s="16" t="s">
        <v>149</v>
      </c>
      <c r="D422" s="16">
        <v>22190700</v>
      </c>
      <c r="E422" s="16">
        <v>4</v>
      </c>
      <c r="F422" s="16">
        <v>5</v>
      </c>
      <c r="G422" s="18" t="s">
        <v>108</v>
      </c>
      <c r="H422" s="16"/>
      <c r="I422" s="16" t="s">
        <v>119</v>
      </c>
      <c r="J422" s="16" t="s">
        <v>120</v>
      </c>
      <c r="K422" s="16" t="s">
        <v>121</v>
      </c>
    </row>
    <row r="423" spans="1:11" ht="210" hidden="1" x14ac:dyDescent="0.25">
      <c r="A423" s="22">
        <v>534</v>
      </c>
      <c r="B423" s="16" t="s">
        <v>2388</v>
      </c>
      <c r="C423" s="16" t="s">
        <v>2389</v>
      </c>
      <c r="D423" s="16">
        <v>22100000</v>
      </c>
      <c r="E423" s="16">
        <v>2</v>
      </c>
      <c r="F423" s="16">
        <v>4</v>
      </c>
      <c r="G423" s="20" t="s">
        <v>1443</v>
      </c>
      <c r="H423" s="16"/>
      <c r="I423" s="16" t="s">
        <v>2390</v>
      </c>
      <c r="J423" s="16" t="s">
        <v>2391</v>
      </c>
      <c r="K423" s="16" t="s">
        <v>2392</v>
      </c>
    </row>
    <row r="424" spans="1:11" ht="240" hidden="1" x14ac:dyDescent="0.25">
      <c r="A424" s="22">
        <v>540</v>
      </c>
      <c r="B424" s="16" t="s">
        <v>2415</v>
      </c>
      <c r="C424" s="16" t="s">
        <v>2416</v>
      </c>
      <c r="D424" s="16">
        <v>22000000</v>
      </c>
      <c r="E424" s="16">
        <v>2</v>
      </c>
      <c r="F424" s="16">
        <v>3</v>
      </c>
      <c r="G424" s="20" t="s">
        <v>1443</v>
      </c>
      <c r="H424" s="16"/>
      <c r="I424" s="16" t="s">
        <v>899</v>
      </c>
      <c r="J424" s="16" t="s">
        <v>900</v>
      </c>
      <c r="K424" s="16" t="s">
        <v>901</v>
      </c>
    </row>
    <row r="425" spans="1:11" ht="240" hidden="1" x14ac:dyDescent="0.25">
      <c r="A425" s="22">
        <v>4</v>
      </c>
      <c r="B425" s="16" t="s">
        <v>39</v>
      </c>
      <c r="C425" s="16" t="s">
        <v>40</v>
      </c>
      <c r="D425" s="16">
        <v>21845000</v>
      </c>
      <c r="E425" s="16">
        <v>5</v>
      </c>
      <c r="F425" s="16">
        <v>5</v>
      </c>
      <c r="G425" s="17" t="s">
        <v>31</v>
      </c>
      <c r="H425" s="16"/>
      <c r="I425" s="16" t="s">
        <v>41</v>
      </c>
      <c r="J425" s="16" t="s">
        <v>42</v>
      </c>
      <c r="K425" s="16" t="s">
        <v>43</v>
      </c>
    </row>
    <row r="426" spans="1:11" ht="405" hidden="1" x14ac:dyDescent="0.25">
      <c r="A426" s="22">
        <v>136</v>
      </c>
      <c r="B426" s="16" t="s">
        <v>645</v>
      </c>
      <c r="C426" s="16" t="s">
        <v>646</v>
      </c>
      <c r="D426" s="16">
        <v>21820000</v>
      </c>
      <c r="E426" s="16">
        <v>4</v>
      </c>
      <c r="F426" s="16">
        <v>5</v>
      </c>
      <c r="G426" s="18" t="s">
        <v>108</v>
      </c>
      <c r="H426" s="16"/>
      <c r="I426" s="16" t="s">
        <v>647</v>
      </c>
      <c r="J426" s="16" t="s">
        <v>648</v>
      </c>
      <c r="K426" s="16" t="s">
        <v>649</v>
      </c>
    </row>
    <row r="427" spans="1:11" ht="300" hidden="1" x14ac:dyDescent="0.25">
      <c r="A427" s="22">
        <v>398</v>
      </c>
      <c r="B427" s="16" t="s">
        <v>1808</v>
      </c>
      <c r="C427" s="16" t="s">
        <v>1809</v>
      </c>
      <c r="D427" s="16">
        <v>21700089</v>
      </c>
      <c r="E427" s="16">
        <v>2</v>
      </c>
      <c r="F427" s="16">
        <v>5</v>
      </c>
      <c r="G427" s="20" t="s">
        <v>1443</v>
      </c>
      <c r="H427" s="16"/>
      <c r="I427" s="16" t="s">
        <v>1810</v>
      </c>
      <c r="J427" s="16" t="s">
        <v>1811</v>
      </c>
      <c r="K427" s="16" t="s">
        <v>1812</v>
      </c>
    </row>
    <row r="428" spans="1:11" ht="285" hidden="1" x14ac:dyDescent="0.25">
      <c r="A428" s="22">
        <v>376</v>
      </c>
      <c r="B428" s="16" t="s">
        <v>1715</v>
      </c>
      <c r="C428" s="16" t="s">
        <v>1716</v>
      </c>
      <c r="D428" s="16">
        <v>21600000</v>
      </c>
      <c r="E428" s="16">
        <v>2</v>
      </c>
      <c r="F428" s="16">
        <v>4</v>
      </c>
      <c r="G428" s="20" t="s">
        <v>1443</v>
      </c>
      <c r="H428" s="16"/>
      <c r="I428" s="16" t="s">
        <v>1717</v>
      </c>
      <c r="J428" s="16" t="s">
        <v>1718</v>
      </c>
      <c r="K428" s="16" t="s">
        <v>1719</v>
      </c>
    </row>
    <row r="429" spans="1:11" ht="315" hidden="1" x14ac:dyDescent="0.25">
      <c r="A429" s="22">
        <v>663</v>
      </c>
      <c r="B429" s="16" t="s">
        <v>2899</v>
      </c>
      <c r="C429" s="16" t="s">
        <v>2900</v>
      </c>
      <c r="D429" s="16">
        <v>21550000</v>
      </c>
      <c r="E429" s="16">
        <v>1</v>
      </c>
      <c r="F429" s="16">
        <v>3</v>
      </c>
      <c r="G429" s="21" t="s">
        <v>2807</v>
      </c>
      <c r="H429" s="16"/>
      <c r="I429" s="16" t="s">
        <v>2835</v>
      </c>
      <c r="J429" s="16" t="s">
        <v>2836</v>
      </c>
      <c r="K429" s="16" t="s">
        <v>2837</v>
      </c>
    </row>
    <row r="430" spans="1:11" ht="409.5" hidden="1" x14ac:dyDescent="0.25">
      <c r="A430" s="22">
        <v>438</v>
      </c>
      <c r="B430" s="16" t="s">
        <v>1976</v>
      </c>
      <c r="C430" s="16" t="s">
        <v>1977</v>
      </c>
      <c r="D430" s="16">
        <v>21545000</v>
      </c>
      <c r="E430" s="16">
        <v>3</v>
      </c>
      <c r="F430" s="16">
        <v>3</v>
      </c>
      <c r="G430" s="20" t="s">
        <v>1443</v>
      </c>
      <c r="H430" s="16"/>
      <c r="I430" s="16" t="s">
        <v>1663</v>
      </c>
      <c r="J430" s="16" t="s">
        <v>1978</v>
      </c>
      <c r="K430" s="16" t="s">
        <v>1979</v>
      </c>
    </row>
    <row r="431" spans="1:11" ht="195" hidden="1" x14ac:dyDescent="0.25">
      <c r="A431" s="22">
        <v>642</v>
      </c>
      <c r="B431" s="16" t="s">
        <v>2816</v>
      </c>
      <c r="C431" s="16" t="s">
        <v>2817</v>
      </c>
      <c r="D431" s="16">
        <v>21332000</v>
      </c>
      <c r="E431" s="16">
        <v>1</v>
      </c>
      <c r="F431" s="16">
        <v>4</v>
      </c>
      <c r="G431" s="21" t="s">
        <v>2807</v>
      </c>
      <c r="H431" s="16"/>
      <c r="I431" s="16" t="s">
        <v>129</v>
      </c>
      <c r="J431" s="16" t="s">
        <v>997</v>
      </c>
      <c r="K431" s="16" t="s">
        <v>998</v>
      </c>
    </row>
    <row r="432" spans="1:11" ht="285" hidden="1" x14ac:dyDescent="0.25">
      <c r="A432" s="22">
        <v>318</v>
      </c>
      <c r="B432" s="16" t="s">
        <v>1457</v>
      </c>
      <c r="C432" s="16" t="s">
        <v>1458</v>
      </c>
      <c r="D432" s="16">
        <v>21245000</v>
      </c>
      <c r="E432" s="16">
        <v>2</v>
      </c>
      <c r="F432" s="16">
        <v>4</v>
      </c>
      <c r="G432" s="20" t="s">
        <v>1443</v>
      </c>
      <c r="H432" s="16"/>
      <c r="I432" s="16" t="s">
        <v>1459</v>
      </c>
      <c r="J432" s="16" t="s">
        <v>1460</v>
      </c>
      <c r="K432" s="16" t="s">
        <v>1461</v>
      </c>
    </row>
    <row r="433" spans="1:11" ht="375" hidden="1" x14ac:dyDescent="0.25">
      <c r="A433" s="22">
        <v>345</v>
      </c>
      <c r="B433" s="16" t="s">
        <v>1579</v>
      </c>
      <c r="C433" s="16" t="s">
        <v>1580</v>
      </c>
      <c r="D433" s="16">
        <v>21190000</v>
      </c>
      <c r="E433" s="16">
        <v>3</v>
      </c>
      <c r="F433" s="16">
        <v>3</v>
      </c>
      <c r="G433" s="20" t="s">
        <v>1443</v>
      </c>
      <c r="H433" s="16"/>
      <c r="I433" s="16" t="s">
        <v>1581</v>
      </c>
      <c r="J433" s="16" t="s">
        <v>1582</v>
      </c>
      <c r="K433" s="16" t="s">
        <v>1583</v>
      </c>
    </row>
    <row r="434" spans="1:11" ht="225" hidden="1" x14ac:dyDescent="0.25">
      <c r="A434" s="22">
        <v>36</v>
      </c>
      <c r="B434" s="16" t="s">
        <v>190</v>
      </c>
      <c r="C434" s="16" t="s">
        <v>191</v>
      </c>
      <c r="D434" s="16">
        <v>21123000</v>
      </c>
      <c r="E434" s="16">
        <v>4</v>
      </c>
      <c r="F434" s="16">
        <v>4</v>
      </c>
      <c r="G434" s="18" t="s">
        <v>108</v>
      </c>
      <c r="H434" s="16"/>
      <c r="I434" s="16" t="s">
        <v>192</v>
      </c>
      <c r="J434" s="16" t="s">
        <v>193</v>
      </c>
      <c r="K434" s="16" t="s">
        <v>194</v>
      </c>
    </row>
    <row r="435" spans="1:11" ht="409.5" hidden="1" x14ac:dyDescent="0.25">
      <c r="A435" s="22">
        <v>464</v>
      </c>
      <c r="B435" s="16" t="s">
        <v>2064</v>
      </c>
      <c r="C435" s="16" t="s">
        <v>2065</v>
      </c>
      <c r="D435" s="16">
        <v>20675000</v>
      </c>
      <c r="E435" s="16">
        <v>2</v>
      </c>
      <c r="F435" s="16">
        <v>3</v>
      </c>
      <c r="G435" s="20" t="s">
        <v>1443</v>
      </c>
      <c r="H435" s="16"/>
      <c r="I435" s="16" t="s">
        <v>2066</v>
      </c>
      <c r="J435" s="16" t="s">
        <v>2067</v>
      </c>
      <c r="K435" s="16" t="s">
        <v>2068</v>
      </c>
    </row>
    <row r="436" spans="1:11" ht="409.5" hidden="1" x14ac:dyDescent="0.25">
      <c r="A436" s="22">
        <v>465</v>
      </c>
      <c r="B436" s="16" t="s">
        <v>2069</v>
      </c>
      <c r="C436" s="16" t="s">
        <v>2070</v>
      </c>
      <c r="D436" s="16">
        <v>20475000</v>
      </c>
      <c r="E436" s="16">
        <v>2</v>
      </c>
      <c r="F436" s="16">
        <v>5</v>
      </c>
      <c r="G436" s="20" t="s">
        <v>1443</v>
      </c>
      <c r="H436" s="16"/>
      <c r="I436" s="16" t="s">
        <v>2071</v>
      </c>
      <c r="J436" s="16" t="s">
        <v>2072</v>
      </c>
      <c r="K436" s="16" t="s">
        <v>2073</v>
      </c>
    </row>
    <row r="437" spans="1:11" ht="409.5" hidden="1" x14ac:dyDescent="0.25">
      <c r="A437" s="22">
        <v>466</v>
      </c>
      <c r="B437" s="16" t="s">
        <v>2074</v>
      </c>
      <c r="C437" s="16" t="s">
        <v>2075</v>
      </c>
      <c r="D437" s="16">
        <v>20475000</v>
      </c>
      <c r="E437" s="16">
        <v>2</v>
      </c>
      <c r="F437" s="16">
        <v>3</v>
      </c>
      <c r="G437" s="20" t="s">
        <v>1443</v>
      </c>
      <c r="H437" s="16"/>
      <c r="I437" s="16" t="s">
        <v>2076</v>
      </c>
      <c r="J437" s="16" t="s">
        <v>2077</v>
      </c>
      <c r="K437" s="16" t="s">
        <v>2078</v>
      </c>
    </row>
    <row r="438" spans="1:11" ht="225" hidden="1" x14ac:dyDescent="0.25">
      <c r="A438" s="22">
        <v>440</v>
      </c>
      <c r="B438" s="16" t="s">
        <v>1983</v>
      </c>
      <c r="C438" s="16" t="s">
        <v>1984</v>
      </c>
      <c r="D438" s="16">
        <v>20385000</v>
      </c>
      <c r="E438" s="16">
        <v>2</v>
      </c>
      <c r="F438" s="16">
        <v>4</v>
      </c>
      <c r="G438" s="20" t="s">
        <v>1443</v>
      </c>
      <c r="H438" s="16"/>
      <c r="I438" s="16" t="s">
        <v>1985</v>
      </c>
      <c r="J438" s="16" t="s">
        <v>1687</v>
      </c>
      <c r="K438" s="16" t="s">
        <v>1688</v>
      </c>
    </row>
    <row r="439" spans="1:11" ht="255" hidden="1" x14ac:dyDescent="0.25">
      <c r="A439" s="22">
        <v>334</v>
      </c>
      <c r="B439" s="16" t="s">
        <v>1530</v>
      </c>
      <c r="C439" s="16" t="s">
        <v>1531</v>
      </c>
      <c r="D439" s="16">
        <v>20375000</v>
      </c>
      <c r="E439" s="16">
        <v>2</v>
      </c>
      <c r="F439" s="16">
        <v>4</v>
      </c>
      <c r="G439" s="20" t="s">
        <v>1443</v>
      </c>
      <c r="H439" s="16"/>
      <c r="I439" s="16" t="s">
        <v>1532</v>
      </c>
      <c r="J439" s="16" t="s">
        <v>1533</v>
      </c>
      <c r="K439" s="16" t="s">
        <v>1534</v>
      </c>
    </row>
    <row r="440" spans="1:11" ht="409.5" hidden="1" x14ac:dyDescent="0.25">
      <c r="A440" s="22">
        <v>512</v>
      </c>
      <c r="B440" s="16" t="s">
        <v>2283</v>
      </c>
      <c r="C440" s="16" t="s">
        <v>2284</v>
      </c>
      <c r="D440" s="16">
        <v>20333000</v>
      </c>
      <c r="E440" s="16">
        <v>3</v>
      </c>
      <c r="F440" s="16">
        <v>3</v>
      </c>
      <c r="G440" s="20" t="s">
        <v>1443</v>
      </c>
      <c r="H440" s="16"/>
      <c r="I440" s="16" t="s">
        <v>2285</v>
      </c>
      <c r="J440" s="16" t="s">
        <v>2286</v>
      </c>
      <c r="K440" s="16" t="s">
        <v>2287</v>
      </c>
    </row>
    <row r="441" spans="1:11" ht="315" hidden="1" x14ac:dyDescent="0.25">
      <c r="A441" s="22">
        <v>207</v>
      </c>
      <c r="B441" s="16" t="s">
        <v>966</v>
      </c>
      <c r="C441" s="16" t="s">
        <v>967</v>
      </c>
      <c r="D441" s="16">
        <v>20320000</v>
      </c>
      <c r="E441" s="16">
        <v>3</v>
      </c>
      <c r="F441" s="16">
        <v>5</v>
      </c>
      <c r="G441" s="19" t="s">
        <v>842</v>
      </c>
      <c r="H441" s="16"/>
      <c r="I441" s="16" t="s">
        <v>968</v>
      </c>
      <c r="J441" s="16" t="s">
        <v>969</v>
      </c>
      <c r="K441" s="16" t="s">
        <v>970</v>
      </c>
    </row>
    <row r="442" spans="1:11" ht="345" hidden="1" x14ac:dyDescent="0.25">
      <c r="A442" s="22">
        <v>128</v>
      </c>
      <c r="B442" s="16" t="s">
        <v>612</v>
      </c>
      <c r="C442" s="16" t="s">
        <v>613</v>
      </c>
      <c r="D442" s="16">
        <v>20304400</v>
      </c>
      <c r="E442" s="16">
        <v>4</v>
      </c>
      <c r="F442" s="16">
        <v>5</v>
      </c>
      <c r="G442" s="18" t="s">
        <v>108</v>
      </c>
      <c r="H442" s="16"/>
      <c r="I442" s="16" t="s">
        <v>614</v>
      </c>
      <c r="J442" s="16" t="s">
        <v>615</v>
      </c>
      <c r="K442" s="16" t="s">
        <v>616</v>
      </c>
    </row>
    <row r="443" spans="1:11" ht="285" hidden="1" x14ac:dyDescent="0.25">
      <c r="A443" s="22">
        <v>381</v>
      </c>
      <c r="B443" s="16" t="s">
        <v>1732</v>
      </c>
      <c r="C443" s="16" t="s">
        <v>1733</v>
      </c>
      <c r="D443" s="16">
        <v>20052000</v>
      </c>
      <c r="E443" s="16">
        <v>2</v>
      </c>
      <c r="F443" s="16">
        <v>4</v>
      </c>
      <c r="G443" s="20" t="s">
        <v>1443</v>
      </c>
      <c r="H443" s="16"/>
      <c r="I443" s="16" t="s">
        <v>1734</v>
      </c>
      <c r="J443" s="16" t="s">
        <v>1735</v>
      </c>
      <c r="K443" s="16" t="s">
        <v>1736</v>
      </c>
    </row>
    <row r="444" spans="1:11" ht="270" hidden="1" x14ac:dyDescent="0.25">
      <c r="A444" s="22">
        <v>288</v>
      </c>
      <c r="B444" s="16" t="s">
        <v>1316</v>
      </c>
      <c r="C444" s="16" t="s">
        <v>1317</v>
      </c>
      <c r="D444" s="16">
        <v>20000000</v>
      </c>
      <c r="E444" s="16">
        <v>3</v>
      </c>
      <c r="F444" s="16">
        <v>4</v>
      </c>
      <c r="G444" s="19" t="s">
        <v>842</v>
      </c>
      <c r="H444" s="16"/>
      <c r="I444" s="16" t="s">
        <v>1318</v>
      </c>
      <c r="J444" s="16" t="s">
        <v>1319</v>
      </c>
      <c r="K444" s="16" t="s">
        <v>1320</v>
      </c>
    </row>
    <row r="445" spans="1:11" ht="210" hidden="1" x14ac:dyDescent="0.25">
      <c r="A445" s="22">
        <v>473</v>
      </c>
      <c r="B445" s="16" t="s">
        <v>2101</v>
      </c>
      <c r="C445" s="16" t="s">
        <v>2102</v>
      </c>
      <c r="D445" s="16">
        <v>20000000</v>
      </c>
      <c r="E445" s="16">
        <v>2</v>
      </c>
      <c r="F445" s="16">
        <v>5</v>
      </c>
      <c r="G445" s="20" t="s">
        <v>1443</v>
      </c>
      <c r="H445" s="16"/>
      <c r="I445" s="16" t="s">
        <v>2103</v>
      </c>
      <c r="J445" s="16" t="s">
        <v>2104</v>
      </c>
      <c r="K445" s="16" t="s">
        <v>2105</v>
      </c>
    </row>
    <row r="446" spans="1:11" ht="409.5" hidden="1" x14ac:dyDescent="0.25">
      <c r="A446" s="22">
        <v>513</v>
      </c>
      <c r="B446" s="16" t="s">
        <v>2288</v>
      </c>
      <c r="C446" s="16" t="s">
        <v>2289</v>
      </c>
      <c r="D446" s="16">
        <v>20000000</v>
      </c>
      <c r="E446" s="16">
        <v>2</v>
      </c>
      <c r="F446" s="16">
        <v>3</v>
      </c>
      <c r="G446" s="20" t="s">
        <v>1443</v>
      </c>
      <c r="H446" s="16"/>
      <c r="I446" s="16" t="s">
        <v>2290</v>
      </c>
      <c r="J446" s="16" t="s">
        <v>2291</v>
      </c>
      <c r="K446" s="16" t="s">
        <v>2292</v>
      </c>
    </row>
    <row r="447" spans="1:11" ht="409.5" hidden="1" x14ac:dyDescent="0.25">
      <c r="A447" s="22">
        <v>541</v>
      </c>
      <c r="B447" s="16" t="s">
        <v>2417</v>
      </c>
      <c r="C447" s="16" t="s">
        <v>2418</v>
      </c>
      <c r="D447" s="16">
        <v>20000000</v>
      </c>
      <c r="E447" s="16">
        <v>3</v>
      </c>
      <c r="F447" s="16">
        <v>3</v>
      </c>
      <c r="G447" s="20" t="s">
        <v>1443</v>
      </c>
      <c r="H447" s="16"/>
      <c r="I447" s="16" t="s">
        <v>2419</v>
      </c>
      <c r="J447" s="16" t="s">
        <v>2420</v>
      </c>
      <c r="K447" s="16" t="s">
        <v>2421</v>
      </c>
    </row>
    <row r="448" spans="1:11" ht="409.5" hidden="1" x14ac:dyDescent="0.25">
      <c r="A448" s="22">
        <v>695</v>
      </c>
      <c r="B448" s="16" t="s">
        <v>3033</v>
      </c>
      <c r="C448" s="16" t="s">
        <v>3034</v>
      </c>
      <c r="D448" s="16">
        <v>20000000</v>
      </c>
      <c r="E448" s="16">
        <v>2</v>
      </c>
      <c r="F448" s="16">
        <v>2</v>
      </c>
      <c r="G448" s="21" t="s">
        <v>2807</v>
      </c>
      <c r="H448" s="16"/>
      <c r="I448" s="16" t="s">
        <v>3035</v>
      </c>
      <c r="J448" s="16" t="s">
        <v>3036</v>
      </c>
      <c r="K448" s="16" t="s">
        <v>2421</v>
      </c>
    </row>
    <row r="449" spans="1:11" ht="225" hidden="1" x14ac:dyDescent="0.25">
      <c r="A449" s="22">
        <v>100</v>
      </c>
      <c r="B449" s="16" t="s">
        <v>476</v>
      </c>
      <c r="C449" s="16" t="s">
        <v>477</v>
      </c>
      <c r="D449" s="16">
        <v>19875000</v>
      </c>
      <c r="E449" s="16">
        <v>4</v>
      </c>
      <c r="F449" s="16">
        <v>4</v>
      </c>
      <c r="G449" s="18" t="s">
        <v>108</v>
      </c>
      <c r="H449" s="16"/>
      <c r="I449" s="16" t="s">
        <v>478</v>
      </c>
      <c r="J449" s="16" t="s">
        <v>479</v>
      </c>
      <c r="K449" s="16" t="s">
        <v>480</v>
      </c>
    </row>
    <row r="450" spans="1:11" ht="360" hidden="1" x14ac:dyDescent="0.25">
      <c r="A450" s="22">
        <v>561</v>
      </c>
      <c r="B450" s="16" t="s">
        <v>2507</v>
      </c>
      <c r="C450" s="16" t="s">
        <v>2508</v>
      </c>
      <c r="D450" s="16">
        <v>19800000</v>
      </c>
      <c r="E450" s="16">
        <v>2</v>
      </c>
      <c r="F450" s="16">
        <v>3</v>
      </c>
      <c r="G450" s="20" t="s">
        <v>1443</v>
      </c>
      <c r="H450" s="16"/>
      <c r="I450" s="16" t="s">
        <v>2502</v>
      </c>
      <c r="J450" s="16" t="s">
        <v>2509</v>
      </c>
      <c r="K450" s="16" t="s">
        <v>2491</v>
      </c>
    </row>
    <row r="451" spans="1:11" ht="180" hidden="1" x14ac:dyDescent="0.25">
      <c r="A451" s="22">
        <v>627</v>
      </c>
      <c r="B451" s="16" t="s">
        <v>2742</v>
      </c>
      <c r="C451" s="16" t="s">
        <v>2743</v>
      </c>
      <c r="D451" s="16">
        <v>19600000</v>
      </c>
      <c r="E451" s="16">
        <v>2</v>
      </c>
      <c r="F451" s="16">
        <v>4</v>
      </c>
      <c r="G451" s="20" t="s">
        <v>1443</v>
      </c>
      <c r="H451" s="16"/>
      <c r="I451" s="16" t="s">
        <v>2744</v>
      </c>
      <c r="J451" s="16" t="s">
        <v>2745</v>
      </c>
      <c r="K451" s="16" t="s">
        <v>2746</v>
      </c>
    </row>
    <row r="452" spans="1:11" ht="285" hidden="1" x14ac:dyDescent="0.25">
      <c r="A452" s="22">
        <v>204</v>
      </c>
      <c r="B452" s="16" t="s">
        <v>954</v>
      </c>
      <c r="C452" s="16" t="s">
        <v>955</v>
      </c>
      <c r="D452" s="16">
        <v>19475000</v>
      </c>
      <c r="E452" s="16">
        <v>4</v>
      </c>
      <c r="F452" s="16">
        <v>3</v>
      </c>
      <c r="G452" s="19" t="s">
        <v>842</v>
      </c>
      <c r="H452" s="16"/>
      <c r="I452" s="16" t="s">
        <v>956</v>
      </c>
      <c r="J452" s="16" t="s">
        <v>957</v>
      </c>
      <c r="K452" s="16" t="s">
        <v>958</v>
      </c>
    </row>
    <row r="453" spans="1:11" ht="409.5" hidden="1" x14ac:dyDescent="0.25">
      <c r="A453" s="22">
        <v>463</v>
      </c>
      <c r="B453" s="16" t="s">
        <v>2059</v>
      </c>
      <c r="C453" s="16" t="s">
        <v>2060</v>
      </c>
      <c r="D453" s="16">
        <v>19466000</v>
      </c>
      <c r="E453" s="16">
        <v>2</v>
      </c>
      <c r="F453" s="16">
        <v>4</v>
      </c>
      <c r="G453" s="20" t="s">
        <v>1443</v>
      </c>
      <c r="H453" s="16"/>
      <c r="I453" s="16" t="s">
        <v>2061</v>
      </c>
      <c r="J453" s="16" t="s">
        <v>2062</v>
      </c>
      <c r="K453" s="16" t="s">
        <v>2063</v>
      </c>
    </row>
    <row r="454" spans="1:11" ht="270" hidden="1" x14ac:dyDescent="0.25">
      <c r="A454" s="22">
        <v>198</v>
      </c>
      <c r="B454" s="16" t="s">
        <v>927</v>
      </c>
      <c r="C454" s="16" t="s">
        <v>928</v>
      </c>
      <c r="D454" s="16">
        <v>19425000</v>
      </c>
      <c r="E454" s="16">
        <v>3</v>
      </c>
      <c r="F454" s="16">
        <v>5</v>
      </c>
      <c r="G454" s="19" t="s">
        <v>842</v>
      </c>
      <c r="H454" s="16"/>
      <c r="I454" s="16" t="s">
        <v>929</v>
      </c>
      <c r="J454" s="16" t="s">
        <v>930</v>
      </c>
      <c r="K454" s="16" t="s">
        <v>931</v>
      </c>
    </row>
    <row r="455" spans="1:11" ht="390" hidden="1" x14ac:dyDescent="0.25">
      <c r="A455" s="22">
        <v>536</v>
      </c>
      <c r="B455" s="16" t="s">
        <v>2398</v>
      </c>
      <c r="C455" s="16" t="s">
        <v>2399</v>
      </c>
      <c r="D455" s="16">
        <v>19395000</v>
      </c>
      <c r="E455" s="16">
        <v>3</v>
      </c>
      <c r="F455" s="16">
        <v>3</v>
      </c>
      <c r="G455" s="20" t="s">
        <v>1443</v>
      </c>
      <c r="H455" s="16"/>
      <c r="I455" s="16" t="s">
        <v>642</v>
      </c>
      <c r="J455" s="16" t="s">
        <v>2400</v>
      </c>
      <c r="K455" s="16" t="s">
        <v>2401</v>
      </c>
    </row>
    <row r="456" spans="1:11" ht="390" hidden="1" x14ac:dyDescent="0.25">
      <c r="A456" s="22">
        <v>59</v>
      </c>
      <c r="B456" s="16" t="s">
        <v>293</v>
      </c>
      <c r="C456" s="16" t="s">
        <v>294</v>
      </c>
      <c r="D456" s="16">
        <v>19320000</v>
      </c>
      <c r="E456" s="16">
        <v>4</v>
      </c>
      <c r="F456" s="16">
        <v>4</v>
      </c>
      <c r="G456" s="18" t="s">
        <v>108</v>
      </c>
      <c r="H456" s="16"/>
      <c r="I456" s="16" t="s">
        <v>295</v>
      </c>
      <c r="J456" s="16" t="s">
        <v>296</v>
      </c>
      <c r="K456" s="16" t="s">
        <v>292</v>
      </c>
    </row>
    <row r="457" spans="1:11" ht="210" hidden="1" x14ac:dyDescent="0.25">
      <c r="A457" s="22">
        <v>226</v>
      </c>
      <c r="B457" s="16" t="s">
        <v>1044</v>
      </c>
      <c r="C457" s="16" t="s">
        <v>1045</v>
      </c>
      <c r="D457" s="16">
        <v>19320000</v>
      </c>
      <c r="E457" s="16">
        <v>3</v>
      </c>
      <c r="F457" s="16">
        <v>5</v>
      </c>
      <c r="G457" s="19" t="s">
        <v>842</v>
      </c>
      <c r="H457" s="16"/>
      <c r="I457" s="16" t="s">
        <v>124</v>
      </c>
      <c r="J457" s="16" t="s">
        <v>1046</v>
      </c>
      <c r="K457" s="16" t="s">
        <v>1047</v>
      </c>
    </row>
    <row r="458" spans="1:11" ht="405" hidden="1" x14ac:dyDescent="0.25">
      <c r="A458" s="22">
        <v>386</v>
      </c>
      <c r="B458" s="16" t="s">
        <v>1753</v>
      </c>
      <c r="C458" s="16" t="s">
        <v>1754</v>
      </c>
      <c r="D458" s="16">
        <v>19200000</v>
      </c>
      <c r="E458" s="16">
        <v>3</v>
      </c>
      <c r="F458" s="16">
        <v>3</v>
      </c>
      <c r="G458" s="20" t="s">
        <v>1443</v>
      </c>
      <c r="H458" s="16"/>
      <c r="I458" s="16" t="s">
        <v>1663</v>
      </c>
      <c r="J458" s="16" t="s">
        <v>1755</v>
      </c>
      <c r="K458" s="16" t="s">
        <v>1756</v>
      </c>
    </row>
    <row r="459" spans="1:11" ht="195" hidden="1" x14ac:dyDescent="0.25">
      <c r="A459" s="22">
        <v>101</v>
      </c>
      <c r="B459" s="16" t="s">
        <v>481</v>
      </c>
      <c r="C459" s="16" t="s">
        <v>482</v>
      </c>
      <c r="D459" s="16">
        <v>19175000</v>
      </c>
      <c r="E459" s="16">
        <v>4</v>
      </c>
      <c r="F459" s="16">
        <v>4</v>
      </c>
      <c r="G459" s="18" t="s">
        <v>108</v>
      </c>
      <c r="H459" s="16"/>
      <c r="I459" s="16" t="s">
        <v>426</v>
      </c>
      <c r="J459" s="16" t="s">
        <v>483</v>
      </c>
      <c r="K459" s="16" t="s">
        <v>484</v>
      </c>
    </row>
    <row r="460" spans="1:11" ht="240" hidden="1" x14ac:dyDescent="0.25">
      <c r="A460" s="22">
        <v>472</v>
      </c>
      <c r="B460" s="16" t="s">
        <v>2096</v>
      </c>
      <c r="C460" s="16" t="s">
        <v>2097</v>
      </c>
      <c r="D460" s="16">
        <v>19145000</v>
      </c>
      <c r="E460" s="16">
        <v>2</v>
      </c>
      <c r="F460" s="16">
        <v>5</v>
      </c>
      <c r="G460" s="20" t="s">
        <v>1443</v>
      </c>
      <c r="H460" s="16"/>
      <c r="I460" s="16" t="s">
        <v>2098</v>
      </c>
      <c r="J460" s="16" t="s">
        <v>2099</v>
      </c>
      <c r="K460" s="16" t="s">
        <v>2100</v>
      </c>
    </row>
    <row r="461" spans="1:11" ht="300" hidden="1" x14ac:dyDescent="0.25">
      <c r="A461" s="22">
        <v>388</v>
      </c>
      <c r="B461" s="16" t="s">
        <v>1762</v>
      </c>
      <c r="C461" s="16" t="s">
        <v>1763</v>
      </c>
      <c r="D461" s="16">
        <v>18990000</v>
      </c>
      <c r="E461" s="16">
        <v>3</v>
      </c>
      <c r="F461" s="16">
        <v>3</v>
      </c>
      <c r="G461" s="20" t="s">
        <v>1443</v>
      </c>
      <c r="H461" s="16"/>
      <c r="I461" s="16" t="s">
        <v>1764</v>
      </c>
      <c r="J461" s="16" t="s">
        <v>1765</v>
      </c>
      <c r="K461" s="16" t="s">
        <v>1766</v>
      </c>
    </row>
    <row r="462" spans="1:11" ht="390" hidden="1" x14ac:dyDescent="0.25">
      <c r="A462" s="22">
        <v>435</v>
      </c>
      <c r="B462" s="16" t="s">
        <v>1965</v>
      </c>
      <c r="C462" s="16" t="s">
        <v>1966</v>
      </c>
      <c r="D462" s="16">
        <v>18790000</v>
      </c>
      <c r="E462" s="16">
        <v>3</v>
      </c>
      <c r="F462" s="16">
        <v>3</v>
      </c>
      <c r="G462" s="20" t="s">
        <v>1443</v>
      </c>
      <c r="H462" s="16"/>
      <c r="I462" s="16" t="s">
        <v>1663</v>
      </c>
      <c r="J462" s="16" t="s">
        <v>1967</v>
      </c>
      <c r="K462" s="16" t="s">
        <v>1968</v>
      </c>
    </row>
    <row r="463" spans="1:11" ht="285" hidden="1" x14ac:dyDescent="0.25">
      <c r="A463" s="22">
        <v>49</v>
      </c>
      <c r="B463" s="16" t="s">
        <v>251</v>
      </c>
      <c r="C463" s="16" t="s">
        <v>252</v>
      </c>
      <c r="D463" s="16">
        <v>18350000</v>
      </c>
      <c r="E463" s="16">
        <v>4</v>
      </c>
      <c r="F463" s="16">
        <v>5</v>
      </c>
      <c r="G463" s="18" t="s">
        <v>108</v>
      </c>
      <c r="H463" s="16"/>
      <c r="I463" s="16" t="s">
        <v>253</v>
      </c>
      <c r="J463" s="16" t="s">
        <v>254</v>
      </c>
      <c r="K463" s="16" t="s">
        <v>255</v>
      </c>
    </row>
    <row r="464" spans="1:11" ht="210" hidden="1" x14ac:dyDescent="0.25">
      <c r="A464" s="22">
        <v>107</v>
      </c>
      <c r="B464" s="16" t="s">
        <v>510</v>
      </c>
      <c r="C464" s="16" t="s">
        <v>511</v>
      </c>
      <c r="D464" s="16">
        <v>18123000</v>
      </c>
      <c r="E464" s="16">
        <v>4</v>
      </c>
      <c r="F464" s="16">
        <v>4</v>
      </c>
      <c r="G464" s="18" t="s">
        <v>108</v>
      </c>
      <c r="H464" s="16"/>
      <c r="I464" s="16" t="s">
        <v>512</v>
      </c>
      <c r="J464" s="16" t="s">
        <v>513</v>
      </c>
      <c r="K464" s="16" t="s">
        <v>514</v>
      </c>
    </row>
    <row r="465" spans="1:11" ht="285" hidden="1" x14ac:dyDescent="0.25">
      <c r="A465" s="22">
        <v>387</v>
      </c>
      <c r="B465" s="16" t="s">
        <v>1757</v>
      </c>
      <c r="C465" s="16" t="s">
        <v>1758</v>
      </c>
      <c r="D465" s="16">
        <v>18120000</v>
      </c>
      <c r="E465" s="16">
        <v>2</v>
      </c>
      <c r="F465" s="16">
        <v>5</v>
      </c>
      <c r="G465" s="20" t="s">
        <v>1443</v>
      </c>
      <c r="H465" s="16"/>
      <c r="I465" s="16" t="s">
        <v>1759</v>
      </c>
      <c r="J465" s="16" t="s">
        <v>1760</v>
      </c>
      <c r="K465" s="16" t="s">
        <v>1761</v>
      </c>
    </row>
    <row r="466" spans="1:11" ht="270" hidden="1" x14ac:dyDescent="0.25">
      <c r="A466" s="22">
        <v>397</v>
      </c>
      <c r="B466" s="16" t="s">
        <v>1803</v>
      </c>
      <c r="C466" s="16" t="s">
        <v>1804</v>
      </c>
      <c r="D466" s="16">
        <v>18106000</v>
      </c>
      <c r="E466" s="16">
        <v>2</v>
      </c>
      <c r="F466" s="16">
        <v>5</v>
      </c>
      <c r="G466" s="20" t="s">
        <v>1443</v>
      </c>
      <c r="H466" s="16"/>
      <c r="I466" s="16" t="s">
        <v>1805</v>
      </c>
      <c r="J466" s="16" t="s">
        <v>1806</v>
      </c>
      <c r="K466" s="16" t="s">
        <v>1807</v>
      </c>
    </row>
    <row r="467" spans="1:11" ht="195" hidden="1" x14ac:dyDescent="0.25">
      <c r="A467" s="22">
        <v>223</v>
      </c>
      <c r="B467" s="16" t="s">
        <v>1036</v>
      </c>
      <c r="C467" s="16" t="s">
        <v>1037</v>
      </c>
      <c r="D467" s="16">
        <v>18080000</v>
      </c>
      <c r="E467" s="16">
        <v>3</v>
      </c>
      <c r="F467" s="16">
        <v>5</v>
      </c>
      <c r="G467" s="19" t="s">
        <v>842</v>
      </c>
      <c r="H467" s="16"/>
      <c r="I467" s="16" t="s">
        <v>129</v>
      </c>
      <c r="J467" s="16" t="s">
        <v>997</v>
      </c>
      <c r="K467" s="16" t="s">
        <v>998</v>
      </c>
    </row>
    <row r="468" spans="1:11" ht="360" hidden="1" x14ac:dyDescent="0.25">
      <c r="A468" s="22">
        <v>529</v>
      </c>
      <c r="B468" s="16" t="s">
        <v>2366</v>
      </c>
      <c r="C468" s="16" t="s">
        <v>2367</v>
      </c>
      <c r="D468" s="16">
        <v>18000000</v>
      </c>
      <c r="E468" s="16">
        <v>2</v>
      </c>
      <c r="F468" s="16">
        <v>5</v>
      </c>
      <c r="G468" s="20" t="s">
        <v>1443</v>
      </c>
      <c r="H468" s="16"/>
      <c r="I468" s="16" t="s">
        <v>2368</v>
      </c>
      <c r="J468" s="16" t="s">
        <v>2369</v>
      </c>
      <c r="K468" s="16" t="s">
        <v>2370</v>
      </c>
    </row>
    <row r="469" spans="1:11" ht="270" hidden="1" x14ac:dyDescent="0.25">
      <c r="A469" s="22">
        <v>196</v>
      </c>
      <c r="B469" s="16" t="s">
        <v>917</v>
      </c>
      <c r="C469" s="16" t="s">
        <v>918</v>
      </c>
      <c r="D469" s="16">
        <v>17975000</v>
      </c>
      <c r="E469" s="16">
        <v>3</v>
      </c>
      <c r="F469" s="16">
        <v>4</v>
      </c>
      <c r="G469" s="19" t="s">
        <v>842</v>
      </c>
      <c r="H469" s="16"/>
      <c r="I469" s="16" t="s">
        <v>919</v>
      </c>
      <c r="J469" s="16" t="s">
        <v>920</v>
      </c>
      <c r="K469" s="16" t="s">
        <v>921</v>
      </c>
    </row>
    <row r="470" spans="1:11" ht="255" hidden="1" x14ac:dyDescent="0.25">
      <c r="A470" s="22">
        <v>197</v>
      </c>
      <c r="B470" s="16" t="s">
        <v>922</v>
      </c>
      <c r="C470" s="16" t="s">
        <v>923</v>
      </c>
      <c r="D470" s="16">
        <v>17869000</v>
      </c>
      <c r="E470" s="16">
        <v>3</v>
      </c>
      <c r="F470" s="16">
        <v>4</v>
      </c>
      <c r="G470" s="19" t="s">
        <v>842</v>
      </c>
      <c r="H470" s="16"/>
      <c r="I470" s="16" t="s">
        <v>924</v>
      </c>
      <c r="J470" s="16" t="s">
        <v>925</v>
      </c>
      <c r="K470" s="16" t="s">
        <v>926</v>
      </c>
    </row>
    <row r="471" spans="1:11" ht="300" hidden="1" x14ac:dyDescent="0.25">
      <c r="A471" s="22">
        <v>628</v>
      </c>
      <c r="B471" s="16" t="s">
        <v>2747</v>
      </c>
      <c r="C471" s="16" t="s">
        <v>2748</v>
      </c>
      <c r="D471" s="16">
        <v>17690000</v>
      </c>
      <c r="E471" s="16">
        <v>3</v>
      </c>
      <c r="F471" s="16">
        <v>2</v>
      </c>
      <c r="G471" s="20" t="s">
        <v>1443</v>
      </c>
      <c r="H471" s="16"/>
      <c r="I471" s="16" t="s">
        <v>2749</v>
      </c>
      <c r="J471" s="16" t="s">
        <v>2750</v>
      </c>
      <c r="K471" s="16" t="s">
        <v>2751</v>
      </c>
    </row>
    <row r="472" spans="1:11" ht="330" hidden="1" x14ac:dyDescent="0.25">
      <c r="A472" s="22">
        <v>364</v>
      </c>
      <c r="B472" s="16" t="s">
        <v>1669</v>
      </c>
      <c r="C472" s="16" t="s">
        <v>1670</v>
      </c>
      <c r="D472" s="16">
        <v>17553000</v>
      </c>
      <c r="E472" s="16">
        <v>2</v>
      </c>
      <c r="F472" s="16">
        <v>3</v>
      </c>
      <c r="G472" s="20" t="s">
        <v>1443</v>
      </c>
      <c r="H472" s="16"/>
      <c r="I472" s="16" t="s">
        <v>1671</v>
      </c>
      <c r="J472" s="16" t="s">
        <v>1672</v>
      </c>
      <c r="K472" s="16" t="s">
        <v>1673</v>
      </c>
    </row>
    <row r="473" spans="1:11" ht="225" hidden="1" x14ac:dyDescent="0.25">
      <c r="A473" s="22">
        <v>12</v>
      </c>
      <c r="B473" s="16" t="s">
        <v>78</v>
      </c>
      <c r="C473" s="16" t="s">
        <v>79</v>
      </c>
      <c r="D473" s="16">
        <v>17500000</v>
      </c>
      <c r="E473" s="16">
        <v>5</v>
      </c>
      <c r="F473" s="16">
        <v>5</v>
      </c>
      <c r="G473" s="17" t="s">
        <v>31</v>
      </c>
      <c r="H473" s="16"/>
      <c r="I473" s="16" t="s">
        <v>80</v>
      </c>
      <c r="J473" s="16" t="s">
        <v>81</v>
      </c>
      <c r="K473" s="16" t="s">
        <v>82</v>
      </c>
    </row>
    <row r="474" spans="1:11" ht="409.5" hidden="1" x14ac:dyDescent="0.25">
      <c r="A474" s="22">
        <v>143</v>
      </c>
      <c r="B474" s="16" t="s">
        <v>678</v>
      </c>
      <c r="C474" s="16" t="s">
        <v>679</v>
      </c>
      <c r="D474" s="16">
        <v>17500000</v>
      </c>
      <c r="E474" s="16">
        <v>4</v>
      </c>
      <c r="F474" s="16">
        <v>4</v>
      </c>
      <c r="G474" s="18" t="s">
        <v>108</v>
      </c>
      <c r="H474" s="16"/>
      <c r="I474" s="16" t="s">
        <v>680</v>
      </c>
      <c r="J474" s="16" t="s">
        <v>681</v>
      </c>
      <c r="K474" s="16" t="s">
        <v>682</v>
      </c>
    </row>
    <row r="475" spans="1:11" ht="409.5" hidden="1" x14ac:dyDescent="0.25">
      <c r="A475" s="22">
        <v>389</v>
      </c>
      <c r="B475" s="16" t="s">
        <v>1767</v>
      </c>
      <c r="C475" s="16" t="s">
        <v>1768</v>
      </c>
      <c r="D475" s="16">
        <v>17475000</v>
      </c>
      <c r="E475" s="16">
        <v>3</v>
      </c>
      <c r="F475" s="16">
        <v>3</v>
      </c>
      <c r="G475" s="20" t="s">
        <v>1443</v>
      </c>
      <c r="H475" s="16"/>
      <c r="I475" s="16" t="s">
        <v>1769</v>
      </c>
      <c r="J475" s="16" t="s">
        <v>1770</v>
      </c>
      <c r="K475" s="16" t="s">
        <v>1771</v>
      </c>
    </row>
    <row r="476" spans="1:11" ht="360" hidden="1" x14ac:dyDescent="0.25">
      <c r="A476" s="22">
        <v>393</v>
      </c>
      <c r="B476" s="16" t="s">
        <v>1785</v>
      </c>
      <c r="C476" s="16" t="s">
        <v>1786</v>
      </c>
      <c r="D476" s="16">
        <v>17455000</v>
      </c>
      <c r="E476" s="16">
        <v>2</v>
      </c>
      <c r="F476" s="16">
        <v>5</v>
      </c>
      <c r="G476" s="20" t="s">
        <v>1443</v>
      </c>
      <c r="H476" s="16"/>
      <c r="I476" s="16" t="s">
        <v>1787</v>
      </c>
      <c r="J476" s="16" t="s">
        <v>1788</v>
      </c>
      <c r="K476" s="16" t="s">
        <v>1789</v>
      </c>
    </row>
    <row r="477" spans="1:11" ht="300" hidden="1" x14ac:dyDescent="0.25">
      <c r="A477" s="22">
        <v>658</v>
      </c>
      <c r="B477" s="16" t="s">
        <v>2875</v>
      </c>
      <c r="C477" s="16" t="s">
        <v>2876</v>
      </c>
      <c r="D477" s="16">
        <v>17383000</v>
      </c>
      <c r="E477" s="16">
        <v>2</v>
      </c>
      <c r="F477" s="16">
        <v>2</v>
      </c>
      <c r="G477" s="21" t="s">
        <v>2807</v>
      </c>
      <c r="H477" s="16"/>
      <c r="I477" s="16" t="s">
        <v>2877</v>
      </c>
      <c r="J477" s="16" t="s">
        <v>2878</v>
      </c>
      <c r="K477" s="16" t="s">
        <v>2879</v>
      </c>
    </row>
    <row r="478" spans="1:11" ht="225" hidden="1" x14ac:dyDescent="0.25">
      <c r="A478" s="22">
        <v>28</v>
      </c>
      <c r="B478" s="16" t="s">
        <v>150</v>
      </c>
      <c r="C478" s="16" t="s">
        <v>151</v>
      </c>
      <c r="D478" s="16">
        <v>17315000</v>
      </c>
      <c r="E478" s="16">
        <v>4</v>
      </c>
      <c r="F478" s="16">
        <v>4</v>
      </c>
      <c r="G478" s="18" t="s">
        <v>108</v>
      </c>
      <c r="H478" s="16"/>
      <c r="I478" s="16" t="s">
        <v>152</v>
      </c>
      <c r="J478" s="16" t="s">
        <v>153</v>
      </c>
      <c r="K478" s="16" t="s">
        <v>154</v>
      </c>
    </row>
    <row r="479" spans="1:11" ht="285" hidden="1" x14ac:dyDescent="0.25">
      <c r="A479" s="22">
        <v>35</v>
      </c>
      <c r="B479" s="16" t="s">
        <v>185</v>
      </c>
      <c r="C479" s="16" t="s">
        <v>186</v>
      </c>
      <c r="D479" s="16">
        <v>17315000</v>
      </c>
      <c r="E479" s="16">
        <v>4</v>
      </c>
      <c r="F479" s="16">
        <v>4</v>
      </c>
      <c r="G479" s="18" t="s">
        <v>108</v>
      </c>
      <c r="H479" s="16"/>
      <c r="I479" s="16" t="s">
        <v>187</v>
      </c>
      <c r="J479" s="16" t="s">
        <v>188</v>
      </c>
      <c r="K479" s="16" t="s">
        <v>189</v>
      </c>
    </row>
    <row r="480" spans="1:11" ht="210" hidden="1" x14ac:dyDescent="0.25">
      <c r="A480" s="22">
        <v>21</v>
      </c>
      <c r="B480" s="16" t="s">
        <v>122</v>
      </c>
      <c r="C480" s="16" t="s">
        <v>123</v>
      </c>
      <c r="D480" s="16">
        <v>17240000</v>
      </c>
      <c r="E480" s="16">
        <v>4</v>
      </c>
      <c r="F480" s="16">
        <v>5</v>
      </c>
      <c r="G480" s="18" t="s">
        <v>108</v>
      </c>
      <c r="H480" s="16"/>
      <c r="I480" s="16" t="s">
        <v>124</v>
      </c>
      <c r="J480" s="16" t="s">
        <v>125</v>
      </c>
      <c r="K480" s="16" t="s">
        <v>126</v>
      </c>
    </row>
    <row r="481" spans="1:11" ht="255" hidden="1" x14ac:dyDescent="0.25">
      <c r="A481" s="22">
        <v>650</v>
      </c>
      <c r="B481" s="16" t="s">
        <v>2838</v>
      </c>
      <c r="C481" s="16" t="s">
        <v>2839</v>
      </c>
      <c r="D481" s="16">
        <v>16956000</v>
      </c>
      <c r="E481" s="16">
        <v>1</v>
      </c>
      <c r="F481" s="16">
        <v>3</v>
      </c>
      <c r="G481" s="21" t="s">
        <v>2807</v>
      </c>
      <c r="H481" s="16"/>
      <c r="I481" s="16" t="s">
        <v>2840</v>
      </c>
      <c r="J481" s="16" t="s">
        <v>2841</v>
      </c>
      <c r="K481" s="16" t="s">
        <v>2842</v>
      </c>
    </row>
    <row r="482" spans="1:11" ht="240" hidden="1" x14ac:dyDescent="0.25">
      <c r="A482" s="22">
        <v>316</v>
      </c>
      <c r="B482" s="16" t="s">
        <v>1447</v>
      </c>
      <c r="C482" s="16" t="s">
        <v>1448</v>
      </c>
      <c r="D482" s="16">
        <v>16815000</v>
      </c>
      <c r="E482" s="16">
        <v>2</v>
      </c>
      <c r="F482" s="16">
        <v>5</v>
      </c>
      <c r="G482" s="20" t="s">
        <v>1443</v>
      </c>
      <c r="H482" s="16"/>
      <c r="I482" s="16" t="s">
        <v>1449</v>
      </c>
      <c r="J482" s="16" t="s">
        <v>1450</v>
      </c>
      <c r="K482" s="16" t="s">
        <v>1451</v>
      </c>
    </row>
    <row r="483" spans="1:11" ht="409.5" hidden="1" x14ac:dyDescent="0.25">
      <c r="A483" s="22">
        <v>346</v>
      </c>
      <c r="B483" s="16" t="s">
        <v>1584</v>
      </c>
      <c r="C483" s="16" t="s">
        <v>1585</v>
      </c>
      <c r="D483" s="16">
        <v>16590000</v>
      </c>
      <c r="E483" s="16">
        <v>2</v>
      </c>
      <c r="F483" s="16">
        <v>3</v>
      </c>
      <c r="G483" s="20" t="s">
        <v>1443</v>
      </c>
      <c r="H483" s="16"/>
      <c r="I483" s="16" t="s">
        <v>1586</v>
      </c>
      <c r="J483" s="16" t="s">
        <v>1587</v>
      </c>
      <c r="K483" s="16" t="s">
        <v>1588</v>
      </c>
    </row>
    <row r="484" spans="1:11" ht="225" hidden="1" x14ac:dyDescent="0.25">
      <c r="A484" s="22">
        <v>367</v>
      </c>
      <c r="B484" s="16" t="s">
        <v>1684</v>
      </c>
      <c r="C484" s="16" t="s">
        <v>1685</v>
      </c>
      <c r="D484" s="16">
        <v>16400000</v>
      </c>
      <c r="E484" s="16">
        <v>2</v>
      </c>
      <c r="F484" s="16">
        <v>4</v>
      </c>
      <c r="G484" s="20" t="s">
        <v>1443</v>
      </c>
      <c r="H484" s="16"/>
      <c r="I484" s="16" t="s">
        <v>1686</v>
      </c>
      <c r="J484" s="16" t="s">
        <v>1687</v>
      </c>
      <c r="K484" s="16" t="s">
        <v>1688</v>
      </c>
    </row>
    <row r="485" spans="1:11" ht="195" hidden="1" x14ac:dyDescent="0.25">
      <c r="A485" s="22">
        <v>298</v>
      </c>
      <c r="B485" s="16" t="s">
        <v>1363</v>
      </c>
      <c r="C485" s="16" t="s">
        <v>1364</v>
      </c>
      <c r="D485" s="16">
        <v>16380000</v>
      </c>
      <c r="E485" s="16">
        <v>3</v>
      </c>
      <c r="F485" s="16">
        <v>4</v>
      </c>
      <c r="G485" s="19" t="s">
        <v>842</v>
      </c>
      <c r="H485" s="16"/>
      <c r="I485" s="16" t="s">
        <v>1365</v>
      </c>
      <c r="J485" s="16" t="s">
        <v>1366</v>
      </c>
      <c r="K485" s="16" t="s">
        <v>1367</v>
      </c>
    </row>
    <row r="486" spans="1:11" ht="315" hidden="1" x14ac:dyDescent="0.25">
      <c r="A486" s="22">
        <v>471</v>
      </c>
      <c r="B486" s="16" t="s">
        <v>2093</v>
      </c>
      <c r="C486" s="16" t="s">
        <v>2094</v>
      </c>
      <c r="D486" s="16">
        <v>16275000</v>
      </c>
      <c r="E486" s="16">
        <v>2</v>
      </c>
      <c r="F486" s="16">
        <v>5</v>
      </c>
      <c r="G486" s="20" t="s">
        <v>1443</v>
      </c>
      <c r="H486" s="16"/>
      <c r="I486" s="16" t="s">
        <v>390</v>
      </c>
      <c r="J486" s="16" t="s">
        <v>2095</v>
      </c>
      <c r="K486" s="16" t="s">
        <v>392</v>
      </c>
    </row>
    <row r="487" spans="1:11" ht="409.5" hidden="1" x14ac:dyDescent="0.25">
      <c r="A487" s="22">
        <v>361</v>
      </c>
      <c r="B487" s="16" t="s">
        <v>1656</v>
      </c>
      <c r="C487" s="16" t="s">
        <v>1657</v>
      </c>
      <c r="D487" s="16">
        <v>16265000</v>
      </c>
      <c r="E487" s="16">
        <v>2</v>
      </c>
      <c r="F487" s="16">
        <v>3</v>
      </c>
      <c r="G487" s="20" t="s">
        <v>1443</v>
      </c>
      <c r="H487" s="16"/>
      <c r="I487" s="16" t="s">
        <v>1658</v>
      </c>
      <c r="J487" s="16" t="s">
        <v>1659</v>
      </c>
      <c r="K487" s="16" t="s">
        <v>1660</v>
      </c>
    </row>
    <row r="488" spans="1:11" ht="90" hidden="1" x14ac:dyDescent="0.25">
      <c r="A488" s="22">
        <v>698</v>
      </c>
      <c r="B488" s="16" t="s">
        <v>3046</v>
      </c>
      <c r="C488" s="16" t="s">
        <v>3047</v>
      </c>
      <c r="D488" s="16">
        <v>16200000</v>
      </c>
      <c r="E488" s="16">
        <v>2</v>
      </c>
      <c r="F488" s="16">
        <v>2</v>
      </c>
      <c r="G488" s="21" t="s">
        <v>2807</v>
      </c>
      <c r="H488" s="16"/>
      <c r="I488" s="16" t="s">
        <v>3048</v>
      </c>
      <c r="J488" s="16" t="s">
        <v>3049</v>
      </c>
      <c r="K488" s="16" t="s">
        <v>3050</v>
      </c>
    </row>
    <row r="489" spans="1:11" ht="270" hidden="1" x14ac:dyDescent="0.25">
      <c r="A489" s="22">
        <v>227</v>
      </c>
      <c r="B489" s="16" t="s">
        <v>1048</v>
      </c>
      <c r="C489" s="16" t="s">
        <v>1049</v>
      </c>
      <c r="D489" s="16">
        <v>16125000</v>
      </c>
      <c r="E489" s="16">
        <v>3</v>
      </c>
      <c r="F489" s="16">
        <v>5</v>
      </c>
      <c r="G489" s="19" t="s">
        <v>842</v>
      </c>
      <c r="H489" s="16"/>
      <c r="I489" s="16" t="s">
        <v>1050</v>
      </c>
      <c r="J489" s="16" t="s">
        <v>1051</v>
      </c>
      <c r="K489" s="16" t="s">
        <v>1052</v>
      </c>
    </row>
    <row r="490" spans="1:11" ht="240" hidden="1" x14ac:dyDescent="0.25">
      <c r="A490" s="22">
        <v>369</v>
      </c>
      <c r="B490" s="16" t="s">
        <v>1694</v>
      </c>
      <c r="C490" s="16" t="s">
        <v>1695</v>
      </c>
      <c r="D490" s="16">
        <v>16010000</v>
      </c>
      <c r="E490" s="16">
        <v>2</v>
      </c>
      <c r="F490" s="16">
        <v>4</v>
      </c>
      <c r="G490" s="20" t="s">
        <v>1443</v>
      </c>
      <c r="H490" s="16"/>
      <c r="I490" s="16" t="s">
        <v>1696</v>
      </c>
      <c r="J490" s="16" t="s">
        <v>130</v>
      </c>
      <c r="K490" s="16" t="s">
        <v>1697</v>
      </c>
    </row>
    <row r="491" spans="1:11" ht="270" hidden="1" x14ac:dyDescent="0.25">
      <c r="A491" s="22">
        <v>244</v>
      </c>
      <c r="B491" s="16" t="s">
        <v>1122</v>
      </c>
      <c r="C491" s="16" t="s">
        <v>1123</v>
      </c>
      <c r="D491" s="16">
        <v>15840431</v>
      </c>
      <c r="E491" s="16">
        <v>3</v>
      </c>
      <c r="F491" s="16">
        <v>5</v>
      </c>
      <c r="G491" s="19" t="s">
        <v>842</v>
      </c>
      <c r="H491" s="16"/>
      <c r="I491" s="16" t="s">
        <v>380</v>
      </c>
      <c r="J491" s="16" t="s">
        <v>910</v>
      </c>
      <c r="K491" s="16" t="s">
        <v>1124</v>
      </c>
    </row>
    <row r="492" spans="1:11" ht="210" hidden="1" x14ac:dyDescent="0.25">
      <c r="A492" s="22">
        <v>322</v>
      </c>
      <c r="B492" s="16" t="s">
        <v>1474</v>
      </c>
      <c r="C492" s="16" t="s">
        <v>1475</v>
      </c>
      <c r="D492" s="16">
        <v>15800000</v>
      </c>
      <c r="E492" s="16">
        <v>2</v>
      </c>
      <c r="F492" s="16">
        <v>5</v>
      </c>
      <c r="G492" s="20" t="s">
        <v>1443</v>
      </c>
      <c r="H492" s="16"/>
      <c r="I492" s="16" t="s">
        <v>1476</v>
      </c>
      <c r="J492" s="16" t="s">
        <v>1477</v>
      </c>
      <c r="K492" s="16" t="s">
        <v>1478</v>
      </c>
    </row>
    <row r="493" spans="1:11" ht="225" hidden="1" x14ac:dyDescent="0.25">
      <c r="A493" s="22">
        <v>1</v>
      </c>
      <c r="B493" s="16" t="s">
        <v>29</v>
      </c>
      <c r="C493" s="16" t="s">
        <v>30</v>
      </c>
      <c r="D493" s="16">
        <v>15790000</v>
      </c>
      <c r="E493" s="16">
        <v>5</v>
      </c>
      <c r="F493" s="16">
        <v>5</v>
      </c>
      <c r="G493" s="17" t="s">
        <v>31</v>
      </c>
      <c r="H493" s="16"/>
      <c r="I493" s="16" t="s">
        <v>32</v>
      </c>
      <c r="J493" s="16" t="s">
        <v>33</v>
      </c>
      <c r="K493" s="16" t="s">
        <v>34</v>
      </c>
    </row>
    <row r="494" spans="1:11" ht="409.5" hidden="1" x14ac:dyDescent="0.25">
      <c r="A494" s="22">
        <v>523</v>
      </c>
      <c r="B494" s="16" t="s">
        <v>2336</v>
      </c>
      <c r="C494" s="16" t="s">
        <v>2337</v>
      </c>
      <c r="D494" s="16">
        <v>15740000</v>
      </c>
      <c r="E494" s="16">
        <v>2</v>
      </c>
      <c r="F494" s="16">
        <v>4</v>
      </c>
      <c r="G494" s="20" t="s">
        <v>1443</v>
      </c>
      <c r="H494" s="16"/>
      <c r="I494" s="16" t="s">
        <v>2338</v>
      </c>
      <c r="J494" s="16" t="s">
        <v>2339</v>
      </c>
      <c r="K494" s="16" t="s">
        <v>2340</v>
      </c>
    </row>
    <row r="495" spans="1:11" ht="165" hidden="1" x14ac:dyDescent="0.25">
      <c r="A495" s="22">
        <v>98</v>
      </c>
      <c r="B495" s="16" t="s">
        <v>467</v>
      </c>
      <c r="C495" s="16" t="s">
        <v>468</v>
      </c>
      <c r="D495" s="16">
        <v>15705000</v>
      </c>
      <c r="E495" s="16">
        <v>4</v>
      </c>
      <c r="F495" s="16">
        <v>4</v>
      </c>
      <c r="G495" s="18" t="s">
        <v>108</v>
      </c>
      <c r="H495" s="16"/>
      <c r="I495" s="16" t="s">
        <v>416</v>
      </c>
      <c r="J495" s="16" t="s">
        <v>469</v>
      </c>
      <c r="K495" s="16" t="s">
        <v>470</v>
      </c>
    </row>
    <row r="496" spans="1:11" ht="240" hidden="1" x14ac:dyDescent="0.25">
      <c r="A496" s="22">
        <v>192</v>
      </c>
      <c r="B496" s="16" t="s">
        <v>897</v>
      </c>
      <c r="C496" s="16" t="s">
        <v>898</v>
      </c>
      <c r="D496" s="16">
        <v>15550000</v>
      </c>
      <c r="E496" s="16">
        <v>4</v>
      </c>
      <c r="F496" s="16">
        <v>3</v>
      </c>
      <c r="G496" s="19" t="s">
        <v>842</v>
      </c>
      <c r="H496" s="16"/>
      <c r="I496" s="16" t="s">
        <v>899</v>
      </c>
      <c r="J496" s="16" t="s">
        <v>900</v>
      </c>
      <c r="K496" s="16" t="s">
        <v>901</v>
      </c>
    </row>
    <row r="497" spans="1:11" ht="195" hidden="1" x14ac:dyDescent="0.25">
      <c r="A497" s="22">
        <v>539</v>
      </c>
      <c r="B497" s="16" t="s">
        <v>2412</v>
      </c>
      <c r="C497" s="16" t="s">
        <v>2413</v>
      </c>
      <c r="D497" s="16">
        <v>15500000</v>
      </c>
      <c r="E497" s="16">
        <v>3</v>
      </c>
      <c r="F497" s="16">
        <v>3</v>
      </c>
      <c r="G497" s="20" t="s">
        <v>1443</v>
      </c>
      <c r="H497" s="16"/>
      <c r="I497" s="16" t="s">
        <v>1034</v>
      </c>
      <c r="J497" s="16" t="s">
        <v>2414</v>
      </c>
      <c r="K497" s="16"/>
    </row>
    <row r="498" spans="1:11" ht="409.5" hidden="1" x14ac:dyDescent="0.25">
      <c r="A498" s="22">
        <v>206</v>
      </c>
      <c r="B498" s="16" t="s">
        <v>961</v>
      </c>
      <c r="C498" s="16" t="s">
        <v>962</v>
      </c>
      <c r="D498" s="16">
        <v>15190000</v>
      </c>
      <c r="E498" s="16">
        <v>3</v>
      </c>
      <c r="F498" s="16">
        <v>5</v>
      </c>
      <c r="G498" s="19" t="s">
        <v>842</v>
      </c>
      <c r="H498" s="16"/>
      <c r="I498" s="16" t="s">
        <v>963</v>
      </c>
      <c r="J498" s="16" t="s">
        <v>964</v>
      </c>
      <c r="K498" s="16" t="s">
        <v>965</v>
      </c>
    </row>
    <row r="499" spans="1:11" ht="120" hidden="1" x14ac:dyDescent="0.25">
      <c r="A499" s="22">
        <v>584</v>
      </c>
      <c r="B499" s="16" t="s">
        <v>2577</v>
      </c>
      <c r="C499" s="16" t="s">
        <v>2578</v>
      </c>
      <c r="D499" s="16">
        <v>15190000</v>
      </c>
      <c r="E499" s="16">
        <v>3</v>
      </c>
      <c r="F499" s="16">
        <v>3</v>
      </c>
      <c r="G499" s="20" t="s">
        <v>1443</v>
      </c>
      <c r="H499" s="16"/>
      <c r="I499" s="16" t="s">
        <v>2579</v>
      </c>
      <c r="J499" s="16" t="s">
        <v>2580</v>
      </c>
      <c r="K499" s="16" t="s">
        <v>2581</v>
      </c>
    </row>
    <row r="500" spans="1:11" ht="210" hidden="1" x14ac:dyDescent="0.25">
      <c r="A500" s="22">
        <v>264</v>
      </c>
      <c r="B500" s="16" t="s">
        <v>1201</v>
      </c>
      <c r="C500" s="16" t="s">
        <v>1202</v>
      </c>
      <c r="D500" s="16">
        <v>15180000</v>
      </c>
      <c r="E500" s="16">
        <v>4</v>
      </c>
      <c r="F500" s="16">
        <v>3</v>
      </c>
      <c r="G500" s="19" t="s">
        <v>842</v>
      </c>
      <c r="H500" s="16"/>
      <c r="I500" s="16" t="s">
        <v>1203</v>
      </c>
      <c r="J500" s="16" t="s">
        <v>1204</v>
      </c>
      <c r="K500" s="16" t="s">
        <v>1205</v>
      </c>
    </row>
    <row r="501" spans="1:11" ht="285" hidden="1" x14ac:dyDescent="0.25">
      <c r="A501" s="22">
        <v>222</v>
      </c>
      <c r="B501" s="16" t="s">
        <v>1032</v>
      </c>
      <c r="C501" s="16" t="s">
        <v>1033</v>
      </c>
      <c r="D501" s="16">
        <v>15160000</v>
      </c>
      <c r="E501" s="16">
        <v>3</v>
      </c>
      <c r="F501" s="16">
        <v>5</v>
      </c>
      <c r="G501" s="19" t="s">
        <v>842</v>
      </c>
      <c r="H501" s="16"/>
      <c r="I501" s="16" t="s">
        <v>1034</v>
      </c>
      <c r="J501" s="16" t="s">
        <v>1035</v>
      </c>
      <c r="K501" s="16" t="s">
        <v>131</v>
      </c>
    </row>
    <row r="502" spans="1:11" ht="240" hidden="1" x14ac:dyDescent="0.25">
      <c r="A502" s="22">
        <v>442</v>
      </c>
      <c r="B502" s="16" t="s">
        <v>1989</v>
      </c>
      <c r="C502" s="16" t="s">
        <v>1990</v>
      </c>
      <c r="D502" s="16">
        <v>15155000</v>
      </c>
      <c r="E502" s="16">
        <v>2</v>
      </c>
      <c r="F502" s="16">
        <v>4</v>
      </c>
      <c r="G502" s="20" t="s">
        <v>1443</v>
      </c>
      <c r="H502" s="16"/>
      <c r="I502" s="16" t="s">
        <v>1991</v>
      </c>
      <c r="J502" s="16" t="s">
        <v>130</v>
      </c>
      <c r="K502" s="16" t="s">
        <v>1992</v>
      </c>
    </row>
    <row r="503" spans="1:11" ht="409.5" hidden="1" x14ac:dyDescent="0.25">
      <c r="A503" s="22">
        <v>390</v>
      </c>
      <c r="B503" s="16" t="s">
        <v>1772</v>
      </c>
      <c r="C503" s="16" t="s">
        <v>1773</v>
      </c>
      <c r="D503" s="16">
        <v>15150000</v>
      </c>
      <c r="E503" s="16">
        <v>3</v>
      </c>
      <c r="F503" s="16">
        <v>3</v>
      </c>
      <c r="G503" s="20" t="s">
        <v>1443</v>
      </c>
      <c r="H503" s="16"/>
      <c r="I503" s="16" t="s">
        <v>1774</v>
      </c>
      <c r="J503" s="16" t="s">
        <v>1775</v>
      </c>
      <c r="K503" s="16" t="s">
        <v>1776</v>
      </c>
    </row>
    <row r="504" spans="1:11" ht="270" hidden="1" x14ac:dyDescent="0.25">
      <c r="A504" s="22">
        <v>443</v>
      </c>
      <c r="B504" s="16" t="s">
        <v>1993</v>
      </c>
      <c r="C504" s="16" t="s">
        <v>1994</v>
      </c>
      <c r="D504" s="16">
        <v>15150000</v>
      </c>
      <c r="E504" s="16">
        <v>2</v>
      </c>
      <c r="F504" s="16">
        <v>4</v>
      </c>
      <c r="G504" s="20" t="s">
        <v>1443</v>
      </c>
      <c r="H504" s="16"/>
      <c r="I504" s="16" t="s">
        <v>1995</v>
      </c>
      <c r="J504" s="16" t="s">
        <v>1996</v>
      </c>
      <c r="K504" s="16" t="s">
        <v>137</v>
      </c>
    </row>
    <row r="505" spans="1:11" ht="330" hidden="1" x14ac:dyDescent="0.25">
      <c r="A505" s="22">
        <v>686</v>
      </c>
      <c r="B505" s="16" t="s">
        <v>2991</v>
      </c>
      <c r="C505" s="16" t="s">
        <v>2992</v>
      </c>
      <c r="D505" s="16">
        <v>15150000</v>
      </c>
      <c r="E505" s="16">
        <v>2</v>
      </c>
      <c r="F505" s="16">
        <v>1</v>
      </c>
      <c r="G505" s="21" t="s">
        <v>2807</v>
      </c>
      <c r="H505" s="16"/>
      <c r="I505" s="16" t="s">
        <v>2993</v>
      </c>
      <c r="J505" s="16" t="s">
        <v>2994</v>
      </c>
      <c r="K505" s="16" t="s">
        <v>2995</v>
      </c>
    </row>
    <row r="506" spans="1:11" ht="255" hidden="1" x14ac:dyDescent="0.25">
      <c r="A506" s="22">
        <v>108</v>
      </c>
      <c r="B506" s="16" t="s">
        <v>515</v>
      </c>
      <c r="C506" s="16" t="s">
        <v>516</v>
      </c>
      <c r="D506" s="16">
        <v>15080000</v>
      </c>
      <c r="E506" s="16">
        <v>4</v>
      </c>
      <c r="F506" s="16">
        <v>4</v>
      </c>
      <c r="G506" s="18" t="s">
        <v>108</v>
      </c>
      <c r="H506" s="16"/>
      <c r="I506" s="16" t="s">
        <v>517</v>
      </c>
      <c r="J506" s="16" t="s">
        <v>518</v>
      </c>
      <c r="K506" s="16" t="s">
        <v>519</v>
      </c>
    </row>
    <row r="507" spans="1:11" ht="409.5" hidden="1" x14ac:dyDescent="0.25">
      <c r="A507" s="22">
        <v>689</v>
      </c>
      <c r="B507" s="16" t="s">
        <v>3006</v>
      </c>
      <c r="C507" s="16" t="s">
        <v>3007</v>
      </c>
      <c r="D507" s="16">
        <v>15074000</v>
      </c>
      <c r="E507" s="16">
        <v>1</v>
      </c>
      <c r="F507" s="16">
        <v>5</v>
      </c>
      <c r="G507" s="21" t="s">
        <v>2807</v>
      </c>
      <c r="H507" s="16"/>
      <c r="I507" s="16" t="s">
        <v>3008</v>
      </c>
      <c r="J507" s="16" t="s">
        <v>3009</v>
      </c>
      <c r="K507" s="16" t="s">
        <v>3010</v>
      </c>
    </row>
    <row r="508" spans="1:11" ht="165" hidden="1" x14ac:dyDescent="0.25">
      <c r="A508" s="22">
        <v>586</v>
      </c>
      <c r="B508" s="16" t="s">
        <v>2587</v>
      </c>
      <c r="C508" s="16" t="s">
        <v>2588</v>
      </c>
      <c r="D508" s="16">
        <v>15020000</v>
      </c>
      <c r="E508" s="16">
        <v>3</v>
      </c>
      <c r="F508" s="16">
        <v>3</v>
      </c>
      <c r="G508" s="20" t="s">
        <v>1443</v>
      </c>
      <c r="H508" s="16"/>
      <c r="I508" s="16" t="s">
        <v>2589</v>
      </c>
      <c r="J508" s="16" t="s">
        <v>2590</v>
      </c>
      <c r="K508" s="16" t="s">
        <v>2591</v>
      </c>
    </row>
    <row r="509" spans="1:11" ht="180" hidden="1" x14ac:dyDescent="0.25">
      <c r="A509" s="22">
        <v>63</v>
      </c>
      <c r="B509" s="16" t="s">
        <v>309</v>
      </c>
      <c r="C509" s="16" t="s">
        <v>310</v>
      </c>
      <c r="D509" s="16">
        <v>15004000</v>
      </c>
      <c r="E509" s="16">
        <v>4</v>
      </c>
      <c r="F509" s="16">
        <v>4</v>
      </c>
      <c r="G509" s="18" t="s">
        <v>108</v>
      </c>
      <c r="H509" s="16"/>
      <c r="I509" s="16" t="s">
        <v>311</v>
      </c>
      <c r="J509" s="16" t="s">
        <v>312</v>
      </c>
      <c r="K509" s="16" t="s">
        <v>313</v>
      </c>
    </row>
    <row r="510" spans="1:11" ht="270" hidden="1" x14ac:dyDescent="0.25">
      <c r="A510" s="22">
        <v>205</v>
      </c>
      <c r="B510" s="16" t="s">
        <v>959</v>
      </c>
      <c r="C510" s="16" t="s">
        <v>960</v>
      </c>
      <c r="D510" s="16">
        <v>15000000</v>
      </c>
      <c r="E510" s="16">
        <v>3</v>
      </c>
      <c r="F510" s="16">
        <v>4</v>
      </c>
      <c r="G510" s="19" t="s">
        <v>842</v>
      </c>
      <c r="H510" s="16"/>
      <c r="I510" s="16" t="s">
        <v>919</v>
      </c>
      <c r="J510" s="16" t="s">
        <v>920</v>
      </c>
      <c r="K510" s="16" t="s">
        <v>921</v>
      </c>
    </row>
    <row r="511" spans="1:11" ht="195" hidden="1" x14ac:dyDescent="0.25">
      <c r="A511" s="22">
        <v>326</v>
      </c>
      <c r="B511" s="16" t="s">
        <v>1494</v>
      </c>
      <c r="C511" s="16" t="s">
        <v>1495</v>
      </c>
      <c r="D511" s="16">
        <v>15000000</v>
      </c>
      <c r="E511" s="16">
        <v>2</v>
      </c>
      <c r="F511" s="16">
        <v>5</v>
      </c>
      <c r="G511" s="20" t="s">
        <v>1443</v>
      </c>
      <c r="H511" s="16"/>
      <c r="I511" s="16" t="s">
        <v>1496</v>
      </c>
      <c r="J511" s="16" t="s">
        <v>1497</v>
      </c>
      <c r="K511" s="16" t="s">
        <v>1498</v>
      </c>
    </row>
    <row r="512" spans="1:11" ht="195" hidden="1" x14ac:dyDescent="0.25">
      <c r="A512" s="22">
        <v>333</v>
      </c>
      <c r="B512" s="16" t="s">
        <v>1526</v>
      </c>
      <c r="C512" s="16" t="s">
        <v>1527</v>
      </c>
      <c r="D512" s="16">
        <v>15000000</v>
      </c>
      <c r="E512" s="16">
        <v>2</v>
      </c>
      <c r="F512" s="16">
        <v>3</v>
      </c>
      <c r="G512" s="20" t="s">
        <v>1443</v>
      </c>
      <c r="H512" s="16"/>
      <c r="I512" s="16" t="s">
        <v>1528</v>
      </c>
      <c r="J512" s="16" t="s">
        <v>1529</v>
      </c>
      <c r="K512" s="16" t="s">
        <v>1503</v>
      </c>
    </row>
    <row r="513" spans="1:11" ht="409.5" hidden="1" x14ac:dyDescent="0.25">
      <c r="A513" s="22">
        <v>521</v>
      </c>
      <c r="B513" s="16" t="s">
        <v>2326</v>
      </c>
      <c r="C513" s="16" t="s">
        <v>2327</v>
      </c>
      <c r="D513" s="16">
        <v>15000000</v>
      </c>
      <c r="E513" s="16">
        <v>2</v>
      </c>
      <c r="F513" s="16">
        <v>4</v>
      </c>
      <c r="G513" s="20" t="s">
        <v>1443</v>
      </c>
      <c r="H513" s="16"/>
      <c r="I513" s="16" t="s">
        <v>2328</v>
      </c>
      <c r="J513" s="16" t="s">
        <v>2329</v>
      </c>
      <c r="K513" s="16" t="s">
        <v>2330</v>
      </c>
    </row>
    <row r="514" spans="1:11" ht="300" hidden="1" x14ac:dyDescent="0.25">
      <c r="A514" s="22">
        <v>696</v>
      </c>
      <c r="B514" s="16" t="s">
        <v>3037</v>
      </c>
      <c r="C514" s="16" t="s">
        <v>3038</v>
      </c>
      <c r="D514" s="16">
        <v>15000000</v>
      </c>
      <c r="E514" s="16">
        <v>1</v>
      </c>
      <c r="F514" s="16">
        <v>4</v>
      </c>
      <c r="G514" s="21" t="s">
        <v>2807</v>
      </c>
      <c r="H514" s="16"/>
      <c r="I514" s="16" t="s">
        <v>3039</v>
      </c>
      <c r="J514" s="16" t="s">
        <v>3040</v>
      </c>
      <c r="K514" s="16" t="s">
        <v>3041</v>
      </c>
    </row>
    <row r="515" spans="1:11" ht="330" hidden="1" x14ac:dyDescent="0.25">
      <c r="A515" s="22">
        <v>431</v>
      </c>
      <c r="B515" s="16" t="s">
        <v>1949</v>
      </c>
      <c r="C515" s="16" t="s">
        <v>1950</v>
      </c>
      <c r="D515" s="16">
        <v>14975000</v>
      </c>
      <c r="E515" s="16">
        <v>3</v>
      </c>
      <c r="F515" s="16">
        <v>3</v>
      </c>
      <c r="G515" s="20" t="s">
        <v>1443</v>
      </c>
      <c r="H515" s="16"/>
      <c r="I515" s="16" t="s">
        <v>642</v>
      </c>
      <c r="J515" s="16" t="s">
        <v>1951</v>
      </c>
      <c r="K515" s="16" t="s">
        <v>1952</v>
      </c>
    </row>
    <row r="516" spans="1:11" ht="315" hidden="1" x14ac:dyDescent="0.25">
      <c r="A516" s="22">
        <v>649</v>
      </c>
      <c r="B516" s="16" t="s">
        <v>2833</v>
      </c>
      <c r="C516" s="16" t="s">
        <v>2834</v>
      </c>
      <c r="D516" s="16">
        <v>14450000</v>
      </c>
      <c r="E516" s="16">
        <v>1</v>
      </c>
      <c r="F516" s="16">
        <v>3</v>
      </c>
      <c r="G516" s="21" t="s">
        <v>2807</v>
      </c>
      <c r="H516" s="16"/>
      <c r="I516" s="16" t="s">
        <v>2835</v>
      </c>
      <c r="J516" s="16" t="s">
        <v>2836</v>
      </c>
      <c r="K516" s="16" t="s">
        <v>2837</v>
      </c>
    </row>
    <row r="517" spans="1:11" ht="225" hidden="1" x14ac:dyDescent="0.25">
      <c r="A517" s="22">
        <v>590</v>
      </c>
      <c r="B517" s="16" t="s">
        <v>2607</v>
      </c>
      <c r="C517" s="16" t="s">
        <v>2608</v>
      </c>
      <c r="D517" s="16">
        <v>14440000</v>
      </c>
      <c r="E517" s="16">
        <v>3</v>
      </c>
      <c r="F517" s="16">
        <v>3</v>
      </c>
      <c r="G517" s="20" t="s">
        <v>1443</v>
      </c>
      <c r="H517" s="16"/>
      <c r="I517" s="16" t="s">
        <v>364</v>
      </c>
      <c r="J517" s="16" t="s">
        <v>2609</v>
      </c>
      <c r="K517" s="16" t="s">
        <v>2610</v>
      </c>
    </row>
    <row r="518" spans="1:11" ht="135" hidden="1" x14ac:dyDescent="0.25">
      <c r="A518" s="22">
        <v>587</v>
      </c>
      <c r="B518" s="16" t="s">
        <v>2592</v>
      </c>
      <c r="C518" s="16" t="s">
        <v>2593</v>
      </c>
      <c r="D518" s="16">
        <v>14250000</v>
      </c>
      <c r="E518" s="16">
        <v>2</v>
      </c>
      <c r="F518" s="16">
        <v>3</v>
      </c>
      <c r="G518" s="20" t="s">
        <v>1443</v>
      </c>
      <c r="H518" s="16"/>
      <c r="I518" s="16" t="s">
        <v>2594</v>
      </c>
      <c r="J518" s="16" t="s">
        <v>2595</v>
      </c>
      <c r="K518" s="16" t="s">
        <v>2596</v>
      </c>
    </row>
    <row r="519" spans="1:11" ht="409.5" hidden="1" x14ac:dyDescent="0.25">
      <c r="A519" s="22">
        <v>210</v>
      </c>
      <c r="B519" s="16" t="s">
        <v>981</v>
      </c>
      <c r="C519" s="16" t="s">
        <v>982</v>
      </c>
      <c r="D519" s="16">
        <v>14170000</v>
      </c>
      <c r="E519" s="16">
        <v>3</v>
      </c>
      <c r="F519" s="16">
        <v>4</v>
      </c>
      <c r="G519" s="19" t="s">
        <v>842</v>
      </c>
      <c r="H519" s="16"/>
      <c r="I519" s="16" t="s">
        <v>983</v>
      </c>
      <c r="J519" s="16" t="s">
        <v>984</v>
      </c>
      <c r="K519" s="16" t="s">
        <v>985</v>
      </c>
    </row>
    <row r="520" spans="1:11" ht="409.5" hidden="1" x14ac:dyDescent="0.25">
      <c r="A520" s="22">
        <v>212</v>
      </c>
      <c r="B520" s="16" t="s">
        <v>991</v>
      </c>
      <c r="C520" s="16" t="s">
        <v>992</v>
      </c>
      <c r="D520" s="16">
        <v>14170000</v>
      </c>
      <c r="E520" s="16">
        <v>3</v>
      </c>
      <c r="F520" s="16">
        <v>4</v>
      </c>
      <c r="G520" s="19" t="s">
        <v>842</v>
      </c>
      <c r="H520" s="16"/>
      <c r="I520" s="16" t="s">
        <v>983</v>
      </c>
      <c r="J520" s="16" t="s">
        <v>984</v>
      </c>
      <c r="K520" s="16" t="s">
        <v>985</v>
      </c>
    </row>
    <row r="521" spans="1:11" ht="285" hidden="1" x14ac:dyDescent="0.25">
      <c r="A521" s="22">
        <v>261</v>
      </c>
      <c r="B521" s="16" t="s">
        <v>1186</v>
      </c>
      <c r="C521" s="16" t="s">
        <v>1187</v>
      </c>
      <c r="D521" s="16">
        <v>14000000</v>
      </c>
      <c r="E521" s="16">
        <v>3</v>
      </c>
      <c r="F521" s="16">
        <v>5</v>
      </c>
      <c r="G521" s="19" t="s">
        <v>842</v>
      </c>
      <c r="H521" s="16"/>
      <c r="I521" s="16" t="s">
        <v>1188</v>
      </c>
      <c r="J521" s="16" t="s">
        <v>1189</v>
      </c>
      <c r="K521" s="16" t="s">
        <v>1190</v>
      </c>
    </row>
    <row r="522" spans="1:11" ht="360" hidden="1" x14ac:dyDescent="0.25">
      <c r="A522" s="22">
        <v>470</v>
      </c>
      <c r="B522" s="16" t="s">
        <v>2091</v>
      </c>
      <c r="C522" s="16" t="s">
        <v>2092</v>
      </c>
      <c r="D522" s="16">
        <v>13916000</v>
      </c>
      <c r="E522" s="16">
        <v>2</v>
      </c>
      <c r="F522" s="16">
        <v>5</v>
      </c>
      <c r="G522" s="20" t="s">
        <v>1443</v>
      </c>
      <c r="H522" s="16"/>
      <c r="I522" s="16" t="s">
        <v>1787</v>
      </c>
      <c r="J522" s="16" t="s">
        <v>1788</v>
      </c>
      <c r="K522" s="16" t="s">
        <v>1789</v>
      </c>
    </row>
    <row r="523" spans="1:11" ht="315" hidden="1" x14ac:dyDescent="0.25">
      <c r="A523" s="22">
        <v>5</v>
      </c>
      <c r="B523" s="16" t="s">
        <v>44</v>
      </c>
      <c r="C523" s="16" t="s">
        <v>45</v>
      </c>
      <c r="D523" s="16">
        <v>13821000</v>
      </c>
      <c r="E523" s="16">
        <v>5</v>
      </c>
      <c r="F523" s="16">
        <v>5</v>
      </c>
      <c r="G523" s="17" t="s">
        <v>31</v>
      </c>
      <c r="H523" s="16"/>
      <c r="I523" s="16" t="s">
        <v>46</v>
      </c>
      <c r="J523" s="16" t="s">
        <v>47</v>
      </c>
      <c r="K523" s="16" t="s">
        <v>48</v>
      </c>
    </row>
    <row r="524" spans="1:11" ht="210" hidden="1" x14ac:dyDescent="0.25">
      <c r="A524" s="22">
        <v>330</v>
      </c>
      <c r="B524" s="16" t="s">
        <v>1512</v>
      </c>
      <c r="C524" s="16" t="s">
        <v>1513</v>
      </c>
      <c r="D524" s="16">
        <v>13654000</v>
      </c>
      <c r="E524" s="16">
        <v>2</v>
      </c>
      <c r="F524" s="16">
        <v>5</v>
      </c>
      <c r="G524" s="20" t="s">
        <v>1443</v>
      </c>
      <c r="H524" s="16"/>
      <c r="I524" s="16" t="s">
        <v>1514</v>
      </c>
      <c r="J524" s="16" t="s">
        <v>1515</v>
      </c>
      <c r="K524" s="16" t="s">
        <v>1493</v>
      </c>
    </row>
    <row r="525" spans="1:11" ht="285" hidden="1" x14ac:dyDescent="0.25">
      <c r="A525" s="22">
        <v>276</v>
      </c>
      <c r="B525" s="16" t="s">
        <v>1261</v>
      </c>
      <c r="C525" s="16" t="s">
        <v>1262</v>
      </c>
      <c r="D525" s="16">
        <v>13450000</v>
      </c>
      <c r="E525" s="16">
        <v>4</v>
      </c>
      <c r="F525" s="16">
        <v>3</v>
      </c>
      <c r="G525" s="19" t="s">
        <v>842</v>
      </c>
      <c r="H525" s="16"/>
      <c r="I525" s="16" t="s">
        <v>1263</v>
      </c>
      <c r="J525" s="16" t="s">
        <v>1264</v>
      </c>
      <c r="K525" s="16" t="s">
        <v>1265</v>
      </c>
    </row>
    <row r="526" spans="1:11" ht="315" hidden="1" x14ac:dyDescent="0.25">
      <c r="A526" s="22">
        <v>356</v>
      </c>
      <c r="B526" s="16" t="s">
        <v>1631</v>
      </c>
      <c r="C526" s="16" t="s">
        <v>1632</v>
      </c>
      <c r="D526" s="16">
        <v>13400000</v>
      </c>
      <c r="E526" s="16">
        <v>2</v>
      </c>
      <c r="F526" s="16">
        <v>3</v>
      </c>
      <c r="G526" s="20" t="s">
        <v>1443</v>
      </c>
      <c r="H526" s="16"/>
      <c r="I526" s="16" t="s">
        <v>1633</v>
      </c>
      <c r="J526" s="16" t="s">
        <v>1634</v>
      </c>
      <c r="K526" s="16" t="s">
        <v>1635</v>
      </c>
    </row>
    <row r="527" spans="1:11" ht="255" hidden="1" x14ac:dyDescent="0.25">
      <c r="A527" s="22">
        <v>357</v>
      </c>
      <c r="B527" s="16" t="s">
        <v>1636</v>
      </c>
      <c r="C527" s="16" t="s">
        <v>1637</v>
      </c>
      <c r="D527" s="16">
        <v>13400000</v>
      </c>
      <c r="E527" s="16">
        <v>3</v>
      </c>
      <c r="F527" s="16">
        <v>3</v>
      </c>
      <c r="G527" s="20" t="s">
        <v>1443</v>
      </c>
      <c r="H527" s="16"/>
      <c r="I527" s="16" t="s">
        <v>1638</v>
      </c>
      <c r="J527" s="16" t="s">
        <v>1639</v>
      </c>
      <c r="K527" s="16" t="s">
        <v>1640</v>
      </c>
    </row>
    <row r="528" spans="1:11" ht="180" hidden="1" x14ac:dyDescent="0.25">
      <c r="A528" s="22">
        <v>351</v>
      </c>
      <c r="B528" s="16" t="s">
        <v>1606</v>
      </c>
      <c r="C528" s="16" t="s">
        <v>1607</v>
      </c>
      <c r="D528" s="16">
        <v>13299000</v>
      </c>
      <c r="E528" s="16">
        <v>2</v>
      </c>
      <c r="F528" s="16">
        <v>3</v>
      </c>
      <c r="G528" s="20" t="s">
        <v>1443</v>
      </c>
      <c r="H528" s="16"/>
      <c r="I528" s="16" t="s">
        <v>1608</v>
      </c>
      <c r="J528" s="16" t="s">
        <v>1609</v>
      </c>
      <c r="K528" s="16" t="s">
        <v>1610</v>
      </c>
    </row>
    <row r="529" spans="1:11" ht="255" hidden="1" x14ac:dyDescent="0.25">
      <c r="A529" s="22">
        <v>29</v>
      </c>
      <c r="B529" s="16" t="s">
        <v>155</v>
      </c>
      <c r="C529" s="16" t="s">
        <v>156</v>
      </c>
      <c r="D529" s="16">
        <v>13295000</v>
      </c>
      <c r="E529" s="16">
        <v>4</v>
      </c>
      <c r="F529" s="16">
        <v>4</v>
      </c>
      <c r="G529" s="18" t="s">
        <v>108</v>
      </c>
      <c r="H529" s="16"/>
      <c r="I529" s="16" t="s">
        <v>157</v>
      </c>
      <c r="J529" s="16" t="s">
        <v>158</v>
      </c>
      <c r="K529" s="16" t="s">
        <v>159</v>
      </c>
    </row>
    <row r="530" spans="1:11" ht="210" hidden="1" x14ac:dyDescent="0.25">
      <c r="A530" s="22">
        <v>492</v>
      </c>
      <c r="B530" s="16" t="s">
        <v>2187</v>
      </c>
      <c r="C530" s="16" t="s">
        <v>2188</v>
      </c>
      <c r="D530" s="16">
        <v>13290000</v>
      </c>
      <c r="E530" s="16">
        <v>3</v>
      </c>
      <c r="F530" s="16">
        <v>3</v>
      </c>
      <c r="G530" s="20" t="s">
        <v>1443</v>
      </c>
      <c r="H530" s="16"/>
      <c r="I530" s="16" t="s">
        <v>2189</v>
      </c>
      <c r="J530" s="16" t="s">
        <v>2190</v>
      </c>
      <c r="K530" s="16" t="s">
        <v>2191</v>
      </c>
    </row>
    <row r="531" spans="1:11" ht="195" hidden="1" x14ac:dyDescent="0.25">
      <c r="A531" s="22">
        <v>260</v>
      </c>
      <c r="B531" s="16" t="s">
        <v>1181</v>
      </c>
      <c r="C531" s="16" t="s">
        <v>1182</v>
      </c>
      <c r="D531" s="16">
        <v>13275000</v>
      </c>
      <c r="E531" s="16">
        <v>3</v>
      </c>
      <c r="F531" s="16">
        <v>5</v>
      </c>
      <c r="G531" s="19" t="s">
        <v>842</v>
      </c>
      <c r="H531" s="16"/>
      <c r="I531" s="16" t="s">
        <v>1183</v>
      </c>
      <c r="J531" s="16" t="s">
        <v>1184</v>
      </c>
      <c r="K531" s="16" t="s">
        <v>1185</v>
      </c>
    </row>
    <row r="532" spans="1:11" ht="270" hidden="1" x14ac:dyDescent="0.25">
      <c r="A532" s="22">
        <v>123</v>
      </c>
      <c r="B532" s="16" t="s">
        <v>587</v>
      </c>
      <c r="C532" s="16" t="s">
        <v>588</v>
      </c>
      <c r="D532" s="16">
        <v>13200000</v>
      </c>
      <c r="E532" s="16">
        <v>4</v>
      </c>
      <c r="F532" s="16">
        <v>4</v>
      </c>
      <c r="G532" s="18" t="s">
        <v>108</v>
      </c>
      <c r="H532" s="16"/>
      <c r="I532" s="16" t="s">
        <v>589</v>
      </c>
      <c r="J532" s="16" t="s">
        <v>590</v>
      </c>
      <c r="K532" s="16" t="s">
        <v>591</v>
      </c>
    </row>
    <row r="533" spans="1:11" ht="405" hidden="1" x14ac:dyDescent="0.25">
      <c r="A533" s="22">
        <v>396</v>
      </c>
      <c r="B533" s="16" t="s">
        <v>1798</v>
      </c>
      <c r="C533" s="16" t="s">
        <v>1799</v>
      </c>
      <c r="D533" s="16">
        <v>13147000</v>
      </c>
      <c r="E533" s="16">
        <v>2</v>
      </c>
      <c r="F533" s="16">
        <v>3</v>
      </c>
      <c r="G533" s="20" t="s">
        <v>1443</v>
      </c>
      <c r="H533" s="16"/>
      <c r="I533" s="16" t="s">
        <v>1800</v>
      </c>
      <c r="J533" s="16" t="s">
        <v>1801</v>
      </c>
      <c r="K533" s="16" t="s">
        <v>1802</v>
      </c>
    </row>
    <row r="534" spans="1:11" ht="240" hidden="1" x14ac:dyDescent="0.25">
      <c r="A534" s="22">
        <v>370</v>
      </c>
      <c r="B534" s="16" t="s">
        <v>1698</v>
      </c>
      <c r="C534" s="16" t="s">
        <v>1699</v>
      </c>
      <c r="D534" s="16">
        <v>13146000</v>
      </c>
      <c r="E534" s="16">
        <v>2</v>
      </c>
      <c r="F534" s="16">
        <v>4</v>
      </c>
      <c r="G534" s="20" t="s">
        <v>1443</v>
      </c>
      <c r="H534" s="16"/>
      <c r="I534" s="16" t="s">
        <v>1696</v>
      </c>
      <c r="J534" s="16" t="s">
        <v>130</v>
      </c>
      <c r="K534" s="16" t="s">
        <v>1700</v>
      </c>
    </row>
    <row r="535" spans="1:11" ht="255" hidden="1" x14ac:dyDescent="0.25">
      <c r="A535" s="22">
        <v>674</v>
      </c>
      <c r="B535" s="16" t="s">
        <v>2938</v>
      </c>
      <c r="C535" s="16" t="s">
        <v>2939</v>
      </c>
      <c r="D535" s="16">
        <v>13000000</v>
      </c>
      <c r="E535" s="16">
        <v>2</v>
      </c>
      <c r="F535" s="16">
        <v>2</v>
      </c>
      <c r="G535" s="21" t="s">
        <v>2807</v>
      </c>
      <c r="H535" s="16"/>
      <c r="I535" s="16" t="s">
        <v>2940</v>
      </c>
      <c r="J535" s="16" t="s">
        <v>2941</v>
      </c>
      <c r="K535" s="16" t="s">
        <v>2942</v>
      </c>
    </row>
    <row r="536" spans="1:11" ht="210" hidden="1" x14ac:dyDescent="0.25">
      <c r="A536" s="22">
        <v>430</v>
      </c>
      <c r="B536" s="16" t="s">
        <v>1944</v>
      </c>
      <c r="C536" s="16" t="s">
        <v>1945</v>
      </c>
      <c r="D536" s="16">
        <v>12907000</v>
      </c>
      <c r="E536" s="16">
        <v>2</v>
      </c>
      <c r="F536" s="16">
        <v>3</v>
      </c>
      <c r="G536" s="20" t="s">
        <v>1443</v>
      </c>
      <c r="H536" s="16"/>
      <c r="I536" s="16" t="s">
        <v>1946</v>
      </c>
      <c r="J536" s="16" t="s">
        <v>1947</v>
      </c>
      <c r="K536" s="16" t="s">
        <v>1948</v>
      </c>
    </row>
    <row r="537" spans="1:11" ht="300" hidden="1" x14ac:dyDescent="0.25">
      <c r="A537" s="22">
        <v>8</v>
      </c>
      <c r="B537" s="16" t="s">
        <v>59</v>
      </c>
      <c r="C537" s="16" t="s">
        <v>60</v>
      </c>
      <c r="D537" s="16">
        <v>12760000</v>
      </c>
      <c r="E537" s="16">
        <v>5</v>
      </c>
      <c r="F537" s="16">
        <v>5</v>
      </c>
      <c r="G537" s="17" t="s">
        <v>31</v>
      </c>
      <c r="H537" s="16"/>
      <c r="I537" s="16" t="s">
        <v>61</v>
      </c>
      <c r="J537" s="16" t="s">
        <v>62</v>
      </c>
      <c r="K537" s="16" t="s">
        <v>63</v>
      </c>
    </row>
    <row r="538" spans="1:11" ht="240" hidden="1" x14ac:dyDescent="0.25">
      <c r="A538" s="22">
        <v>215</v>
      </c>
      <c r="B538" s="16" t="s">
        <v>999</v>
      </c>
      <c r="C538" s="16" t="s">
        <v>1000</v>
      </c>
      <c r="D538" s="16">
        <v>12714000</v>
      </c>
      <c r="E538" s="16">
        <v>4</v>
      </c>
      <c r="F538" s="16">
        <v>3</v>
      </c>
      <c r="G538" s="19" t="s">
        <v>842</v>
      </c>
      <c r="H538" s="16"/>
      <c r="I538" s="16" t="s">
        <v>1001</v>
      </c>
      <c r="J538" s="16" t="s">
        <v>1002</v>
      </c>
      <c r="K538" s="16" t="s">
        <v>1003</v>
      </c>
    </row>
    <row r="539" spans="1:11" ht="285" hidden="1" x14ac:dyDescent="0.25">
      <c r="A539" s="22">
        <v>208</v>
      </c>
      <c r="B539" s="16" t="s">
        <v>971</v>
      </c>
      <c r="C539" s="16" t="s">
        <v>972</v>
      </c>
      <c r="D539" s="16">
        <v>12650000</v>
      </c>
      <c r="E539" s="16">
        <v>3</v>
      </c>
      <c r="F539" s="16">
        <v>5</v>
      </c>
      <c r="G539" s="19" t="s">
        <v>842</v>
      </c>
      <c r="H539" s="16"/>
      <c r="I539" s="16" t="s">
        <v>973</v>
      </c>
      <c r="J539" s="16" t="s">
        <v>974</v>
      </c>
      <c r="K539" s="16" t="s">
        <v>975</v>
      </c>
    </row>
    <row r="540" spans="1:11" ht="270" hidden="1" x14ac:dyDescent="0.25">
      <c r="A540" s="22">
        <v>187</v>
      </c>
      <c r="B540" s="16" t="s">
        <v>872</v>
      </c>
      <c r="C540" s="16" t="s">
        <v>873</v>
      </c>
      <c r="D540" s="16">
        <v>12500000</v>
      </c>
      <c r="E540" s="16">
        <v>3</v>
      </c>
      <c r="F540" s="16">
        <v>4</v>
      </c>
      <c r="G540" s="19" t="s">
        <v>842</v>
      </c>
      <c r="H540" s="16"/>
      <c r="I540" s="16" t="s">
        <v>874</v>
      </c>
      <c r="J540" s="16" t="s">
        <v>875</v>
      </c>
      <c r="K540" s="16" t="s">
        <v>876</v>
      </c>
    </row>
    <row r="541" spans="1:11" ht="330" hidden="1" x14ac:dyDescent="0.25">
      <c r="A541" s="22">
        <v>258</v>
      </c>
      <c r="B541" s="16" t="s">
        <v>1173</v>
      </c>
      <c r="C541" s="16" t="s">
        <v>1174</v>
      </c>
      <c r="D541" s="16">
        <v>12455000</v>
      </c>
      <c r="E541" s="16">
        <v>3</v>
      </c>
      <c r="F541" s="16">
        <v>5</v>
      </c>
      <c r="G541" s="19" t="s">
        <v>842</v>
      </c>
      <c r="H541" s="16"/>
      <c r="I541" s="16" t="s">
        <v>1175</v>
      </c>
      <c r="J541" s="16" t="s">
        <v>1176</v>
      </c>
      <c r="K541" s="16" t="s">
        <v>1177</v>
      </c>
    </row>
    <row r="542" spans="1:11" ht="240" hidden="1" x14ac:dyDescent="0.25">
      <c r="A542" s="22">
        <v>55</v>
      </c>
      <c r="B542" s="16" t="s">
        <v>273</v>
      </c>
      <c r="C542" s="16" t="s">
        <v>274</v>
      </c>
      <c r="D542" s="16">
        <v>12420400</v>
      </c>
      <c r="E542" s="16">
        <v>4</v>
      </c>
      <c r="F542" s="16">
        <v>4</v>
      </c>
      <c r="G542" s="18" t="s">
        <v>108</v>
      </c>
      <c r="H542" s="16"/>
      <c r="I542" s="16" t="s">
        <v>275</v>
      </c>
      <c r="J542" s="16" t="s">
        <v>276</v>
      </c>
      <c r="K542" s="16" t="s">
        <v>277</v>
      </c>
    </row>
    <row r="543" spans="1:11" ht="409.5" hidden="1" x14ac:dyDescent="0.25">
      <c r="A543" s="22">
        <v>662</v>
      </c>
      <c r="B543" s="16" t="s">
        <v>2894</v>
      </c>
      <c r="C543" s="16" t="s">
        <v>2895</v>
      </c>
      <c r="D543" s="16">
        <v>12370000</v>
      </c>
      <c r="E543" s="16">
        <v>2</v>
      </c>
      <c r="F543" s="16">
        <v>2</v>
      </c>
      <c r="G543" s="21" t="s">
        <v>2807</v>
      </c>
      <c r="H543" s="16"/>
      <c r="I543" s="16" t="s">
        <v>2896</v>
      </c>
      <c r="J543" s="16" t="s">
        <v>2897</v>
      </c>
      <c r="K543" s="16" t="s">
        <v>2898</v>
      </c>
    </row>
    <row r="544" spans="1:11" ht="405" hidden="1" x14ac:dyDescent="0.25">
      <c r="A544" s="22">
        <v>60</v>
      </c>
      <c r="B544" s="16" t="s">
        <v>297</v>
      </c>
      <c r="C544" s="16" t="s">
        <v>298</v>
      </c>
      <c r="D544" s="16">
        <v>12306000</v>
      </c>
      <c r="E544" s="16">
        <v>4</v>
      </c>
      <c r="F544" s="16">
        <v>4</v>
      </c>
      <c r="G544" s="18" t="s">
        <v>108</v>
      </c>
      <c r="H544" s="16"/>
      <c r="I544" s="16" t="s">
        <v>299</v>
      </c>
      <c r="J544" s="16" t="s">
        <v>300</v>
      </c>
      <c r="K544" s="16" t="s">
        <v>292</v>
      </c>
    </row>
    <row r="545" spans="1:11" ht="225" hidden="1" x14ac:dyDescent="0.25">
      <c r="A545" s="22">
        <v>410</v>
      </c>
      <c r="B545" s="16" t="s">
        <v>1859</v>
      </c>
      <c r="C545" s="16" t="s">
        <v>1860</v>
      </c>
      <c r="D545" s="16">
        <v>12259000</v>
      </c>
      <c r="E545" s="16">
        <v>2</v>
      </c>
      <c r="F545" s="16">
        <v>3</v>
      </c>
      <c r="G545" s="20" t="s">
        <v>1443</v>
      </c>
      <c r="H545" s="16"/>
      <c r="I545" s="16" t="s">
        <v>1861</v>
      </c>
      <c r="J545" s="16" t="s">
        <v>1862</v>
      </c>
      <c r="K545" s="16" t="s">
        <v>1863</v>
      </c>
    </row>
    <row r="546" spans="1:11" ht="210" hidden="1" x14ac:dyDescent="0.25">
      <c r="A546" s="22">
        <v>279</v>
      </c>
      <c r="B546" s="16" t="s">
        <v>1276</v>
      </c>
      <c r="C546" s="16" t="s">
        <v>1277</v>
      </c>
      <c r="D546" s="16">
        <v>12227500</v>
      </c>
      <c r="E546" s="16">
        <v>4</v>
      </c>
      <c r="F546" s="16">
        <v>3</v>
      </c>
      <c r="G546" s="19" t="s">
        <v>842</v>
      </c>
      <c r="H546" s="16"/>
      <c r="I546" s="16" t="s">
        <v>1278</v>
      </c>
      <c r="J546" s="16" t="s">
        <v>1279</v>
      </c>
      <c r="K546" s="16" t="s">
        <v>1280</v>
      </c>
    </row>
    <row r="547" spans="1:11" ht="360" hidden="1" x14ac:dyDescent="0.25">
      <c r="A547" s="22">
        <v>384</v>
      </c>
      <c r="B547" s="16" t="s">
        <v>1745</v>
      </c>
      <c r="C547" s="16" t="s">
        <v>1746</v>
      </c>
      <c r="D547" s="16">
        <v>12219000</v>
      </c>
      <c r="E547" s="16">
        <v>2</v>
      </c>
      <c r="F547" s="16">
        <v>3</v>
      </c>
      <c r="G547" s="20" t="s">
        <v>1443</v>
      </c>
      <c r="H547" s="16"/>
      <c r="I547" s="16" t="s">
        <v>714</v>
      </c>
      <c r="J547" s="16" t="s">
        <v>1604</v>
      </c>
      <c r="K547" s="16" t="s">
        <v>1747</v>
      </c>
    </row>
    <row r="548" spans="1:11" ht="240" hidden="1" x14ac:dyDescent="0.25">
      <c r="A548" s="22">
        <v>181</v>
      </c>
      <c r="B548" s="16" t="s">
        <v>846</v>
      </c>
      <c r="C548" s="16" t="s">
        <v>847</v>
      </c>
      <c r="D548" s="16">
        <v>12111000</v>
      </c>
      <c r="E548" s="16">
        <v>3</v>
      </c>
      <c r="F548" s="16">
        <v>5</v>
      </c>
      <c r="G548" s="19" t="s">
        <v>842</v>
      </c>
      <c r="H548" s="16"/>
      <c r="I548" s="16" t="s">
        <v>848</v>
      </c>
      <c r="J548" s="16" t="s">
        <v>849</v>
      </c>
      <c r="K548" s="16" t="s">
        <v>850</v>
      </c>
    </row>
    <row r="549" spans="1:11" ht="390" hidden="1" x14ac:dyDescent="0.25">
      <c r="A549" s="22">
        <v>672</v>
      </c>
      <c r="B549" s="16" t="s">
        <v>2928</v>
      </c>
      <c r="C549" s="16" t="s">
        <v>2929</v>
      </c>
      <c r="D549" s="16">
        <v>11900000</v>
      </c>
      <c r="E549" s="16">
        <v>1</v>
      </c>
      <c r="F549" s="16">
        <v>1</v>
      </c>
      <c r="G549" s="21" t="s">
        <v>2807</v>
      </c>
      <c r="H549" s="16"/>
      <c r="I549" s="16" t="s">
        <v>2930</v>
      </c>
      <c r="J549" s="16" t="s">
        <v>2931</v>
      </c>
      <c r="K549" s="16" t="s">
        <v>2932</v>
      </c>
    </row>
    <row r="550" spans="1:11" ht="270" hidden="1" x14ac:dyDescent="0.25">
      <c r="A550" s="22">
        <v>317</v>
      </c>
      <c r="B550" s="16" t="s">
        <v>1452</v>
      </c>
      <c r="C550" s="16" t="s">
        <v>1453</v>
      </c>
      <c r="D550" s="16">
        <v>11897000</v>
      </c>
      <c r="E550" s="16">
        <v>2</v>
      </c>
      <c r="F550" s="16">
        <v>4</v>
      </c>
      <c r="G550" s="20" t="s">
        <v>1443</v>
      </c>
      <c r="H550" s="16"/>
      <c r="I550" s="16" t="s">
        <v>1454</v>
      </c>
      <c r="J550" s="16" t="s">
        <v>1455</v>
      </c>
      <c r="K550" s="16" t="s">
        <v>1456</v>
      </c>
    </row>
    <row r="551" spans="1:11" ht="210" hidden="1" x14ac:dyDescent="0.25">
      <c r="A551" s="22">
        <v>332</v>
      </c>
      <c r="B551" s="16" t="s">
        <v>1521</v>
      </c>
      <c r="C551" s="16" t="s">
        <v>1522</v>
      </c>
      <c r="D551" s="16">
        <v>11850000</v>
      </c>
      <c r="E551" s="16">
        <v>2</v>
      </c>
      <c r="F551" s="16">
        <v>5</v>
      </c>
      <c r="G551" s="20" t="s">
        <v>1443</v>
      </c>
      <c r="H551" s="16"/>
      <c r="I551" s="16" t="s">
        <v>1523</v>
      </c>
      <c r="J551" s="16" t="s">
        <v>1524</v>
      </c>
      <c r="K551" s="16" t="s">
        <v>1525</v>
      </c>
    </row>
    <row r="552" spans="1:11" ht="225" hidden="1" x14ac:dyDescent="0.25">
      <c r="A552" s="22">
        <v>186</v>
      </c>
      <c r="B552" s="16" t="s">
        <v>867</v>
      </c>
      <c r="C552" s="16" t="s">
        <v>868</v>
      </c>
      <c r="D552" s="16">
        <v>11780000</v>
      </c>
      <c r="E552" s="16">
        <v>3</v>
      </c>
      <c r="F552" s="16">
        <v>4</v>
      </c>
      <c r="G552" s="19" t="s">
        <v>842</v>
      </c>
      <c r="H552" s="16"/>
      <c r="I552" s="16" t="s">
        <v>869</v>
      </c>
      <c r="J552" s="16" t="s">
        <v>870</v>
      </c>
      <c r="K552" s="16" t="s">
        <v>871</v>
      </c>
    </row>
    <row r="553" spans="1:11" ht="195" hidden="1" x14ac:dyDescent="0.25">
      <c r="A553" s="22">
        <v>104</v>
      </c>
      <c r="B553" s="16" t="s">
        <v>495</v>
      </c>
      <c r="C553" s="16" t="s">
        <v>496</v>
      </c>
      <c r="D553" s="16">
        <v>11775000</v>
      </c>
      <c r="E553" s="16">
        <v>4</v>
      </c>
      <c r="F553" s="16">
        <v>4</v>
      </c>
      <c r="G553" s="18" t="s">
        <v>108</v>
      </c>
      <c r="H553" s="16"/>
      <c r="I553" s="16" t="s">
        <v>497</v>
      </c>
      <c r="J553" s="16" t="s">
        <v>498</v>
      </c>
      <c r="K553" s="16" t="s">
        <v>499</v>
      </c>
    </row>
    <row r="554" spans="1:11" ht="315" hidden="1" x14ac:dyDescent="0.25">
      <c r="A554" s="22">
        <v>62</v>
      </c>
      <c r="B554" s="16" t="s">
        <v>305</v>
      </c>
      <c r="C554" s="16" t="s">
        <v>306</v>
      </c>
      <c r="D554" s="16">
        <v>11675000</v>
      </c>
      <c r="E554" s="16">
        <v>4</v>
      </c>
      <c r="F554" s="16">
        <v>4</v>
      </c>
      <c r="G554" s="18" t="s">
        <v>108</v>
      </c>
      <c r="H554" s="16"/>
      <c r="I554" s="16" t="s">
        <v>307</v>
      </c>
      <c r="J554" s="16" t="s">
        <v>308</v>
      </c>
      <c r="K554" s="16" t="s">
        <v>292</v>
      </c>
    </row>
    <row r="555" spans="1:11" ht="240" hidden="1" x14ac:dyDescent="0.25">
      <c r="A555" s="22">
        <v>669</v>
      </c>
      <c r="B555" s="16" t="s">
        <v>2917</v>
      </c>
      <c r="C555" s="16" t="s">
        <v>2918</v>
      </c>
      <c r="D555" s="16">
        <v>11643000</v>
      </c>
      <c r="E555" s="16">
        <v>1</v>
      </c>
      <c r="F555" s="16">
        <v>5</v>
      </c>
      <c r="G555" s="21" t="s">
        <v>2807</v>
      </c>
      <c r="H555" s="16"/>
      <c r="I555" s="16" t="s">
        <v>129</v>
      </c>
      <c r="J555" s="16" t="s">
        <v>130</v>
      </c>
      <c r="K555" s="16" t="s">
        <v>131</v>
      </c>
    </row>
    <row r="556" spans="1:11" ht="210" hidden="1" x14ac:dyDescent="0.25">
      <c r="A556" s="22">
        <v>665</v>
      </c>
      <c r="B556" s="16" t="s">
        <v>2903</v>
      </c>
      <c r="C556" s="16" t="s">
        <v>2904</v>
      </c>
      <c r="D556" s="16">
        <v>11620000</v>
      </c>
      <c r="E556" s="16">
        <v>2</v>
      </c>
      <c r="F556" s="16">
        <v>2</v>
      </c>
      <c r="G556" s="21" t="s">
        <v>2807</v>
      </c>
      <c r="H556" s="16"/>
      <c r="I556" s="16" t="s">
        <v>2845</v>
      </c>
      <c r="J556" s="16" t="s">
        <v>2846</v>
      </c>
      <c r="K556" s="16" t="s">
        <v>2847</v>
      </c>
    </row>
    <row r="557" spans="1:11" ht="225" hidden="1" x14ac:dyDescent="0.25">
      <c r="A557" s="22">
        <v>228</v>
      </c>
      <c r="B557" s="16" t="s">
        <v>1053</v>
      </c>
      <c r="C557" s="16" t="s">
        <v>1054</v>
      </c>
      <c r="D557" s="16">
        <v>11610000</v>
      </c>
      <c r="E557" s="16">
        <v>3</v>
      </c>
      <c r="F557" s="16">
        <v>5</v>
      </c>
      <c r="G557" s="19" t="s">
        <v>842</v>
      </c>
      <c r="H557" s="16"/>
      <c r="I557" s="16" t="s">
        <v>1055</v>
      </c>
      <c r="J557" s="16" t="s">
        <v>1056</v>
      </c>
      <c r="K557" s="16" t="s">
        <v>1057</v>
      </c>
    </row>
    <row r="558" spans="1:11" ht="240" hidden="1" x14ac:dyDescent="0.25">
      <c r="A558" s="22">
        <v>668</v>
      </c>
      <c r="B558" s="16" t="s">
        <v>2915</v>
      </c>
      <c r="C558" s="16" t="s">
        <v>2916</v>
      </c>
      <c r="D558" s="16">
        <v>11609500</v>
      </c>
      <c r="E558" s="16">
        <v>1</v>
      </c>
      <c r="F558" s="16">
        <v>5</v>
      </c>
      <c r="G558" s="21" t="s">
        <v>2807</v>
      </c>
      <c r="H558" s="16"/>
      <c r="I558" s="16" t="s">
        <v>129</v>
      </c>
      <c r="J558" s="16" t="s">
        <v>130</v>
      </c>
      <c r="K558" s="16" t="s">
        <v>131</v>
      </c>
    </row>
    <row r="559" spans="1:11" ht="225" hidden="1" x14ac:dyDescent="0.25">
      <c r="A559" s="22">
        <v>340</v>
      </c>
      <c r="B559" s="16" t="s">
        <v>1557</v>
      </c>
      <c r="C559" s="16" t="s">
        <v>1558</v>
      </c>
      <c r="D559" s="16">
        <v>11420000</v>
      </c>
      <c r="E559" s="16">
        <v>2</v>
      </c>
      <c r="F559" s="16">
        <v>3</v>
      </c>
      <c r="G559" s="20" t="s">
        <v>1443</v>
      </c>
      <c r="H559" s="16"/>
      <c r="I559" s="16" t="s">
        <v>124</v>
      </c>
      <c r="J559" s="16" t="s">
        <v>1046</v>
      </c>
      <c r="K559" s="16" t="s">
        <v>1559</v>
      </c>
    </row>
    <row r="560" spans="1:11" ht="195" hidden="1" x14ac:dyDescent="0.25">
      <c r="A560" s="22">
        <v>655</v>
      </c>
      <c r="B560" s="16" t="s">
        <v>2860</v>
      </c>
      <c r="C560" s="16" t="s">
        <v>2861</v>
      </c>
      <c r="D560" s="16">
        <v>11405000</v>
      </c>
      <c r="E560" s="16">
        <v>1</v>
      </c>
      <c r="F560" s="16">
        <v>2</v>
      </c>
      <c r="G560" s="21" t="s">
        <v>2807</v>
      </c>
      <c r="H560" s="16"/>
      <c r="I560" s="16" t="s">
        <v>2862</v>
      </c>
      <c r="J560" s="16" t="s">
        <v>2863</v>
      </c>
      <c r="K560" s="16" t="s">
        <v>2864</v>
      </c>
    </row>
    <row r="561" spans="1:11" ht="225" hidden="1" x14ac:dyDescent="0.25">
      <c r="A561" s="22">
        <v>404</v>
      </c>
      <c r="B561" s="16" t="s">
        <v>1836</v>
      </c>
      <c r="C561" s="16" t="s">
        <v>1837</v>
      </c>
      <c r="D561" s="16">
        <v>11360000</v>
      </c>
      <c r="E561" s="16">
        <v>2</v>
      </c>
      <c r="F561" s="16">
        <v>4</v>
      </c>
      <c r="G561" s="20" t="s">
        <v>1443</v>
      </c>
      <c r="H561" s="16"/>
      <c r="I561" s="16" t="s">
        <v>1691</v>
      </c>
      <c r="J561" s="16" t="s">
        <v>1838</v>
      </c>
      <c r="K561" s="16" t="s">
        <v>1839</v>
      </c>
    </row>
    <row r="562" spans="1:11" ht="255" hidden="1" x14ac:dyDescent="0.25">
      <c r="A562" s="22">
        <v>401</v>
      </c>
      <c r="B562" s="16" t="s">
        <v>1823</v>
      </c>
      <c r="C562" s="16" t="s">
        <v>1824</v>
      </c>
      <c r="D562" s="16">
        <v>11340000</v>
      </c>
      <c r="E562" s="16">
        <v>3</v>
      </c>
      <c r="F562" s="16">
        <v>3</v>
      </c>
      <c r="G562" s="20" t="s">
        <v>1443</v>
      </c>
      <c r="H562" s="16"/>
      <c r="I562" s="16" t="s">
        <v>1825</v>
      </c>
      <c r="J562" s="16" t="s">
        <v>1826</v>
      </c>
      <c r="K562" s="16" t="s">
        <v>1827</v>
      </c>
    </row>
    <row r="563" spans="1:11" ht="240" hidden="1" x14ac:dyDescent="0.25">
      <c r="A563" s="22">
        <v>22</v>
      </c>
      <c r="B563" s="16" t="s">
        <v>127</v>
      </c>
      <c r="C563" s="16" t="s">
        <v>128</v>
      </c>
      <c r="D563" s="16">
        <v>11312000</v>
      </c>
      <c r="E563" s="16">
        <v>4</v>
      </c>
      <c r="F563" s="16">
        <v>5</v>
      </c>
      <c r="G563" s="18" t="s">
        <v>108</v>
      </c>
      <c r="H563" s="16"/>
      <c r="I563" s="16" t="s">
        <v>129</v>
      </c>
      <c r="J563" s="16" t="s">
        <v>130</v>
      </c>
      <c r="K563" s="16" t="s">
        <v>131</v>
      </c>
    </row>
    <row r="564" spans="1:11" ht="240" hidden="1" x14ac:dyDescent="0.25">
      <c r="A564" s="22">
        <v>23</v>
      </c>
      <c r="B564" s="16" t="s">
        <v>132</v>
      </c>
      <c r="C564" s="16" t="s">
        <v>133</v>
      </c>
      <c r="D564" s="16">
        <v>11312000</v>
      </c>
      <c r="E564" s="16">
        <v>4</v>
      </c>
      <c r="F564" s="16">
        <v>5</v>
      </c>
      <c r="G564" s="18" t="s">
        <v>108</v>
      </c>
      <c r="H564" s="16"/>
      <c r="I564" s="16" t="s">
        <v>129</v>
      </c>
      <c r="J564" s="16" t="s">
        <v>130</v>
      </c>
      <c r="K564" s="16" t="s">
        <v>131</v>
      </c>
    </row>
    <row r="565" spans="1:11" ht="255" hidden="1" x14ac:dyDescent="0.25">
      <c r="A565" s="22">
        <v>217</v>
      </c>
      <c r="B565" s="16" t="s">
        <v>1007</v>
      </c>
      <c r="C565" s="16" t="s">
        <v>1008</v>
      </c>
      <c r="D565" s="16">
        <v>11235000</v>
      </c>
      <c r="E565" s="16">
        <v>3</v>
      </c>
      <c r="F565" s="16">
        <v>4</v>
      </c>
      <c r="G565" s="19" t="s">
        <v>842</v>
      </c>
      <c r="H565" s="16"/>
      <c r="I565" s="16" t="s">
        <v>1009</v>
      </c>
      <c r="J565" s="16" t="s">
        <v>1010</v>
      </c>
      <c r="K565" s="16" t="s">
        <v>1011</v>
      </c>
    </row>
    <row r="566" spans="1:11" ht="285" hidden="1" x14ac:dyDescent="0.25">
      <c r="A566" s="22">
        <v>426</v>
      </c>
      <c r="B566" s="16" t="s">
        <v>1926</v>
      </c>
      <c r="C566" s="16" t="s">
        <v>1927</v>
      </c>
      <c r="D566" s="16">
        <v>11200000</v>
      </c>
      <c r="E566" s="16">
        <v>3</v>
      </c>
      <c r="F566" s="16">
        <v>3</v>
      </c>
      <c r="G566" s="20" t="s">
        <v>1443</v>
      </c>
      <c r="H566" s="16"/>
      <c r="I566" s="16" t="s">
        <v>1928</v>
      </c>
      <c r="J566" s="16" t="s">
        <v>1929</v>
      </c>
      <c r="K566" s="16" t="s">
        <v>1930</v>
      </c>
    </row>
    <row r="567" spans="1:11" ht="409.5" hidden="1" x14ac:dyDescent="0.25">
      <c r="A567" s="22">
        <v>395</v>
      </c>
      <c r="B567" s="16" t="s">
        <v>1794</v>
      </c>
      <c r="C567" s="16" t="s">
        <v>1795</v>
      </c>
      <c r="D567" s="16">
        <v>11158500</v>
      </c>
      <c r="E567" s="16">
        <v>2</v>
      </c>
      <c r="F567" s="16">
        <v>5</v>
      </c>
      <c r="G567" s="20" t="s">
        <v>1443</v>
      </c>
      <c r="H567" s="16"/>
      <c r="I567" s="16" t="s">
        <v>1594</v>
      </c>
      <c r="J567" s="16" t="s">
        <v>1796</v>
      </c>
      <c r="K567" s="16" t="s">
        <v>1797</v>
      </c>
    </row>
    <row r="568" spans="1:11" ht="90" hidden="1" x14ac:dyDescent="0.25">
      <c r="A568" s="22">
        <v>585</v>
      </c>
      <c r="B568" s="16" t="s">
        <v>2582</v>
      </c>
      <c r="C568" s="16" t="s">
        <v>2583</v>
      </c>
      <c r="D568" s="16">
        <v>11080000</v>
      </c>
      <c r="E568" s="16">
        <v>3</v>
      </c>
      <c r="F568" s="16">
        <v>3</v>
      </c>
      <c r="G568" s="20" t="s">
        <v>1443</v>
      </c>
      <c r="H568" s="16"/>
      <c r="I568" s="16" t="s">
        <v>2584</v>
      </c>
      <c r="J568" s="16" t="s">
        <v>2585</v>
      </c>
      <c r="K568" s="16" t="s">
        <v>2586</v>
      </c>
    </row>
    <row r="569" spans="1:11" ht="375" hidden="1" x14ac:dyDescent="0.25">
      <c r="A569" s="22">
        <v>51</v>
      </c>
      <c r="B569" s="16" t="s">
        <v>261</v>
      </c>
      <c r="C569" s="16" t="s">
        <v>262</v>
      </c>
      <c r="D569" s="16">
        <v>11060000</v>
      </c>
      <c r="E569" s="16">
        <v>4</v>
      </c>
      <c r="F569" s="16">
        <v>4</v>
      </c>
      <c r="G569" s="18" t="s">
        <v>108</v>
      </c>
      <c r="H569" s="16"/>
      <c r="I569" s="16" t="s">
        <v>263</v>
      </c>
      <c r="J569" s="16" t="s">
        <v>264</v>
      </c>
      <c r="K569" s="16" t="s">
        <v>265</v>
      </c>
    </row>
    <row r="570" spans="1:11" ht="300" hidden="1" x14ac:dyDescent="0.25">
      <c r="A570" s="22">
        <v>284</v>
      </c>
      <c r="B570" s="16" t="s">
        <v>1299</v>
      </c>
      <c r="C570" s="16" t="s">
        <v>1300</v>
      </c>
      <c r="D570" s="16">
        <v>10745000</v>
      </c>
      <c r="E570" s="16">
        <v>3</v>
      </c>
      <c r="F570" s="16">
        <v>4</v>
      </c>
      <c r="G570" s="19" t="s">
        <v>842</v>
      </c>
      <c r="H570" s="16"/>
      <c r="I570" s="16" t="s">
        <v>1301</v>
      </c>
      <c r="J570" s="16" t="s">
        <v>1302</v>
      </c>
      <c r="K570" s="16" t="s">
        <v>1303</v>
      </c>
    </row>
    <row r="571" spans="1:11" ht="285" hidden="1" x14ac:dyDescent="0.25">
      <c r="A571" s="22">
        <v>360</v>
      </c>
      <c r="B571" s="16" t="s">
        <v>1651</v>
      </c>
      <c r="C571" s="16" t="s">
        <v>1652</v>
      </c>
      <c r="D571" s="16">
        <v>10684000</v>
      </c>
      <c r="E571" s="16">
        <v>3</v>
      </c>
      <c r="F571" s="16">
        <v>2</v>
      </c>
      <c r="G571" s="20" t="s">
        <v>1443</v>
      </c>
      <c r="H571" s="16"/>
      <c r="I571" s="16" t="s">
        <v>1653</v>
      </c>
      <c r="J571" s="16" t="s">
        <v>1654</v>
      </c>
      <c r="K571" s="16" t="s">
        <v>1655</v>
      </c>
    </row>
    <row r="572" spans="1:11" ht="300" hidden="1" x14ac:dyDescent="0.25">
      <c r="A572" s="22">
        <v>394</v>
      </c>
      <c r="B572" s="16" t="s">
        <v>1790</v>
      </c>
      <c r="C572" s="16" t="s">
        <v>1791</v>
      </c>
      <c r="D572" s="16">
        <v>10652000</v>
      </c>
      <c r="E572" s="16">
        <v>2</v>
      </c>
      <c r="F572" s="16">
        <v>3</v>
      </c>
      <c r="G572" s="20" t="s">
        <v>1443</v>
      </c>
      <c r="H572" s="16"/>
      <c r="I572" s="16" t="s">
        <v>1663</v>
      </c>
      <c r="J572" s="16" t="s">
        <v>1792</v>
      </c>
      <c r="K572" s="16" t="s">
        <v>1793</v>
      </c>
    </row>
    <row r="573" spans="1:11" ht="165" hidden="1" x14ac:dyDescent="0.25">
      <c r="A573" s="22">
        <v>409</v>
      </c>
      <c r="B573" s="16" t="s">
        <v>1854</v>
      </c>
      <c r="C573" s="16" t="s">
        <v>1855</v>
      </c>
      <c r="D573" s="16">
        <v>10625000</v>
      </c>
      <c r="E573" s="16">
        <v>3</v>
      </c>
      <c r="F573" s="16">
        <v>3</v>
      </c>
      <c r="G573" s="20" t="s">
        <v>1443</v>
      </c>
      <c r="H573" s="16"/>
      <c r="I573" s="16" t="s">
        <v>1856</v>
      </c>
      <c r="J573" s="16" t="s">
        <v>1857</v>
      </c>
      <c r="K573" s="16" t="s">
        <v>1858</v>
      </c>
    </row>
    <row r="574" spans="1:11" ht="255" hidden="1" x14ac:dyDescent="0.25">
      <c r="A574" s="22">
        <v>221</v>
      </c>
      <c r="B574" s="16" t="s">
        <v>1027</v>
      </c>
      <c r="C574" s="16" t="s">
        <v>1028</v>
      </c>
      <c r="D574" s="16">
        <v>10620000</v>
      </c>
      <c r="E574" s="16">
        <v>4</v>
      </c>
      <c r="F574" s="16">
        <v>3</v>
      </c>
      <c r="G574" s="19" t="s">
        <v>842</v>
      </c>
      <c r="H574" s="16"/>
      <c r="I574" s="16" t="s">
        <v>1029</v>
      </c>
      <c r="J574" s="16" t="s">
        <v>1030</v>
      </c>
      <c r="K574" s="16" t="s">
        <v>1031</v>
      </c>
    </row>
    <row r="575" spans="1:11" ht="240" hidden="1" x14ac:dyDescent="0.25">
      <c r="A575" s="22">
        <v>344</v>
      </c>
      <c r="B575" s="16" t="s">
        <v>1574</v>
      </c>
      <c r="C575" s="16" t="s">
        <v>1575</v>
      </c>
      <c r="D575" s="16">
        <v>10595000</v>
      </c>
      <c r="E575" s="16">
        <v>2</v>
      </c>
      <c r="F575" s="16">
        <v>3</v>
      </c>
      <c r="G575" s="20" t="s">
        <v>1443</v>
      </c>
      <c r="H575" s="16"/>
      <c r="I575" s="16" t="s">
        <v>1576</v>
      </c>
      <c r="J575" s="16" t="s">
        <v>1577</v>
      </c>
      <c r="K575" s="16" t="s">
        <v>1578</v>
      </c>
    </row>
    <row r="576" spans="1:11" ht="210" hidden="1" x14ac:dyDescent="0.25">
      <c r="A576" s="22">
        <v>651</v>
      </c>
      <c r="B576" s="16" t="s">
        <v>2843</v>
      </c>
      <c r="C576" s="16" t="s">
        <v>2844</v>
      </c>
      <c r="D576" s="16">
        <v>10545000</v>
      </c>
      <c r="E576" s="16">
        <v>2</v>
      </c>
      <c r="F576" s="16">
        <v>2</v>
      </c>
      <c r="G576" s="21" t="s">
        <v>2807</v>
      </c>
      <c r="H576" s="16"/>
      <c r="I576" s="16" t="s">
        <v>2845</v>
      </c>
      <c r="J576" s="16" t="s">
        <v>2846</v>
      </c>
      <c r="K576" s="16" t="s">
        <v>2847</v>
      </c>
    </row>
    <row r="577" spans="1:11" ht="409.5" hidden="1" x14ac:dyDescent="0.25">
      <c r="A577" s="22">
        <v>129</v>
      </c>
      <c r="B577" s="16" t="s">
        <v>617</v>
      </c>
      <c r="C577" s="16" t="s">
        <v>618</v>
      </c>
      <c r="D577" s="16">
        <v>10508000</v>
      </c>
      <c r="E577" s="16">
        <v>4</v>
      </c>
      <c r="F577" s="16">
        <v>5</v>
      </c>
      <c r="G577" s="18" t="s">
        <v>108</v>
      </c>
      <c r="H577" s="16"/>
      <c r="I577" s="16" t="s">
        <v>619</v>
      </c>
      <c r="J577" s="16" t="s">
        <v>620</v>
      </c>
      <c r="K577" s="16" t="s">
        <v>621</v>
      </c>
    </row>
    <row r="578" spans="1:11" ht="225" hidden="1" x14ac:dyDescent="0.25">
      <c r="A578" s="22">
        <v>354</v>
      </c>
      <c r="B578" s="16" t="s">
        <v>1621</v>
      </c>
      <c r="C578" s="16" t="s">
        <v>1622</v>
      </c>
      <c r="D578" s="16">
        <v>10415000</v>
      </c>
      <c r="E578" s="16">
        <v>3</v>
      </c>
      <c r="F578" s="16">
        <v>2</v>
      </c>
      <c r="G578" s="20" t="s">
        <v>1443</v>
      </c>
      <c r="H578" s="16"/>
      <c r="I578" s="16" t="s">
        <v>1623</v>
      </c>
      <c r="J578" s="16" t="s">
        <v>1624</v>
      </c>
      <c r="K578" s="16" t="s">
        <v>1625</v>
      </c>
    </row>
    <row r="579" spans="1:11" ht="240" hidden="1" x14ac:dyDescent="0.25">
      <c r="A579" s="22">
        <v>106</v>
      </c>
      <c r="B579" s="16" t="s">
        <v>505</v>
      </c>
      <c r="C579" s="16" t="s">
        <v>506</v>
      </c>
      <c r="D579" s="16">
        <v>10400000</v>
      </c>
      <c r="E579" s="16">
        <v>4</v>
      </c>
      <c r="F579" s="16">
        <v>4</v>
      </c>
      <c r="G579" s="18" t="s">
        <v>108</v>
      </c>
      <c r="H579" s="16"/>
      <c r="I579" s="16" t="s">
        <v>507</v>
      </c>
      <c r="J579" s="16" t="s">
        <v>508</v>
      </c>
      <c r="K579" s="16" t="s">
        <v>509</v>
      </c>
    </row>
    <row r="580" spans="1:11" ht="240" hidden="1" x14ac:dyDescent="0.25">
      <c r="A580" s="22">
        <v>380</v>
      </c>
      <c r="B580" s="16" t="s">
        <v>1728</v>
      </c>
      <c r="C580" s="16" t="s">
        <v>1729</v>
      </c>
      <c r="D580" s="16">
        <v>10371000</v>
      </c>
      <c r="E580" s="16">
        <v>2</v>
      </c>
      <c r="F580" s="16">
        <v>4</v>
      </c>
      <c r="G580" s="20" t="s">
        <v>1443</v>
      </c>
      <c r="H580" s="16"/>
      <c r="I580" s="16" t="s">
        <v>1730</v>
      </c>
      <c r="J580" s="16" t="s">
        <v>130</v>
      </c>
      <c r="K580" s="16" t="s">
        <v>1731</v>
      </c>
    </row>
    <row r="581" spans="1:11" ht="375" hidden="1" x14ac:dyDescent="0.25">
      <c r="A581" s="22">
        <v>363</v>
      </c>
      <c r="B581" s="16" t="s">
        <v>1666</v>
      </c>
      <c r="C581" s="16" t="s">
        <v>1667</v>
      </c>
      <c r="D581" s="16">
        <v>10365000</v>
      </c>
      <c r="E581" s="16">
        <v>4</v>
      </c>
      <c r="F581" s="16">
        <v>2</v>
      </c>
      <c r="G581" s="20" t="s">
        <v>1443</v>
      </c>
      <c r="H581" s="16"/>
      <c r="I581" s="16" t="s">
        <v>1663</v>
      </c>
      <c r="J581" s="16" t="s">
        <v>1668</v>
      </c>
      <c r="K581" s="16" t="s">
        <v>1665</v>
      </c>
    </row>
    <row r="582" spans="1:11" ht="409.5" hidden="1" x14ac:dyDescent="0.25">
      <c r="A582" s="22">
        <v>289</v>
      </c>
      <c r="B582" s="16" t="s">
        <v>1321</v>
      </c>
      <c r="C582" s="16" t="s">
        <v>1322</v>
      </c>
      <c r="D582" s="16">
        <v>10335000</v>
      </c>
      <c r="E582" s="16">
        <v>3</v>
      </c>
      <c r="F582" s="16">
        <v>5</v>
      </c>
      <c r="G582" s="19" t="s">
        <v>842</v>
      </c>
      <c r="H582" s="16"/>
      <c r="I582" s="16" t="s">
        <v>1323</v>
      </c>
      <c r="J582" s="16" t="s">
        <v>1324</v>
      </c>
      <c r="K582" s="16" t="s">
        <v>1325</v>
      </c>
    </row>
    <row r="583" spans="1:11" ht="315" hidden="1" x14ac:dyDescent="0.25">
      <c r="A583" s="22">
        <v>233</v>
      </c>
      <c r="B583" s="16" t="s">
        <v>1074</v>
      </c>
      <c r="C583" s="16" t="s">
        <v>1075</v>
      </c>
      <c r="D583" s="16">
        <v>10244000</v>
      </c>
      <c r="E583" s="16">
        <v>3</v>
      </c>
      <c r="F583" s="16">
        <v>4</v>
      </c>
      <c r="G583" s="19" t="s">
        <v>842</v>
      </c>
      <c r="H583" s="16"/>
      <c r="I583" s="16" t="s">
        <v>1076</v>
      </c>
      <c r="J583" s="16" t="s">
        <v>1077</v>
      </c>
      <c r="K583" s="16" t="s">
        <v>1078</v>
      </c>
    </row>
    <row r="584" spans="1:11" ht="195" hidden="1" x14ac:dyDescent="0.25">
      <c r="A584" s="22">
        <v>339</v>
      </c>
      <c r="B584" s="16" t="s">
        <v>1555</v>
      </c>
      <c r="C584" s="16" t="s">
        <v>1556</v>
      </c>
      <c r="D584" s="16">
        <v>10220000</v>
      </c>
      <c r="E584" s="16">
        <v>2</v>
      </c>
      <c r="F584" s="16">
        <v>5</v>
      </c>
      <c r="G584" s="20" t="s">
        <v>1443</v>
      </c>
      <c r="H584" s="16"/>
      <c r="I584" s="16" t="s">
        <v>1034</v>
      </c>
      <c r="J584" s="16" t="s">
        <v>1040</v>
      </c>
      <c r="K584" s="16" t="s">
        <v>1041</v>
      </c>
    </row>
    <row r="585" spans="1:11" ht="105" hidden="1" x14ac:dyDescent="0.25">
      <c r="A585" s="22">
        <v>697</v>
      </c>
      <c r="B585" s="16" t="s">
        <v>3042</v>
      </c>
      <c r="C585" s="16" t="s">
        <v>3043</v>
      </c>
      <c r="D585" s="16">
        <v>10145000</v>
      </c>
      <c r="E585" s="16">
        <v>2</v>
      </c>
      <c r="F585" s="16">
        <v>2</v>
      </c>
      <c r="G585" s="21" t="s">
        <v>2807</v>
      </c>
      <c r="H585" s="16"/>
      <c r="I585" s="16" t="s">
        <v>2584</v>
      </c>
      <c r="J585" s="16" t="s">
        <v>3044</v>
      </c>
      <c r="K585" s="16" t="s">
        <v>3045</v>
      </c>
    </row>
    <row r="586" spans="1:11" ht="105" hidden="1" x14ac:dyDescent="0.25">
      <c r="A586" s="22">
        <v>699</v>
      </c>
      <c r="B586" s="16" t="s">
        <v>3051</v>
      </c>
      <c r="C586" s="16" t="s">
        <v>3052</v>
      </c>
      <c r="D586" s="16">
        <v>10100000</v>
      </c>
      <c r="E586" s="16">
        <v>2</v>
      </c>
      <c r="F586" s="16">
        <v>2</v>
      </c>
      <c r="G586" s="21" t="s">
        <v>2807</v>
      </c>
      <c r="H586" s="16"/>
      <c r="I586" s="16" t="s">
        <v>3053</v>
      </c>
      <c r="J586" s="16" t="s">
        <v>3054</v>
      </c>
      <c r="K586" s="16" t="s">
        <v>3055</v>
      </c>
    </row>
    <row r="587" spans="1:11" ht="240" hidden="1" x14ac:dyDescent="0.25">
      <c r="A587" s="22">
        <v>671</v>
      </c>
      <c r="B587" s="16" t="s">
        <v>2923</v>
      </c>
      <c r="C587" s="16" t="s">
        <v>2924</v>
      </c>
      <c r="D587" s="16">
        <v>10020000</v>
      </c>
      <c r="E587" s="16">
        <v>2</v>
      </c>
      <c r="F587" s="16">
        <v>2</v>
      </c>
      <c r="G587" s="21" t="s">
        <v>2807</v>
      </c>
      <c r="H587" s="16"/>
      <c r="I587" s="16" t="s">
        <v>2925</v>
      </c>
      <c r="J587" s="16" t="s">
        <v>2926</v>
      </c>
      <c r="K587" s="16" t="s">
        <v>2927</v>
      </c>
    </row>
    <row r="588" spans="1:11" ht="409.5" hidden="1" x14ac:dyDescent="0.25">
      <c r="A588" s="22">
        <v>548</v>
      </c>
      <c r="B588" s="16" t="s">
        <v>2452</v>
      </c>
      <c r="C588" s="16" t="s">
        <v>2453</v>
      </c>
      <c r="D588" s="16">
        <v>10007000</v>
      </c>
      <c r="E588" s="16">
        <v>3</v>
      </c>
      <c r="F588" s="16">
        <v>3</v>
      </c>
      <c r="G588" s="20" t="s">
        <v>1443</v>
      </c>
      <c r="H588" s="16"/>
      <c r="I588" s="16" t="s">
        <v>2454</v>
      </c>
      <c r="J588" s="16" t="s">
        <v>2455</v>
      </c>
      <c r="K588" s="16" t="s">
        <v>2456</v>
      </c>
    </row>
    <row r="589" spans="1:11" ht="409.5" hidden="1" x14ac:dyDescent="0.25">
      <c r="A589" s="22">
        <v>508</v>
      </c>
      <c r="B589" s="16" t="s">
        <v>2263</v>
      </c>
      <c r="C589" s="16" t="s">
        <v>2264</v>
      </c>
      <c r="D589" s="16">
        <v>10000000</v>
      </c>
      <c r="E589" s="16">
        <v>2</v>
      </c>
      <c r="F589" s="16">
        <v>4</v>
      </c>
      <c r="G589" s="20" t="s">
        <v>1443</v>
      </c>
      <c r="H589" s="16"/>
      <c r="I589" s="16" t="s">
        <v>2265</v>
      </c>
      <c r="J589" s="16" t="s">
        <v>2266</v>
      </c>
      <c r="K589" s="16" t="s">
        <v>2267</v>
      </c>
    </row>
    <row r="590" spans="1:11" ht="409.5" hidden="1" x14ac:dyDescent="0.25">
      <c r="A590" s="22">
        <v>676</v>
      </c>
      <c r="B590" s="16" t="s">
        <v>2948</v>
      </c>
      <c r="C590" s="16" t="s">
        <v>2949</v>
      </c>
      <c r="D590" s="16">
        <v>10000000</v>
      </c>
      <c r="E590" s="16">
        <v>1</v>
      </c>
      <c r="F590" s="16">
        <v>3</v>
      </c>
      <c r="G590" s="21" t="s">
        <v>2807</v>
      </c>
      <c r="H590" s="16"/>
      <c r="I590" s="16" t="s">
        <v>2950</v>
      </c>
      <c r="J590" s="16" t="s">
        <v>2951</v>
      </c>
      <c r="K590" s="16" t="s">
        <v>2952</v>
      </c>
    </row>
    <row r="591" spans="1:11" ht="225" hidden="1" x14ac:dyDescent="0.25">
      <c r="A591" s="22">
        <v>374</v>
      </c>
      <c r="B591" s="16" t="s">
        <v>1710</v>
      </c>
      <c r="C591" s="16" t="s">
        <v>1711</v>
      </c>
      <c r="D591" s="16">
        <v>9920000</v>
      </c>
      <c r="E591" s="16">
        <v>2</v>
      </c>
      <c r="F591" s="16">
        <v>4</v>
      </c>
      <c r="G591" s="20" t="s">
        <v>1443</v>
      </c>
      <c r="H591" s="16"/>
      <c r="I591" s="16" t="s">
        <v>1686</v>
      </c>
      <c r="J591" s="16" t="s">
        <v>1687</v>
      </c>
      <c r="K591" s="16" t="s">
        <v>1688</v>
      </c>
    </row>
    <row r="592" spans="1:11" ht="195" hidden="1" x14ac:dyDescent="0.25">
      <c r="A592" s="22">
        <v>224</v>
      </c>
      <c r="B592" s="16" t="s">
        <v>1038</v>
      </c>
      <c r="C592" s="16" t="s">
        <v>1039</v>
      </c>
      <c r="D592" s="16">
        <v>9760000</v>
      </c>
      <c r="E592" s="16">
        <v>4</v>
      </c>
      <c r="F592" s="16">
        <v>3</v>
      </c>
      <c r="G592" s="19" t="s">
        <v>842</v>
      </c>
      <c r="H592" s="16"/>
      <c r="I592" s="16" t="s">
        <v>1034</v>
      </c>
      <c r="J592" s="16" t="s">
        <v>1040</v>
      </c>
      <c r="K592" s="16" t="s">
        <v>1041</v>
      </c>
    </row>
    <row r="593" spans="1:11" ht="240" hidden="1" x14ac:dyDescent="0.25">
      <c r="A593" s="22">
        <v>54</v>
      </c>
      <c r="B593" s="16" t="s">
        <v>271</v>
      </c>
      <c r="C593" s="16" t="s">
        <v>272</v>
      </c>
      <c r="D593" s="16">
        <v>9640000</v>
      </c>
      <c r="E593" s="16">
        <v>4</v>
      </c>
      <c r="F593" s="16">
        <v>5</v>
      </c>
      <c r="G593" s="18" t="s">
        <v>108</v>
      </c>
      <c r="H593" s="16"/>
      <c r="I593" s="16" t="s">
        <v>119</v>
      </c>
      <c r="J593" s="16" t="s">
        <v>120</v>
      </c>
      <c r="K593" s="16" t="s">
        <v>121</v>
      </c>
    </row>
    <row r="594" spans="1:11" ht="210" hidden="1" x14ac:dyDescent="0.25">
      <c r="A594" s="22">
        <v>498</v>
      </c>
      <c r="B594" s="16" t="s">
        <v>2217</v>
      </c>
      <c r="C594" s="16" t="s">
        <v>2218</v>
      </c>
      <c r="D594" s="16">
        <v>9557500</v>
      </c>
      <c r="E594" s="16">
        <v>3</v>
      </c>
      <c r="F594" s="16">
        <v>3</v>
      </c>
      <c r="G594" s="20" t="s">
        <v>1443</v>
      </c>
      <c r="H594" s="16"/>
      <c r="I594" s="16" t="s">
        <v>2219</v>
      </c>
      <c r="J594" s="16" t="s">
        <v>2220</v>
      </c>
      <c r="K594" s="16" t="s">
        <v>2221</v>
      </c>
    </row>
    <row r="595" spans="1:11" ht="225" hidden="1" x14ac:dyDescent="0.25">
      <c r="A595" s="22">
        <v>195</v>
      </c>
      <c r="B595" s="16" t="s">
        <v>912</v>
      </c>
      <c r="C595" s="16" t="s">
        <v>913</v>
      </c>
      <c r="D595" s="16">
        <v>9500000</v>
      </c>
      <c r="E595" s="16">
        <v>4</v>
      </c>
      <c r="F595" s="16">
        <v>3</v>
      </c>
      <c r="G595" s="19" t="s">
        <v>842</v>
      </c>
      <c r="H595" s="16"/>
      <c r="I595" s="16" t="s">
        <v>914</v>
      </c>
      <c r="J595" s="16" t="s">
        <v>915</v>
      </c>
      <c r="K595" s="16" t="s">
        <v>916</v>
      </c>
    </row>
    <row r="596" spans="1:11" ht="225" hidden="1" x14ac:dyDescent="0.25">
      <c r="A596" s="22">
        <v>203</v>
      </c>
      <c r="B596" s="16" t="s">
        <v>952</v>
      </c>
      <c r="C596" s="16" t="s">
        <v>953</v>
      </c>
      <c r="D596" s="16">
        <v>9500000</v>
      </c>
      <c r="E596" s="16">
        <v>4</v>
      </c>
      <c r="F596" s="16">
        <v>3</v>
      </c>
      <c r="G596" s="19" t="s">
        <v>842</v>
      </c>
      <c r="H596" s="16"/>
      <c r="I596" s="16" t="s">
        <v>914</v>
      </c>
      <c r="J596" s="16" t="s">
        <v>915</v>
      </c>
      <c r="K596" s="16" t="s">
        <v>916</v>
      </c>
    </row>
    <row r="597" spans="1:11" ht="225" hidden="1" x14ac:dyDescent="0.25">
      <c r="A597" s="22">
        <v>216</v>
      </c>
      <c r="B597" s="16" t="s">
        <v>1004</v>
      </c>
      <c r="C597" s="16" t="s">
        <v>1005</v>
      </c>
      <c r="D597" s="16">
        <v>9500000</v>
      </c>
      <c r="E597" s="16">
        <v>4</v>
      </c>
      <c r="F597" s="16">
        <v>3</v>
      </c>
      <c r="G597" s="19" t="s">
        <v>842</v>
      </c>
      <c r="H597" s="16"/>
      <c r="I597" s="16" t="s">
        <v>1006</v>
      </c>
      <c r="J597" s="16" t="s">
        <v>915</v>
      </c>
      <c r="K597" s="16" t="s">
        <v>916</v>
      </c>
    </row>
    <row r="598" spans="1:11" ht="270" hidden="1" x14ac:dyDescent="0.25">
      <c r="A598" s="22">
        <v>336</v>
      </c>
      <c r="B598" s="16" t="s">
        <v>1540</v>
      </c>
      <c r="C598" s="16" t="s">
        <v>1541</v>
      </c>
      <c r="D598" s="16">
        <v>9386000</v>
      </c>
      <c r="E598" s="16">
        <v>2</v>
      </c>
      <c r="F598" s="16">
        <v>4</v>
      </c>
      <c r="G598" s="20" t="s">
        <v>1443</v>
      </c>
      <c r="H598" s="16"/>
      <c r="I598" s="16" t="s">
        <v>1542</v>
      </c>
      <c r="J598" s="16" t="s">
        <v>1543</v>
      </c>
      <c r="K598" s="16" t="s">
        <v>1544</v>
      </c>
    </row>
    <row r="599" spans="1:11" ht="390" hidden="1" x14ac:dyDescent="0.25">
      <c r="A599" s="22">
        <v>130</v>
      </c>
      <c r="B599" s="16" t="s">
        <v>622</v>
      </c>
      <c r="C599" s="16" t="s">
        <v>623</v>
      </c>
      <c r="D599" s="16">
        <v>9381000</v>
      </c>
      <c r="E599" s="16">
        <v>4</v>
      </c>
      <c r="F599" s="16">
        <v>4</v>
      </c>
      <c r="G599" s="18" t="s">
        <v>108</v>
      </c>
      <c r="H599" s="16"/>
      <c r="I599" s="16" t="s">
        <v>624</v>
      </c>
      <c r="J599" s="16" t="s">
        <v>625</v>
      </c>
      <c r="K599" s="16" t="s">
        <v>626</v>
      </c>
    </row>
    <row r="600" spans="1:11" ht="270" hidden="1" x14ac:dyDescent="0.25">
      <c r="A600" s="22">
        <v>331</v>
      </c>
      <c r="B600" s="16" t="s">
        <v>1516</v>
      </c>
      <c r="C600" s="16" t="s">
        <v>1517</v>
      </c>
      <c r="D600" s="16">
        <v>9375000</v>
      </c>
      <c r="E600" s="16">
        <v>2</v>
      </c>
      <c r="F600" s="16">
        <v>5</v>
      </c>
      <c r="G600" s="20" t="s">
        <v>1443</v>
      </c>
      <c r="H600" s="16"/>
      <c r="I600" s="16" t="s">
        <v>1518</v>
      </c>
      <c r="J600" s="16" t="s">
        <v>1519</v>
      </c>
      <c r="K600" s="16" t="s">
        <v>1520</v>
      </c>
    </row>
    <row r="601" spans="1:11" ht="409.5" hidden="1" x14ac:dyDescent="0.25">
      <c r="A601" s="22">
        <v>549</v>
      </c>
      <c r="B601" s="16" t="s">
        <v>2457</v>
      </c>
      <c r="C601" s="16" t="s">
        <v>2458</v>
      </c>
      <c r="D601" s="16">
        <v>9374000</v>
      </c>
      <c r="E601" s="16">
        <v>2</v>
      </c>
      <c r="F601" s="16">
        <v>4</v>
      </c>
      <c r="G601" s="20" t="s">
        <v>1443</v>
      </c>
      <c r="H601" s="16"/>
      <c r="I601" s="16" t="s">
        <v>2459</v>
      </c>
      <c r="J601" s="16" t="s">
        <v>2460</v>
      </c>
      <c r="K601" s="16" t="s">
        <v>2461</v>
      </c>
    </row>
    <row r="602" spans="1:11" ht="409.5" hidden="1" x14ac:dyDescent="0.25">
      <c r="A602" s="22">
        <v>462</v>
      </c>
      <c r="B602" s="16" t="s">
        <v>2054</v>
      </c>
      <c r="C602" s="16" t="s">
        <v>2055</v>
      </c>
      <c r="D602" s="16">
        <v>9358790</v>
      </c>
      <c r="E602" s="16">
        <v>3</v>
      </c>
      <c r="F602" s="16">
        <v>3</v>
      </c>
      <c r="G602" s="20" t="s">
        <v>1443</v>
      </c>
      <c r="H602" s="16"/>
      <c r="I602" s="16" t="s">
        <v>2056</v>
      </c>
      <c r="J602" s="16" t="s">
        <v>2057</v>
      </c>
      <c r="K602" s="16" t="s">
        <v>2058</v>
      </c>
    </row>
    <row r="603" spans="1:11" ht="255" hidden="1" x14ac:dyDescent="0.25">
      <c r="A603" s="22">
        <v>188</v>
      </c>
      <c r="B603" s="16" t="s">
        <v>877</v>
      </c>
      <c r="C603" s="16" t="s">
        <v>878</v>
      </c>
      <c r="D603" s="16">
        <v>9300000</v>
      </c>
      <c r="E603" s="16">
        <v>4</v>
      </c>
      <c r="F603" s="16">
        <v>3</v>
      </c>
      <c r="G603" s="19" t="s">
        <v>842</v>
      </c>
      <c r="H603" s="16"/>
      <c r="I603" s="16" t="s">
        <v>879</v>
      </c>
      <c r="J603" s="16" t="s">
        <v>880</v>
      </c>
      <c r="K603" s="16" t="s">
        <v>881</v>
      </c>
    </row>
    <row r="604" spans="1:11" ht="210" hidden="1" x14ac:dyDescent="0.25">
      <c r="A604" s="22">
        <v>667</v>
      </c>
      <c r="B604" s="16" t="s">
        <v>2910</v>
      </c>
      <c r="C604" s="16" t="s">
        <v>2911</v>
      </c>
      <c r="D604" s="16">
        <v>9248000</v>
      </c>
      <c r="E604" s="16">
        <v>1</v>
      </c>
      <c r="F604" s="16">
        <v>3</v>
      </c>
      <c r="G604" s="21" t="s">
        <v>2807</v>
      </c>
      <c r="H604" s="16"/>
      <c r="I604" s="16" t="s">
        <v>2912</v>
      </c>
      <c r="J604" s="16" t="s">
        <v>2913</v>
      </c>
      <c r="K604" s="16" t="s">
        <v>2914</v>
      </c>
    </row>
    <row r="605" spans="1:11" ht="360" hidden="1" x14ac:dyDescent="0.25">
      <c r="A605" s="22">
        <v>666</v>
      </c>
      <c r="B605" s="16" t="s">
        <v>2905</v>
      </c>
      <c r="C605" s="16" t="s">
        <v>2906</v>
      </c>
      <c r="D605" s="16">
        <v>9180000</v>
      </c>
      <c r="E605" s="16">
        <v>2</v>
      </c>
      <c r="F605" s="16">
        <v>2</v>
      </c>
      <c r="G605" s="21" t="s">
        <v>2807</v>
      </c>
      <c r="H605" s="16"/>
      <c r="I605" s="16" t="s">
        <v>2907</v>
      </c>
      <c r="J605" s="16" t="s">
        <v>2908</v>
      </c>
      <c r="K605" s="16" t="s">
        <v>2909</v>
      </c>
    </row>
    <row r="606" spans="1:11" ht="240" hidden="1" x14ac:dyDescent="0.25">
      <c r="A606" s="22">
        <v>406</v>
      </c>
      <c r="B606" s="16" t="s">
        <v>1842</v>
      </c>
      <c r="C606" s="16" t="s">
        <v>1843</v>
      </c>
      <c r="D606" s="16">
        <v>9115000</v>
      </c>
      <c r="E606" s="16">
        <v>2</v>
      </c>
      <c r="F606" s="16">
        <v>4</v>
      </c>
      <c r="G606" s="20" t="s">
        <v>1443</v>
      </c>
      <c r="H606" s="16"/>
      <c r="I606" s="16" t="s">
        <v>1844</v>
      </c>
      <c r="J606" s="16" t="s">
        <v>1845</v>
      </c>
      <c r="K606" s="16" t="s">
        <v>1846</v>
      </c>
    </row>
    <row r="607" spans="1:11" ht="150" hidden="1" x14ac:dyDescent="0.25">
      <c r="A607" s="22">
        <v>501</v>
      </c>
      <c r="B607" s="16" t="s">
        <v>2232</v>
      </c>
      <c r="C607" s="16" t="s">
        <v>2233</v>
      </c>
      <c r="D607" s="16">
        <v>9071000</v>
      </c>
      <c r="E607" s="16">
        <v>2</v>
      </c>
      <c r="F607" s="16">
        <v>3</v>
      </c>
      <c r="G607" s="20" t="s">
        <v>1443</v>
      </c>
      <c r="H607" s="16"/>
      <c r="I607" s="16" t="s">
        <v>2234</v>
      </c>
      <c r="J607" s="16" t="s">
        <v>2235</v>
      </c>
      <c r="K607" s="16" t="s">
        <v>2236</v>
      </c>
    </row>
    <row r="608" spans="1:11" ht="165" hidden="1" x14ac:dyDescent="0.25">
      <c r="A608" s="22">
        <v>542</v>
      </c>
      <c r="B608" s="16" t="s">
        <v>2422</v>
      </c>
      <c r="C608" s="16" t="s">
        <v>2423</v>
      </c>
      <c r="D608" s="16">
        <v>8996680</v>
      </c>
      <c r="E608" s="16">
        <v>2</v>
      </c>
      <c r="F608" s="16">
        <v>3</v>
      </c>
      <c r="G608" s="20" t="s">
        <v>1443</v>
      </c>
      <c r="H608" s="16"/>
      <c r="I608" s="16" t="s">
        <v>2424</v>
      </c>
      <c r="J608" s="16" t="s">
        <v>2425</v>
      </c>
      <c r="K608" s="16" t="s">
        <v>2426</v>
      </c>
    </row>
    <row r="609" spans="1:11" ht="255" hidden="1" x14ac:dyDescent="0.25">
      <c r="A609" s="22">
        <v>189</v>
      </c>
      <c r="B609" s="16" t="s">
        <v>882</v>
      </c>
      <c r="C609" s="16" t="s">
        <v>883</v>
      </c>
      <c r="D609" s="16">
        <v>8980000</v>
      </c>
      <c r="E609" s="16">
        <v>4</v>
      </c>
      <c r="F609" s="16">
        <v>3</v>
      </c>
      <c r="G609" s="19" t="s">
        <v>842</v>
      </c>
      <c r="H609" s="16"/>
      <c r="I609" s="16" t="s">
        <v>884</v>
      </c>
      <c r="J609" s="16" t="s">
        <v>885</v>
      </c>
      <c r="K609" s="16" t="s">
        <v>886</v>
      </c>
    </row>
    <row r="610" spans="1:11" ht="210" hidden="1" x14ac:dyDescent="0.25">
      <c r="A610" s="22">
        <v>475</v>
      </c>
      <c r="B610" s="16" t="s">
        <v>2111</v>
      </c>
      <c r="C610" s="16" t="s">
        <v>2112</v>
      </c>
      <c r="D610" s="16">
        <v>8929000</v>
      </c>
      <c r="E610" s="16">
        <v>3</v>
      </c>
      <c r="F610" s="16">
        <v>2</v>
      </c>
      <c r="G610" s="20" t="s">
        <v>1443</v>
      </c>
      <c r="H610" s="16"/>
      <c r="I610" s="16" t="s">
        <v>2113</v>
      </c>
      <c r="J610" s="16" t="s">
        <v>2114</v>
      </c>
      <c r="K610" s="16" t="s">
        <v>936</v>
      </c>
    </row>
    <row r="611" spans="1:11" ht="210" hidden="1" x14ac:dyDescent="0.25">
      <c r="A611" s="22">
        <v>191</v>
      </c>
      <c r="B611" s="16" t="s">
        <v>892</v>
      </c>
      <c r="C611" s="16" t="s">
        <v>893</v>
      </c>
      <c r="D611" s="16">
        <v>8839000</v>
      </c>
      <c r="E611" s="16">
        <v>4</v>
      </c>
      <c r="F611" s="16">
        <v>3</v>
      </c>
      <c r="G611" s="19" t="s">
        <v>842</v>
      </c>
      <c r="H611" s="16"/>
      <c r="I611" s="16" t="s">
        <v>894</v>
      </c>
      <c r="J611" s="16" t="s">
        <v>895</v>
      </c>
      <c r="K611" s="16" t="s">
        <v>896</v>
      </c>
    </row>
    <row r="612" spans="1:11" ht="409.5" hidden="1" x14ac:dyDescent="0.25">
      <c r="A612" s="22">
        <v>291</v>
      </c>
      <c r="B612" s="16" t="s">
        <v>1331</v>
      </c>
      <c r="C612" s="16" t="s">
        <v>1332</v>
      </c>
      <c r="D612" s="16">
        <v>8757000</v>
      </c>
      <c r="E612" s="16">
        <v>3</v>
      </c>
      <c r="F612" s="16">
        <v>4</v>
      </c>
      <c r="G612" s="19" t="s">
        <v>842</v>
      </c>
      <c r="H612" s="16"/>
      <c r="I612" s="16" t="s">
        <v>1333</v>
      </c>
      <c r="J612" s="16" t="s">
        <v>1334</v>
      </c>
      <c r="K612" s="16" t="s">
        <v>1335</v>
      </c>
    </row>
    <row r="613" spans="1:11" ht="225" hidden="1" x14ac:dyDescent="0.25">
      <c r="A613" s="22">
        <v>368</v>
      </c>
      <c r="B613" s="16" t="s">
        <v>1689</v>
      </c>
      <c r="C613" s="16" t="s">
        <v>1690</v>
      </c>
      <c r="D613" s="16">
        <v>8740000</v>
      </c>
      <c r="E613" s="16">
        <v>2</v>
      </c>
      <c r="F613" s="16">
        <v>4</v>
      </c>
      <c r="G613" s="20" t="s">
        <v>1443</v>
      </c>
      <c r="H613" s="16"/>
      <c r="I613" s="16" t="s">
        <v>1691</v>
      </c>
      <c r="J613" s="16" t="s">
        <v>1692</v>
      </c>
      <c r="K613" s="16" t="s">
        <v>1693</v>
      </c>
    </row>
    <row r="614" spans="1:11" ht="375" hidden="1" x14ac:dyDescent="0.25">
      <c r="A614" s="22">
        <v>434</v>
      </c>
      <c r="B614" s="16" t="s">
        <v>1960</v>
      </c>
      <c r="C614" s="16" t="s">
        <v>1961</v>
      </c>
      <c r="D614" s="16">
        <v>8665000</v>
      </c>
      <c r="E614" s="16">
        <v>3</v>
      </c>
      <c r="F614" s="16">
        <v>3</v>
      </c>
      <c r="G614" s="20" t="s">
        <v>1443</v>
      </c>
      <c r="H614" s="16"/>
      <c r="I614" s="16" t="s">
        <v>1962</v>
      </c>
      <c r="J614" s="16" t="s">
        <v>1963</v>
      </c>
      <c r="K614" s="16" t="s">
        <v>1964</v>
      </c>
    </row>
    <row r="615" spans="1:11" ht="409.5" hidden="1" x14ac:dyDescent="0.25">
      <c r="A615" s="22">
        <v>295</v>
      </c>
      <c r="B615" s="16" t="s">
        <v>1348</v>
      </c>
      <c r="C615" s="16" t="s">
        <v>1349</v>
      </c>
      <c r="D615" s="16">
        <v>8487000</v>
      </c>
      <c r="E615" s="16">
        <v>3</v>
      </c>
      <c r="F615" s="16">
        <v>4</v>
      </c>
      <c r="G615" s="19" t="s">
        <v>842</v>
      </c>
      <c r="H615" s="16"/>
      <c r="I615" s="16" t="s">
        <v>1350</v>
      </c>
      <c r="J615" s="16" t="s">
        <v>1351</v>
      </c>
      <c r="K615" s="16" t="s">
        <v>1352</v>
      </c>
    </row>
    <row r="616" spans="1:11" ht="255" hidden="1" x14ac:dyDescent="0.25">
      <c r="A616" s="22">
        <v>535</v>
      </c>
      <c r="B616" s="16" t="s">
        <v>2393</v>
      </c>
      <c r="C616" s="16" t="s">
        <v>2394</v>
      </c>
      <c r="D616" s="16">
        <v>8375000</v>
      </c>
      <c r="E616" s="16">
        <v>3</v>
      </c>
      <c r="F616" s="16">
        <v>3</v>
      </c>
      <c r="G616" s="20" t="s">
        <v>1443</v>
      </c>
      <c r="H616" s="16"/>
      <c r="I616" s="16" t="s">
        <v>2395</v>
      </c>
      <c r="J616" s="16" t="s">
        <v>2396</v>
      </c>
      <c r="K616" s="16" t="s">
        <v>2397</v>
      </c>
    </row>
    <row r="617" spans="1:11" ht="225" hidden="1" x14ac:dyDescent="0.25">
      <c r="A617" s="22">
        <v>2</v>
      </c>
      <c r="B617" s="16" t="s">
        <v>35</v>
      </c>
      <c r="C617" s="16" t="s">
        <v>36</v>
      </c>
      <c r="D617" s="16">
        <v>8320000</v>
      </c>
      <c r="E617" s="16">
        <v>5</v>
      </c>
      <c r="F617" s="16">
        <v>5</v>
      </c>
      <c r="G617" s="17" t="s">
        <v>31</v>
      </c>
      <c r="H617" s="16"/>
      <c r="I617" s="16" t="s">
        <v>32</v>
      </c>
      <c r="J617" s="16" t="s">
        <v>33</v>
      </c>
      <c r="K617" s="16" t="s">
        <v>34</v>
      </c>
    </row>
    <row r="618" spans="1:11" ht="135" hidden="1" x14ac:dyDescent="0.25">
      <c r="A618" s="22">
        <v>47</v>
      </c>
      <c r="B618" s="16" t="s">
        <v>241</v>
      </c>
      <c r="C618" s="16" t="s">
        <v>242</v>
      </c>
      <c r="D618" s="16">
        <v>8310000</v>
      </c>
      <c r="E618" s="16">
        <v>4</v>
      </c>
      <c r="F618" s="16">
        <v>5</v>
      </c>
      <c r="G618" s="18" t="s">
        <v>108</v>
      </c>
      <c r="H618" s="16"/>
      <c r="I618" s="16" t="s">
        <v>243</v>
      </c>
      <c r="J618" s="16" t="s">
        <v>244</v>
      </c>
      <c r="K618" s="16" t="s">
        <v>245</v>
      </c>
    </row>
    <row r="619" spans="1:11" ht="225" hidden="1" x14ac:dyDescent="0.25">
      <c r="A619" s="22">
        <v>408</v>
      </c>
      <c r="B619" s="16" t="s">
        <v>1852</v>
      </c>
      <c r="C619" s="16" t="s">
        <v>1853</v>
      </c>
      <c r="D619" s="16">
        <v>8300000</v>
      </c>
      <c r="E619" s="16">
        <v>2</v>
      </c>
      <c r="F619" s="16">
        <v>4</v>
      </c>
      <c r="G619" s="20" t="s">
        <v>1443</v>
      </c>
      <c r="H619" s="16"/>
      <c r="I619" s="16" t="s">
        <v>1686</v>
      </c>
      <c r="J619" s="16" t="s">
        <v>1687</v>
      </c>
      <c r="K619" s="16" t="s">
        <v>1688</v>
      </c>
    </row>
    <row r="620" spans="1:11" ht="195" hidden="1" x14ac:dyDescent="0.25">
      <c r="A620" s="22">
        <v>589</v>
      </c>
      <c r="B620" s="16" t="s">
        <v>2602</v>
      </c>
      <c r="C620" s="16" t="s">
        <v>2603</v>
      </c>
      <c r="D620" s="16">
        <v>8300000</v>
      </c>
      <c r="E620" s="16">
        <v>2</v>
      </c>
      <c r="F620" s="16">
        <v>5</v>
      </c>
      <c r="G620" s="20" t="s">
        <v>1443</v>
      </c>
      <c r="H620" s="16"/>
      <c r="I620" s="16" t="s">
        <v>2604</v>
      </c>
      <c r="J620" s="16" t="s">
        <v>2605</v>
      </c>
      <c r="K620" s="16" t="s">
        <v>2606</v>
      </c>
    </row>
    <row r="621" spans="1:11" ht="360" hidden="1" x14ac:dyDescent="0.25">
      <c r="A621" s="22">
        <v>350</v>
      </c>
      <c r="B621" s="16" t="s">
        <v>1602</v>
      </c>
      <c r="C621" s="16" t="s">
        <v>1603</v>
      </c>
      <c r="D621" s="16">
        <v>8289000</v>
      </c>
      <c r="E621" s="16">
        <v>3</v>
      </c>
      <c r="F621" s="16">
        <v>2</v>
      </c>
      <c r="G621" s="20" t="s">
        <v>1443</v>
      </c>
      <c r="H621" s="16"/>
      <c r="I621" s="16" t="s">
        <v>714</v>
      </c>
      <c r="J621" s="16" t="s">
        <v>1604</v>
      </c>
      <c r="K621" s="16" t="s">
        <v>1605</v>
      </c>
    </row>
    <row r="622" spans="1:11" ht="360" hidden="1" x14ac:dyDescent="0.25">
      <c r="A622" s="22">
        <v>202</v>
      </c>
      <c r="B622" s="16" t="s">
        <v>947</v>
      </c>
      <c r="C622" s="16" t="s">
        <v>948</v>
      </c>
      <c r="D622" s="16">
        <v>8214000</v>
      </c>
      <c r="E622" s="16">
        <v>3</v>
      </c>
      <c r="F622" s="16">
        <v>4</v>
      </c>
      <c r="G622" s="19" t="s">
        <v>842</v>
      </c>
      <c r="H622" s="16"/>
      <c r="I622" s="16" t="s">
        <v>949</v>
      </c>
      <c r="J622" s="16" t="s">
        <v>950</v>
      </c>
      <c r="K622" s="16" t="s">
        <v>951</v>
      </c>
    </row>
    <row r="623" spans="1:11" ht="360" hidden="1" x14ac:dyDescent="0.25">
      <c r="A623" s="22">
        <v>519</v>
      </c>
      <c r="B623" s="16" t="s">
        <v>2316</v>
      </c>
      <c r="C623" s="16" t="s">
        <v>2317</v>
      </c>
      <c r="D623" s="16">
        <v>8212500</v>
      </c>
      <c r="E623" s="16">
        <v>2</v>
      </c>
      <c r="F623" s="16">
        <v>4</v>
      </c>
      <c r="G623" s="20" t="s">
        <v>1443</v>
      </c>
      <c r="H623" s="16"/>
      <c r="I623" s="16" t="s">
        <v>2318</v>
      </c>
      <c r="J623" s="16" t="s">
        <v>2319</v>
      </c>
      <c r="K623" s="16" t="s">
        <v>2320</v>
      </c>
    </row>
    <row r="624" spans="1:11" ht="409.5" hidden="1" x14ac:dyDescent="0.25">
      <c r="A624" s="22">
        <v>296</v>
      </c>
      <c r="B624" s="16" t="s">
        <v>1353</v>
      </c>
      <c r="C624" s="16" t="s">
        <v>1354</v>
      </c>
      <c r="D624" s="16">
        <v>8174000</v>
      </c>
      <c r="E624" s="16">
        <v>3</v>
      </c>
      <c r="F624" s="16">
        <v>4</v>
      </c>
      <c r="G624" s="19" t="s">
        <v>842</v>
      </c>
      <c r="H624" s="16"/>
      <c r="I624" s="16" t="s">
        <v>1355</v>
      </c>
      <c r="J624" s="16" t="s">
        <v>1356</v>
      </c>
      <c r="K624" s="16" t="s">
        <v>1357</v>
      </c>
    </row>
    <row r="625" spans="1:11" ht="240" hidden="1" x14ac:dyDescent="0.25">
      <c r="A625" s="22">
        <v>70</v>
      </c>
      <c r="B625" s="16" t="s">
        <v>337</v>
      </c>
      <c r="C625" s="16" t="s">
        <v>338</v>
      </c>
      <c r="D625" s="16">
        <v>8135000</v>
      </c>
      <c r="E625" s="16">
        <v>4</v>
      </c>
      <c r="F625" s="16">
        <v>5</v>
      </c>
      <c r="G625" s="18" t="s">
        <v>108</v>
      </c>
      <c r="H625" s="16"/>
      <c r="I625" s="16" t="s">
        <v>339</v>
      </c>
      <c r="J625" s="16" t="s">
        <v>340</v>
      </c>
      <c r="K625" s="16" t="s">
        <v>341</v>
      </c>
    </row>
    <row r="626" spans="1:11" ht="240" hidden="1" x14ac:dyDescent="0.25">
      <c r="A626" s="22">
        <v>373</v>
      </c>
      <c r="B626" s="16" t="s">
        <v>1706</v>
      </c>
      <c r="C626" s="16" t="s">
        <v>1707</v>
      </c>
      <c r="D626" s="16">
        <v>8130000</v>
      </c>
      <c r="E626" s="16">
        <v>2</v>
      </c>
      <c r="F626" s="16">
        <v>4</v>
      </c>
      <c r="G626" s="20" t="s">
        <v>1443</v>
      </c>
      <c r="H626" s="16"/>
      <c r="I626" s="16" t="s">
        <v>1708</v>
      </c>
      <c r="J626" s="16" t="s">
        <v>1046</v>
      </c>
      <c r="K626" s="16" t="s">
        <v>1709</v>
      </c>
    </row>
    <row r="627" spans="1:11" ht="225" hidden="1" x14ac:dyDescent="0.25">
      <c r="A627" s="22">
        <v>353</v>
      </c>
      <c r="B627" s="16" t="s">
        <v>1616</v>
      </c>
      <c r="C627" s="16" t="s">
        <v>1617</v>
      </c>
      <c r="D627" s="16">
        <v>7932500</v>
      </c>
      <c r="E627" s="16">
        <v>3</v>
      </c>
      <c r="F627" s="16">
        <v>3</v>
      </c>
      <c r="G627" s="20" t="s">
        <v>1443</v>
      </c>
      <c r="H627" s="16"/>
      <c r="I627" s="16" t="s">
        <v>1618</v>
      </c>
      <c r="J627" s="16" t="s">
        <v>1619</v>
      </c>
      <c r="K627" s="16" t="s">
        <v>1620</v>
      </c>
    </row>
    <row r="628" spans="1:11" ht="195" hidden="1" x14ac:dyDescent="0.25">
      <c r="A628" s="22">
        <v>214</v>
      </c>
      <c r="B628" s="16" t="s">
        <v>995</v>
      </c>
      <c r="C628" s="16" t="s">
        <v>996</v>
      </c>
      <c r="D628" s="16">
        <v>7795000</v>
      </c>
      <c r="E628" s="16">
        <v>3</v>
      </c>
      <c r="F628" s="16">
        <v>5</v>
      </c>
      <c r="G628" s="19" t="s">
        <v>842</v>
      </c>
      <c r="H628" s="16"/>
      <c r="I628" s="16" t="s">
        <v>129</v>
      </c>
      <c r="J628" s="16" t="s">
        <v>997</v>
      </c>
      <c r="K628" s="16" t="s">
        <v>998</v>
      </c>
    </row>
    <row r="629" spans="1:11" ht="330" hidden="1" x14ac:dyDescent="0.25">
      <c r="A629" s="22">
        <v>538</v>
      </c>
      <c r="B629" s="16" t="s">
        <v>2407</v>
      </c>
      <c r="C629" s="16" t="s">
        <v>2408</v>
      </c>
      <c r="D629" s="16">
        <v>7755000</v>
      </c>
      <c r="E629" s="16">
        <v>3</v>
      </c>
      <c r="F629" s="16">
        <v>3</v>
      </c>
      <c r="G629" s="20" t="s">
        <v>1443</v>
      </c>
      <c r="H629" s="16"/>
      <c r="I629" s="16" t="s">
        <v>2409</v>
      </c>
      <c r="J629" s="16" t="s">
        <v>2410</v>
      </c>
      <c r="K629" s="16" t="s">
        <v>2411</v>
      </c>
    </row>
    <row r="630" spans="1:11" ht="165" hidden="1" x14ac:dyDescent="0.25">
      <c r="A630" s="22">
        <v>675</v>
      </c>
      <c r="B630" s="16" t="s">
        <v>2943</v>
      </c>
      <c r="C630" s="16" t="s">
        <v>2944</v>
      </c>
      <c r="D630" s="16">
        <v>7705000</v>
      </c>
      <c r="E630" s="16">
        <v>1</v>
      </c>
      <c r="F630" s="16">
        <v>3</v>
      </c>
      <c r="G630" s="21" t="s">
        <v>2807</v>
      </c>
      <c r="H630" s="16"/>
      <c r="I630" s="16" t="s">
        <v>2945</v>
      </c>
      <c r="J630" s="16" t="s">
        <v>2946</v>
      </c>
      <c r="K630" s="16" t="s">
        <v>2947</v>
      </c>
    </row>
    <row r="631" spans="1:11" ht="240" hidden="1" x14ac:dyDescent="0.25">
      <c r="A631" s="22">
        <v>218</v>
      </c>
      <c r="B631" s="16" t="s">
        <v>1012</v>
      </c>
      <c r="C631" s="16" t="s">
        <v>1013</v>
      </c>
      <c r="D631" s="16">
        <v>7695000</v>
      </c>
      <c r="E631" s="16">
        <v>4</v>
      </c>
      <c r="F631" s="16">
        <v>3</v>
      </c>
      <c r="G631" s="19" t="s">
        <v>842</v>
      </c>
      <c r="H631" s="16"/>
      <c r="I631" s="16" t="s">
        <v>1014</v>
      </c>
      <c r="J631" s="16" t="s">
        <v>1015</v>
      </c>
      <c r="K631" s="16" t="s">
        <v>1016</v>
      </c>
    </row>
    <row r="632" spans="1:11" ht="270" hidden="1" x14ac:dyDescent="0.25">
      <c r="A632" s="22">
        <v>437</v>
      </c>
      <c r="B632" s="16" t="s">
        <v>1972</v>
      </c>
      <c r="C632" s="16" t="s">
        <v>1973</v>
      </c>
      <c r="D632" s="16">
        <v>7690000</v>
      </c>
      <c r="E632" s="16">
        <v>3</v>
      </c>
      <c r="F632" s="16">
        <v>3</v>
      </c>
      <c r="G632" s="20" t="s">
        <v>1443</v>
      </c>
      <c r="H632" s="16"/>
      <c r="I632" s="16" t="s">
        <v>1663</v>
      </c>
      <c r="J632" s="16" t="s">
        <v>1974</v>
      </c>
      <c r="K632" s="16" t="s">
        <v>1975</v>
      </c>
    </row>
    <row r="633" spans="1:11" ht="375" hidden="1" x14ac:dyDescent="0.25">
      <c r="A633" s="22">
        <v>362</v>
      </c>
      <c r="B633" s="16" t="s">
        <v>1661</v>
      </c>
      <c r="C633" s="16" t="s">
        <v>1662</v>
      </c>
      <c r="D633" s="16">
        <v>7686000</v>
      </c>
      <c r="E633" s="16">
        <v>4</v>
      </c>
      <c r="F633" s="16">
        <v>2</v>
      </c>
      <c r="G633" s="20" t="s">
        <v>1443</v>
      </c>
      <c r="H633" s="16"/>
      <c r="I633" s="16" t="s">
        <v>1663</v>
      </c>
      <c r="J633" s="16" t="s">
        <v>1664</v>
      </c>
      <c r="K633" s="16" t="s">
        <v>1665</v>
      </c>
    </row>
    <row r="634" spans="1:11" ht="345" hidden="1" x14ac:dyDescent="0.25">
      <c r="A634" s="22">
        <v>659</v>
      </c>
      <c r="B634" s="16" t="s">
        <v>2880</v>
      </c>
      <c r="C634" s="16" t="s">
        <v>2881</v>
      </c>
      <c r="D634" s="16">
        <v>7625000</v>
      </c>
      <c r="E634" s="16">
        <v>2</v>
      </c>
      <c r="F634" s="16">
        <v>2</v>
      </c>
      <c r="G634" s="21" t="s">
        <v>2807</v>
      </c>
      <c r="H634" s="16"/>
      <c r="I634" s="16" t="s">
        <v>2882</v>
      </c>
      <c r="J634" s="16" t="s">
        <v>2883</v>
      </c>
      <c r="K634" s="16" t="s">
        <v>2884</v>
      </c>
    </row>
    <row r="635" spans="1:11" ht="225" hidden="1" x14ac:dyDescent="0.25">
      <c r="A635" s="22">
        <v>685</v>
      </c>
      <c r="B635" s="16" t="s">
        <v>2988</v>
      </c>
      <c r="C635" s="16" t="s">
        <v>2989</v>
      </c>
      <c r="D635" s="16">
        <v>7500000</v>
      </c>
      <c r="E635" s="16">
        <v>2</v>
      </c>
      <c r="F635" s="16">
        <v>2</v>
      </c>
      <c r="G635" s="21" t="s">
        <v>2807</v>
      </c>
      <c r="H635" s="16"/>
      <c r="I635" s="16" t="s">
        <v>2343</v>
      </c>
      <c r="J635" s="16" t="s">
        <v>2990</v>
      </c>
      <c r="K635" s="16" t="s">
        <v>2345</v>
      </c>
    </row>
    <row r="636" spans="1:11" ht="195" hidden="1" x14ac:dyDescent="0.25">
      <c r="A636" s="22">
        <v>414</v>
      </c>
      <c r="B636" s="16" t="s">
        <v>1874</v>
      </c>
      <c r="C636" s="16" t="s">
        <v>1875</v>
      </c>
      <c r="D636" s="16">
        <v>7485000</v>
      </c>
      <c r="E636" s="16">
        <v>2</v>
      </c>
      <c r="F636" s="16">
        <v>5</v>
      </c>
      <c r="G636" s="20" t="s">
        <v>1443</v>
      </c>
      <c r="H636" s="16"/>
      <c r="I636" s="16" t="s">
        <v>1876</v>
      </c>
      <c r="J636" s="16" t="s">
        <v>1877</v>
      </c>
      <c r="K636" s="16" t="s">
        <v>1878</v>
      </c>
    </row>
    <row r="637" spans="1:11" ht="180" hidden="1" x14ac:dyDescent="0.25">
      <c r="A637" s="22">
        <v>467</v>
      </c>
      <c r="B637" s="16" t="s">
        <v>2079</v>
      </c>
      <c r="C637" s="16" t="s">
        <v>2080</v>
      </c>
      <c r="D637" s="16">
        <v>7466000</v>
      </c>
      <c r="E637" s="16">
        <v>2</v>
      </c>
      <c r="F637" s="16">
        <v>3</v>
      </c>
      <c r="G637" s="20" t="s">
        <v>1443</v>
      </c>
      <c r="H637" s="16"/>
      <c r="I637" s="16" t="s">
        <v>1599</v>
      </c>
      <c r="J637" s="16" t="s">
        <v>2081</v>
      </c>
      <c r="K637" s="16" t="s">
        <v>2082</v>
      </c>
    </row>
    <row r="638" spans="1:11" ht="409.5" hidden="1" x14ac:dyDescent="0.25">
      <c r="A638" s="22">
        <v>290</v>
      </c>
      <c r="B638" s="16" t="s">
        <v>1326</v>
      </c>
      <c r="C638" s="16" t="s">
        <v>1327</v>
      </c>
      <c r="D638" s="16">
        <v>7463000</v>
      </c>
      <c r="E638" s="16">
        <v>3</v>
      </c>
      <c r="F638" s="16">
        <v>5</v>
      </c>
      <c r="G638" s="19" t="s">
        <v>842</v>
      </c>
      <c r="H638" s="16"/>
      <c r="I638" s="16" t="s">
        <v>1328</v>
      </c>
      <c r="J638" s="16" t="s">
        <v>1329</v>
      </c>
      <c r="K638" s="16" t="s">
        <v>1330</v>
      </c>
    </row>
    <row r="639" spans="1:11" ht="180" hidden="1" x14ac:dyDescent="0.25">
      <c r="A639" s="22">
        <v>262</v>
      </c>
      <c r="B639" s="16" t="s">
        <v>1191</v>
      </c>
      <c r="C639" s="16" t="s">
        <v>1192</v>
      </c>
      <c r="D639" s="16">
        <v>7443000</v>
      </c>
      <c r="E639" s="16">
        <v>3</v>
      </c>
      <c r="F639" s="16">
        <v>5</v>
      </c>
      <c r="G639" s="19" t="s">
        <v>842</v>
      </c>
      <c r="H639" s="16"/>
      <c r="I639" s="16" t="s">
        <v>1193</v>
      </c>
      <c r="J639" s="16" t="s">
        <v>1194</v>
      </c>
      <c r="K639" s="16" t="s">
        <v>1195</v>
      </c>
    </row>
    <row r="640" spans="1:11" ht="409.5" hidden="1" x14ac:dyDescent="0.25">
      <c r="A640" s="22">
        <v>132</v>
      </c>
      <c r="B640" s="16" t="s">
        <v>632</v>
      </c>
      <c r="C640" s="16" t="s">
        <v>633</v>
      </c>
      <c r="D640" s="16">
        <v>7379000</v>
      </c>
      <c r="E640" s="16">
        <v>4</v>
      </c>
      <c r="F640" s="16">
        <v>4</v>
      </c>
      <c r="G640" s="18" t="s">
        <v>108</v>
      </c>
      <c r="H640" s="16"/>
      <c r="I640" s="16" t="s">
        <v>629</v>
      </c>
      <c r="J640" s="16" t="s">
        <v>634</v>
      </c>
      <c r="K640" s="16" t="s">
        <v>631</v>
      </c>
    </row>
    <row r="641" spans="1:11" ht="240" hidden="1" x14ac:dyDescent="0.25">
      <c r="A641" s="22">
        <v>382</v>
      </c>
      <c r="B641" s="16" t="s">
        <v>1737</v>
      </c>
      <c r="C641" s="16" t="s">
        <v>1738</v>
      </c>
      <c r="D641" s="16">
        <v>7360000</v>
      </c>
      <c r="E641" s="16">
        <v>2</v>
      </c>
      <c r="F641" s="16">
        <v>4</v>
      </c>
      <c r="G641" s="20" t="s">
        <v>1443</v>
      </c>
      <c r="H641" s="16"/>
      <c r="I641" s="16" t="s">
        <v>1691</v>
      </c>
      <c r="J641" s="16" t="s">
        <v>1739</v>
      </c>
      <c r="K641" s="16" t="s">
        <v>1740</v>
      </c>
    </row>
    <row r="642" spans="1:11" ht="210" hidden="1" x14ac:dyDescent="0.25">
      <c r="A642" s="22">
        <v>652</v>
      </c>
      <c r="B642" s="16" t="s">
        <v>2848</v>
      </c>
      <c r="C642" s="16" t="s">
        <v>2849</v>
      </c>
      <c r="D642" s="16">
        <v>7350000</v>
      </c>
      <c r="E642" s="16">
        <v>2</v>
      </c>
      <c r="F642" s="16">
        <v>2</v>
      </c>
      <c r="G642" s="21" t="s">
        <v>2807</v>
      </c>
      <c r="H642" s="16"/>
      <c r="I642" s="16" t="s">
        <v>2845</v>
      </c>
      <c r="J642" s="16" t="s">
        <v>2846</v>
      </c>
      <c r="K642" s="16" t="s">
        <v>2847</v>
      </c>
    </row>
    <row r="643" spans="1:11" ht="409.5" hidden="1" x14ac:dyDescent="0.25">
      <c r="A643" s="22">
        <v>131</v>
      </c>
      <c r="B643" s="16" t="s">
        <v>627</v>
      </c>
      <c r="C643" s="16" t="s">
        <v>628</v>
      </c>
      <c r="D643" s="16">
        <v>7311000</v>
      </c>
      <c r="E643" s="16">
        <v>4</v>
      </c>
      <c r="F643" s="16">
        <v>4</v>
      </c>
      <c r="G643" s="18" t="s">
        <v>108</v>
      </c>
      <c r="H643" s="16"/>
      <c r="I643" s="16" t="s">
        <v>629</v>
      </c>
      <c r="J643" s="16" t="s">
        <v>630</v>
      </c>
      <c r="K643" s="16" t="s">
        <v>631</v>
      </c>
    </row>
    <row r="644" spans="1:11" ht="409.5" hidden="1" x14ac:dyDescent="0.25">
      <c r="A644" s="22">
        <v>134</v>
      </c>
      <c r="B644" s="16" t="s">
        <v>638</v>
      </c>
      <c r="C644" s="16" t="s">
        <v>639</v>
      </c>
      <c r="D644" s="16">
        <v>7311000</v>
      </c>
      <c r="E644" s="16">
        <v>4</v>
      </c>
      <c r="F644" s="16">
        <v>4</v>
      </c>
      <c r="G644" s="18" t="s">
        <v>108</v>
      </c>
      <c r="H644" s="16"/>
      <c r="I644" s="16" t="s">
        <v>629</v>
      </c>
      <c r="J644" s="16" t="s">
        <v>630</v>
      </c>
      <c r="K644" s="16" t="s">
        <v>631</v>
      </c>
    </row>
    <row r="645" spans="1:11" ht="409.5" hidden="1" x14ac:dyDescent="0.25">
      <c r="A645" s="22">
        <v>292</v>
      </c>
      <c r="B645" s="16" t="s">
        <v>1336</v>
      </c>
      <c r="C645" s="16" t="s">
        <v>1337</v>
      </c>
      <c r="D645" s="16">
        <v>7297000</v>
      </c>
      <c r="E645" s="16">
        <v>3</v>
      </c>
      <c r="F645" s="16">
        <v>4</v>
      </c>
      <c r="G645" s="19" t="s">
        <v>842</v>
      </c>
      <c r="H645" s="16"/>
      <c r="I645" s="16" t="s">
        <v>1338</v>
      </c>
      <c r="J645" s="16" t="s">
        <v>1339</v>
      </c>
      <c r="K645" s="16" t="s">
        <v>1340</v>
      </c>
    </row>
    <row r="646" spans="1:11" ht="409.5" hidden="1" x14ac:dyDescent="0.25">
      <c r="A646" s="22">
        <v>133</v>
      </c>
      <c r="B646" s="16" t="s">
        <v>635</v>
      </c>
      <c r="C646" s="16" t="s">
        <v>636</v>
      </c>
      <c r="D646" s="16">
        <v>7259000</v>
      </c>
      <c r="E646" s="16">
        <v>4</v>
      </c>
      <c r="F646" s="16">
        <v>4</v>
      </c>
      <c r="G646" s="18" t="s">
        <v>108</v>
      </c>
      <c r="H646" s="16"/>
      <c r="I646" s="16" t="s">
        <v>629</v>
      </c>
      <c r="J646" s="16" t="s">
        <v>637</v>
      </c>
      <c r="K646" s="16" t="s">
        <v>631</v>
      </c>
    </row>
    <row r="647" spans="1:11" ht="409.5" hidden="1" x14ac:dyDescent="0.25">
      <c r="A647" s="22">
        <v>294</v>
      </c>
      <c r="B647" s="16" t="s">
        <v>1346</v>
      </c>
      <c r="C647" s="16" t="s">
        <v>1347</v>
      </c>
      <c r="D647" s="16">
        <v>7259000</v>
      </c>
      <c r="E647" s="16">
        <v>3</v>
      </c>
      <c r="F647" s="16">
        <v>4</v>
      </c>
      <c r="G647" s="19" t="s">
        <v>842</v>
      </c>
      <c r="H647" s="16"/>
      <c r="I647" s="16" t="s">
        <v>629</v>
      </c>
      <c r="J647" s="16" t="s">
        <v>630</v>
      </c>
      <c r="K647" s="16" t="s">
        <v>631</v>
      </c>
    </row>
    <row r="648" spans="1:11" ht="255" hidden="1" x14ac:dyDescent="0.25">
      <c r="A648" s="22">
        <v>691</v>
      </c>
      <c r="B648" s="16" t="s">
        <v>3015</v>
      </c>
      <c r="C648" s="16" t="s">
        <v>3016</v>
      </c>
      <c r="D648" s="16">
        <v>7215000</v>
      </c>
      <c r="E648" s="16">
        <v>2</v>
      </c>
      <c r="F648" s="16">
        <v>1</v>
      </c>
      <c r="G648" s="21" t="s">
        <v>2807</v>
      </c>
      <c r="H648" s="16"/>
      <c r="I648" s="16" t="s">
        <v>3017</v>
      </c>
      <c r="J648" s="16" t="s">
        <v>3018</v>
      </c>
      <c r="K648" s="16" t="s">
        <v>3019</v>
      </c>
    </row>
    <row r="649" spans="1:11" ht="345" hidden="1" x14ac:dyDescent="0.25">
      <c r="A649" s="22">
        <v>660</v>
      </c>
      <c r="B649" s="16" t="s">
        <v>2885</v>
      </c>
      <c r="C649" s="16" t="s">
        <v>2886</v>
      </c>
      <c r="D649" s="16">
        <v>7053000</v>
      </c>
      <c r="E649" s="16">
        <v>2</v>
      </c>
      <c r="F649" s="16">
        <v>2</v>
      </c>
      <c r="G649" s="21" t="s">
        <v>2807</v>
      </c>
      <c r="H649" s="16"/>
      <c r="I649" s="16" t="s">
        <v>2887</v>
      </c>
      <c r="J649" s="16" t="s">
        <v>2888</v>
      </c>
      <c r="K649" s="16" t="s">
        <v>2884</v>
      </c>
    </row>
    <row r="650" spans="1:11" ht="255" hidden="1" x14ac:dyDescent="0.25">
      <c r="A650" s="22">
        <v>441</v>
      </c>
      <c r="B650" s="16" t="s">
        <v>1986</v>
      </c>
      <c r="C650" s="16" t="s">
        <v>1987</v>
      </c>
      <c r="D650" s="16">
        <v>7020000</v>
      </c>
      <c r="E650" s="16">
        <v>2</v>
      </c>
      <c r="F650" s="16">
        <v>4</v>
      </c>
      <c r="G650" s="20" t="s">
        <v>1443</v>
      </c>
      <c r="H650" s="16"/>
      <c r="I650" s="16" t="s">
        <v>1691</v>
      </c>
      <c r="J650" s="16" t="s">
        <v>1988</v>
      </c>
      <c r="K650" s="16" t="s">
        <v>1693</v>
      </c>
    </row>
    <row r="651" spans="1:11" ht="409.5" hidden="1" x14ac:dyDescent="0.25">
      <c r="A651" s="22">
        <v>42</v>
      </c>
      <c r="B651" s="16" t="s">
        <v>216</v>
      </c>
      <c r="C651" s="16" t="s">
        <v>217</v>
      </c>
      <c r="D651" s="16">
        <v>7000000</v>
      </c>
      <c r="E651" s="16">
        <v>4</v>
      </c>
      <c r="F651" s="16">
        <v>4</v>
      </c>
      <c r="G651" s="18" t="s">
        <v>108</v>
      </c>
      <c r="H651" s="16"/>
      <c r="I651" s="16" t="s">
        <v>218</v>
      </c>
      <c r="J651" s="16" t="s">
        <v>219</v>
      </c>
      <c r="K651" s="16" t="s">
        <v>220</v>
      </c>
    </row>
    <row r="652" spans="1:11" ht="285" hidden="1" x14ac:dyDescent="0.25">
      <c r="A652" s="22">
        <v>43</v>
      </c>
      <c r="B652" s="16" t="s">
        <v>221</v>
      </c>
      <c r="C652" s="16" t="s">
        <v>222</v>
      </c>
      <c r="D652" s="16">
        <v>7000000</v>
      </c>
      <c r="E652" s="16">
        <v>4</v>
      </c>
      <c r="F652" s="16">
        <v>5</v>
      </c>
      <c r="G652" s="18" t="s">
        <v>108</v>
      </c>
      <c r="H652" s="16"/>
      <c r="I652" s="16" t="s">
        <v>223</v>
      </c>
      <c r="J652" s="16" t="s">
        <v>224</v>
      </c>
      <c r="K652" s="16" t="s">
        <v>225</v>
      </c>
    </row>
    <row r="653" spans="1:11" ht="300" hidden="1" x14ac:dyDescent="0.25">
      <c r="A653" s="22">
        <v>68</v>
      </c>
      <c r="B653" s="16" t="s">
        <v>328</v>
      </c>
      <c r="C653" s="16" t="s">
        <v>329</v>
      </c>
      <c r="D653" s="16">
        <v>7000000</v>
      </c>
      <c r="E653" s="16">
        <v>4</v>
      </c>
      <c r="F653" s="16">
        <v>5</v>
      </c>
      <c r="G653" s="18" t="s">
        <v>108</v>
      </c>
      <c r="H653" s="16"/>
      <c r="I653" s="16" t="s">
        <v>330</v>
      </c>
      <c r="J653" s="16" t="s">
        <v>331</v>
      </c>
      <c r="K653" s="16" t="s">
        <v>225</v>
      </c>
    </row>
    <row r="654" spans="1:11" ht="409.5" hidden="1" x14ac:dyDescent="0.25">
      <c r="A654" s="22">
        <v>69</v>
      </c>
      <c r="B654" s="16" t="s">
        <v>332</v>
      </c>
      <c r="C654" s="16" t="s">
        <v>333</v>
      </c>
      <c r="D654" s="16">
        <v>7000000</v>
      </c>
      <c r="E654" s="16">
        <v>4</v>
      </c>
      <c r="F654" s="16">
        <v>4</v>
      </c>
      <c r="G654" s="18" t="s">
        <v>108</v>
      </c>
      <c r="H654" s="16"/>
      <c r="I654" s="16" t="s">
        <v>334</v>
      </c>
      <c r="J654" s="16" t="s">
        <v>335</v>
      </c>
      <c r="K654" s="16" t="s">
        <v>336</v>
      </c>
    </row>
    <row r="655" spans="1:11" ht="345" hidden="1" x14ac:dyDescent="0.25">
      <c r="A655" s="22">
        <v>199</v>
      </c>
      <c r="B655" s="16" t="s">
        <v>932</v>
      </c>
      <c r="C655" s="16" t="s">
        <v>933</v>
      </c>
      <c r="D655" s="16">
        <v>7000000</v>
      </c>
      <c r="E655" s="16">
        <v>3</v>
      </c>
      <c r="F655" s="16">
        <v>4</v>
      </c>
      <c r="G655" s="19" t="s">
        <v>842</v>
      </c>
      <c r="H655" s="16"/>
      <c r="I655" s="16" t="s">
        <v>934</v>
      </c>
      <c r="J655" s="16" t="s">
        <v>935</v>
      </c>
      <c r="K655" s="16" t="s">
        <v>936</v>
      </c>
    </row>
    <row r="656" spans="1:11" ht="345" hidden="1" x14ac:dyDescent="0.25">
      <c r="A656" s="22">
        <v>231</v>
      </c>
      <c r="B656" s="16" t="s">
        <v>1066</v>
      </c>
      <c r="C656" s="16" t="s">
        <v>1067</v>
      </c>
      <c r="D656" s="16">
        <v>7000000</v>
      </c>
      <c r="E656" s="16">
        <v>3</v>
      </c>
      <c r="F656" s="16">
        <v>4</v>
      </c>
      <c r="G656" s="19" t="s">
        <v>842</v>
      </c>
      <c r="H656" s="16"/>
      <c r="I656" s="16" t="s">
        <v>1068</v>
      </c>
      <c r="J656" s="16" t="s">
        <v>935</v>
      </c>
      <c r="K656" s="16" t="s">
        <v>936</v>
      </c>
    </row>
    <row r="657" spans="1:11" ht="300" hidden="1" x14ac:dyDescent="0.25">
      <c r="A657" s="22">
        <v>232</v>
      </c>
      <c r="B657" s="16" t="s">
        <v>1069</v>
      </c>
      <c r="C657" s="16" t="s">
        <v>1070</v>
      </c>
      <c r="D657" s="16">
        <v>7000000</v>
      </c>
      <c r="E657" s="16">
        <v>3</v>
      </c>
      <c r="F657" s="16">
        <v>5</v>
      </c>
      <c r="G657" s="19" t="s">
        <v>842</v>
      </c>
      <c r="H657" s="16"/>
      <c r="I657" s="16" t="s">
        <v>1071</v>
      </c>
      <c r="J657" s="16" t="s">
        <v>1072</v>
      </c>
      <c r="K657" s="16" t="s">
        <v>1073</v>
      </c>
    </row>
    <row r="658" spans="1:11" ht="270" hidden="1" x14ac:dyDescent="0.25">
      <c r="A658" s="22">
        <v>48</v>
      </c>
      <c r="B658" s="16" t="s">
        <v>246</v>
      </c>
      <c r="C658" s="16" t="s">
        <v>247</v>
      </c>
      <c r="D658" s="16">
        <v>6980000</v>
      </c>
      <c r="E658" s="16">
        <v>4</v>
      </c>
      <c r="F658" s="16">
        <v>5</v>
      </c>
      <c r="G658" s="18" t="s">
        <v>108</v>
      </c>
      <c r="H658" s="16"/>
      <c r="I658" s="16" t="s">
        <v>248</v>
      </c>
      <c r="J658" s="16" t="s">
        <v>249</v>
      </c>
      <c r="K658" s="16" t="s">
        <v>250</v>
      </c>
    </row>
    <row r="659" spans="1:11" ht="255" hidden="1" x14ac:dyDescent="0.25">
      <c r="A659" s="22">
        <v>436</v>
      </c>
      <c r="B659" s="16" t="s">
        <v>1969</v>
      </c>
      <c r="C659" s="16" t="s">
        <v>1970</v>
      </c>
      <c r="D659" s="16">
        <v>6980000</v>
      </c>
      <c r="E659" s="16">
        <v>3</v>
      </c>
      <c r="F659" s="16">
        <v>3</v>
      </c>
      <c r="G659" s="20" t="s">
        <v>1443</v>
      </c>
      <c r="H659" s="16"/>
      <c r="I659" s="16" t="s">
        <v>1663</v>
      </c>
      <c r="J659" s="16" t="s">
        <v>1971</v>
      </c>
      <c r="K659" s="16" t="s">
        <v>1971</v>
      </c>
    </row>
    <row r="660" spans="1:11" ht="210" hidden="1" x14ac:dyDescent="0.25">
      <c r="A660" s="22">
        <v>428</v>
      </c>
      <c r="B660" s="16" t="s">
        <v>1934</v>
      </c>
      <c r="C660" s="16" t="s">
        <v>1935</v>
      </c>
      <c r="D660" s="16">
        <v>6965000</v>
      </c>
      <c r="E660" s="16">
        <v>3</v>
      </c>
      <c r="F660" s="16">
        <v>3</v>
      </c>
      <c r="G660" s="20" t="s">
        <v>1443</v>
      </c>
      <c r="H660" s="16"/>
      <c r="I660" s="16" t="s">
        <v>1936</v>
      </c>
      <c r="J660" s="16" t="s">
        <v>1937</v>
      </c>
      <c r="K660" s="16" t="s">
        <v>1938</v>
      </c>
    </row>
    <row r="661" spans="1:11" ht="315" hidden="1" x14ac:dyDescent="0.25">
      <c r="A661" s="22">
        <v>46</v>
      </c>
      <c r="B661" s="16" t="s">
        <v>236</v>
      </c>
      <c r="C661" s="16" t="s">
        <v>237</v>
      </c>
      <c r="D661" s="16">
        <v>6870000</v>
      </c>
      <c r="E661" s="16">
        <v>4</v>
      </c>
      <c r="F661" s="16">
        <v>5</v>
      </c>
      <c r="G661" s="18" t="s">
        <v>108</v>
      </c>
      <c r="H661" s="16"/>
      <c r="I661" s="16" t="s">
        <v>238</v>
      </c>
      <c r="J661" s="16" t="s">
        <v>239</v>
      </c>
      <c r="K661" s="16" t="s">
        <v>240</v>
      </c>
    </row>
    <row r="662" spans="1:11" ht="120" hidden="1" x14ac:dyDescent="0.25">
      <c r="A662" s="22">
        <v>703</v>
      </c>
      <c r="B662" s="16" t="s">
        <v>3071</v>
      </c>
      <c r="C662" s="16" t="s">
        <v>3072</v>
      </c>
      <c r="D662" s="16">
        <v>6851000</v>
      </c>
      <c r="E662" s="16">
        <v>1</v>
      </c>
      <c r="F662" s="16">
        <v>1</v>
      </c>
      <c r="G662" s="21" t="s">
        <v>2807</v>
      </c>
      <c r="H662" s="16"/>
      <c r="I662" s="16" t="s">
        <v>3073</v>
      </c>
      <c r="J662" s="16" t="s">
        <v>3074</v>
      </c>
      <c r="K662" s="16" t="s">
        <v>3075</v>
      </c>
    </row>
    <row r="663" spans="1:11" ht="225" hidden="1" x14ac:dyDescent="0.25">
      <c r="A663" s="22">
        <v>524</v>
      </c>
      <c r="B663" s="16" t="s">
        <v>2341</v>
      </c>
      <c r="C663" s="16" t="s">
        <v>2342</v>
      </c>
      <c r="D663" s="16">
        <v>6850000</v>
      </c>
      <c r="E663" s="16">
        <v>2</v>
      </c>
      <c r="F663" s="16">
        <v>4</v>
      </c>
      <c r="G663" s="20" t="s">
        <v>1443</v>
      </c>
      <c r="H663" s="16"/>
      <c r="I663" s="16" t="s">
        <v>2343</v>
      </c>
      <c r="J663" s="16" t="s">
        <v>2344</v>
      </c>
      <c r="K663" s="16" t="s">
        <v>2345</v>
      </c>
    </row>
    <row r="664" spans="1:11" ht="225" hidden="1" x14ac:dyDescent="0.25">
      <c r="A664" s="22">
        <v>379</v>
      </c>
      <c r="B664" s="16" t="s">
        <v>1726</v>
      </c>
      <c r="C664" s="16" t="s">
        <v>1727</v>
      </c>
      <c r="D664" s="16">
        <v>6680000</v>
      </c>
      <c r="E664" s="16">
        <v>2</v>
      </c>
      <c r="F664" s="16">
        <v>4</v>
      </c>
      <c r="G664" s="20" t="s">
        <v>1443</v>
      </c>
      <c r="H664" s="16"/>
      <c r="I664" s="16" t="s">
        <v>1686</v>
      </c>
      <c r="J664" s="16" t="s">
        <v>1687</v>
      </c>
      <c r="K664" s="16" t="s">
        <v>1688</v>
      </c>
    </row>
    <row r="665" spans="1:11" ht="270" hidden="1" x14ac:dyDescent="0.25">
      <c r="A665" s="22">
        <v>375</v>
      </c>
      <c r="B665" s="16" t="s">
        <v>1712</v>
      </c>
      <c r="C665" s="16" t="s">
        <v>1713</v>
      </c>
      <c r="D665" s="16">
        <v>6660000</v>
      </c>
      <c r="E665" s="16">
        <v>2</v>
      </c>
      <c r="F665" s="16">
        <v>4</v>
      </c>
      <c r="G665" s="20" t="s">
        <v>1443</v>
      </c>
      <c r="H665" s="16"/>
      <c r="I665" s="16" t="s">
        <v>1691</v>
      </c>
      <c r="J665" s="16" t="s">
        <v>1714</v>
      </c>
      <c r="K665" s="16" t="s">
        <v>1693</v>
      </c>
    </row>
    <row r="666" spans="1:11" ht="240" hidden="1" x14ac:dyDescent="0.25">
      <c r="A666" s="22">
        <v>643</v>
      </c>
      <c r="B666" s="16" t="s">
        <v>2818</v>
      </c>
      <c r="C666" s="16" t="s">
        <v>2819</v>
      </c>
      <c r="D666" s="16">
        <v>6654000</v>
      </c>
      <c r="E666" s="16">
        <v>1</v>
      </c>
      <c r="F666" s="16">
        <v>5</v>
      </c>
      <c r="G666" s="21" t="s">
        <v>2807</v>
      </c>
      <c r="H666" s="16"/>
      <c r="I666" s="16" t="s">
        <v>129</v>
      </c>
      <c r="J666" s="16" t="s">
        <v>130</v>
      </c>
      <c r="K666" s="16" t="s">
        <v>131</v>
      </c>
    </row>
    <row r="667" spans="1:11" ht="240" hidden="1" x14ac:dyDescent="0.25">
      <c r="A667" s="22">
        <v>644</v>
      </c>
      <c r="B667" s="16" t="s">
        <v>2820</v>
      </c>
      <c r="C667" s="16" t="s">
        <v>2821</v>
      </c>
      <c r="D667" s="16">
        <v>6654000</v>
      </c>
      <c r="E667" s="16">
        <v>1</v>
      </c>
      <c r="F667" s="16">
        <v>4</v>
      </c>
      <c r="G667" s="21" t="s">
        <v>2807</v>
      </c>
      <c r="H667" s="16"/>
      <c r="I667" s="16" t="s">
        <v>129</v>
      </c>
      <c r="J667" s="16" t="s">
        <v>130</v>
      </c>
      <c r="K667" s="16" t="s">
        <v>2822</v>
      </c>
    </row>
    <row r="668" spans="1:11" ht="409.5" hidden="1" x14ac:dyDescent="0.25">
      <c r="A668" s="22">
        <v>144</v>
      </c>
      <c r="B668" s="16" t="s">
        <v>683</v>
      </c>
      <c r="C668" s="16" t="s">
        <v>684</v>
      </c>
      <c r="D668" s="16">
        <v>6640908</v>
      </c>
      <c r="E668" s="16">
        <v>4</v>
      </c>
      <c r="F668" s="16">
        <v>4</v>
      </c>
      <c r="G668" s="18" t="s">
        <v>108</v>
      </c>
      <c r="H668" s="16"/>
      <c r="I668" s="16" t="s">
        <v>685</v>
      </c>
      <c r="J668" s="16" t="s">
        <v>686</v>
      </c>
      <c r="K668" s="16" t="s">
        <v>687</v>
      </c>
    </row>
    <row r="669" spans="1:11" ht="360" hidden="1" x14ac:dyDescent="0.25">
      <c r="A669" s="22">
        <v>50</v>
      </c>
      <c r="B669" s="16" t="s">
        <v>256</v>
      </c>
      <c r="C669" s="16" t="s">
        <v>257</v>
      </c>
      <c r="D669" s="16">
        <v>6640000</v>
      </c>
      <c r="E669" s="16">
        <v>4</v>
      </c>
      <c r="F669" s="16">
        <v>4</v>
      </c>
      <c r="G669" s="18" t="s">
        <v>108</v>
      </c>
      <c r="H669" s="16"/>
      <c r="I669" s="16" t="s">
        <v>258</v>
      </c>
      <c r="J669" s="16" t="s">
        <v>259</v>
      </c>
      <c r="K669" s="16" t="s">
        <v>260</v>
      </c>
    </row>
    <row r="670" spans="1:11" ht="225" hidden="1" x14ac:dyDescent="0.25">
      <c r="A670" s="22">
        <v>424</v>
      </c>
      <c r="B670" s="16" t="s">
        <v>1916</v>
      </c>
      <c r="C670" s="16" t="s">
        <v>1917</v>
      </c>
      <c r="D670" s="16">
        <v>6523000</v>
      </c>
      <c r="E670" s="16">
        <v>2</v>
      </c>
      <c r="F670" s="16">
        <v>4</v>
      </c>
      <c r="G670" s="20" t="s">
        <v>1443</v>
      </c>
      <c r="H670" s="16"/>
      <c r="I670" s="16" t="s">
        <v>1918</v>
      </c>
      <c r="J670" s="16" t="s">
        <v>1919</v>
      </c>
      <c r="K670" s="16" t="s">
        <v>1920</v>
      </c>
    </row>
    <row r="671" spans="1:11" ht="360" hidden="1" x14ac:dyDescent="0.25">
      <c r="A671" s="22">
        <v>11</v>
      </c>
      <c r="B671" s="16" t="s">
        <v>73</v>
      </c>
      <c r="C671" s="16" t="s">
        <v>74</v>
      </c>
      <c r="D671" s="16">
        <v>6455000</v>
      </c>
      <c r="E671" s="16">
        <v>5</v>
      </c>
      <c r="F671" s="16">
        <v>5</v>
      </c>
      <c r="G671" s="17" t="s">
        <v>31</v>
      </c>
      <c r="H671" s="16"/>
      <c r="I671" s="16" t="s">
        <v>75</v>
      </c>
      <c r="J671" s="16" t="s">
        <v>76</v>
      </c>
      <c r="K671" s="16" t="s">
        <v>77</v>
      </c>
    </row>
    <row r="672" spans="1:11" ht="270" hidden="1" x14ac:dyDescent="0.25">
      <c r="A672" s="22">
        <v>693</v>
      </c>
      <c r="B672" s="16" t="s">
        <v>3025</v>
      </c>
      <c r="C672" s="16" t="s">
        <v>3026</v>
      </c>
      <c r="D672" s="16">
        <v>6275000</v>
      </c>
      <c r="E672" s="16">
        <v>2</v>
      </c>
      <c r="F672" s="16">
        <v>1</v>
      </c>
      <c r="G672" s="21" t="s">
        <v>2807</v>
      </c>
      <c r="H672" s="16"/>
      <c r="I672" s="16" t="s">
        <v>3027</v>
      </c>
      <c r="J672" s="16" t="s">
        <v>3028</v>
      </c>
      <c r="K672" s="16" t="s">
        <v>3029</v>
      </c>
    </row>
    <row r="673" spans="1:11" ht="285" hidden="1" x14ac:dyDescent="0.25">
      <c r="A673" s="22">
        <v>315</v>
      </c>
      <c r="B673" s="16" t="s">
        <v>1441</v>
      </c>
      <c r="C673" s="16" t="s">
        <v>1442</v>
      </c>
      <c r="D673" s="16">
        <v>6051000</v>
      </c>
      <c r="E673" s="16">
        <v>2</v>
      </c>
      <c r="F673" s="16">
        <v>4</v>
      </c>
      <c r="G673" s="20" t="s">
        <v>1443</v>
      </c>
      <c r="H673" s="16"/>
      <c r="I673" s="16" t="s">
        <v>1444</v>
      </c>
      <c r="J673" s="16" t="s">
        <v>1445</v>
      </c>
      <c r="K673" s="16" t="s">
        <v>1446</v>
      </c>
    </row>
    <row r="674" spans="1:11" ht="315" hidden="1" x14ac:dyDescent="0.25">
      <c r="A674" s="22">
        <v>528</v>
      </c>
      <c r="B674" s="16" t="s">
        <v>2361</v>
      </c>
      <c r="C674" s="16" t="s">
        <v>2362</v>
      </c>
      <c r="D674" s="16">
        <v>6000000</v>
      </c>
      <c r="E674" s="16">
        <v>2</v>
      </c>
      <c r="F674" s="16">
        <v>4</v>
      </c>
      <c r="G674" s="20" t="s">
        <v>1443</v>
      </c>
      <c r="H674" s="16"/>
      <c r="I674" s="16" t="s">
        <v>2363</v>
      </c>
      <c r="J674" s="16" t="s">
        <v>2364</v>
      </c>
      <c r="K674" s="16" t="s">
        <v>2365</v>
      </c>
    </row>
    <row r="675" spans="1:11" ht="409.5" hidden="1" x14ac:dyDescent="0.25">
      <c r="A675" s="22">
        <v>677</v>
      </c>
      <c r="B675" s="16" t="s">
        <v>2953</v>
      </c>
      <c r="C675" s="16" t="s">
        <v>2954</v>
      </c>
      <c r="D675" s="16">
        <v>6000000</v>
      </c>
      <c r="E675" s="16">
        <v>2</v>
      </c>
      <c r="F675" s="16">
        <v>1</v>
      </c>
      <c r="G675" s="21" t="s">
        <v>2807</v>
      </c>
      <c r="H675" s="16"/>
      <c r="I675" s="16" t="s">
        <v>2955</v>
      </c>
      <c r="J675" s="16" t="s">
        <v>2956</v>
      </c>
      <c r="K675" s="16" t="s">
        <v>2957</v>
      </c>
    </row>
    <row r="676" spans="1:11" ht="409.5" hidden="1" x14ac:dyDescent="0.25">
      <c r="A676" s="22">
        <v>678</v>
      </c>
      <c r="B676" s="16" t="s">
        <v>2958</v>
      </c>
      <c r="C676" s="16" t="s">
        <v>2959</v>
      </c>
      <c r="D676" s="16">
        <v>6000000</v>
      </c>
      <c r="E676" s="16">
        <v>2</v>
      </c>
      <c r="F676" s="16">
        <v>1</v>
      </c>
      <c r="G676" s="21" t="s">
        <v>2807</v>
      </c>
      <c r="H676" s="16"/>
      <c r="I676" s="16" t="s">
        <v>2960</v>
      </c>
      <c r="J676" s="16" t="s">
        <v>2961</v>
      </c>
      <c r="K676" s="16" t="s">
        <v>2957</v>
      </c>
    </row>
    <row r="677" spans="1:11" ht="409.5" hidden="1" x14ac:dyDescent="0.25">
      <c r="A677" s="22">
        <v>684</v>
      </c>
      <c r="B677" s="16" t="s">
        <v>2983</v>
      </c>
      <c r="C677" s="16" t="s">
        <v>2984</v>
      </c>
      <c r="D677" s="16">
        <v>6000000</v>
      </c>
      <c r="E677" s="16">
        <v>2</v>
      </c>
      <c r="F677" s="16">
        <v>1</v>
      </c>
      <c r="G677" s="21" t="s">
        <v>2807</v>
      </c>
      <c r="H677" s="16"/>
      <c r="I677" s="16" t="s">
        <v>2985</v>
      </c>
      <c r="J677" s="16" t="s">
        <v>2986</v>
      </c>
      <c r="K677" s="16" t="s">
        <v>2987</v>
      </c>
    </row>
    <row r="678" spans="1:11" ht="315" hidden="1" x14ac:dyDescent="0.25">
      <c r="A678" s="22">
        <v>234</v>
      </c>
      <c r="B678" s="16" t="s">
        <v>1079</v>
      </c>
      <c r="C678" s="16" t="s">
        <v>1080</v>
      </c>
      <c r="D678" s="16">
        <v>5902000</v>
      </c>
      <c r="E678" s="16">
        <v>4</v>
      </c>
      <c r="F678" s="16">
        <v>3</v>
      </c>
      <c r="G678" s="19" t="s">
        <v>842</v>
      </c>
      <c r="H678" s="16"/>
      <c r="I678" s="16" t="s">
        <v>1081</v>
      </c>
      <c r="J678" s="16" t="s">
        <v>1082</v>
      </c>
      <c r="K678" s="16" t="s">
        <v>1083</v>
      </c>
    </row>
    <row r="679" spans="1:11" ht="240" hidden="1" x14ac:dyDescent="0.25">
      <c r="A679" s="22">
        <v>400</v>
      </c>
      <c r="B679" s="16" t="s">
        <v>1818</v>
      </c>
      <c r="C679" s="16" t="s">
        <v>1819</v>
      </c>
      <c r="D679" s="16">
        <v>5715000</v>
      </c>
      <c r="E679" s="16">
        <v>2</v>
      </c>
      <c r="F679" s="16">
        <v>3</v>
      </c>
      <c r="G679" s="20" t="s">
        <v>1443</v>
      </c>
      <c r="H679" s="16"/>
      <c r="I679" s="16" t="s">
        <v>1820</v>
      </c>
      <c r="J679" s="16" t="s">
        <v>1821</v>
      </c>
      <c r="K679" s="16" t="s">
        <v>1822</v>
      </c>
    </row>
    <row r="680" spans="1:11" ht="360" hidden="1" x14ac:dyDescent="0.25">
      <c r="A680" s="22">
        <v>653</v>
      </c>
      <c r="B680" s="16" t="s">
        <v>2850</v>
      </c>
      <c r="C680" s="16" t="s">
        <v>2851</v>
      </c>
      <c r="D680" s="16">
        <v>5275000</v>
      </c>
      <c r="E680" s="16">
        <v>2</v>
      </c>
      <c r="F680" s="16">
        <v>1</v>
      </c>
      <c r="G680" s="21" t="s">
        <v>2807</v>
      </c>
      <c r="H680" s="16"/>
      <c r="I680" s="16" t="s">
        <v>2852</v>
      </c>
      <c r="J680" s="16" t="s">
        <v>2853</v>
      </c>
      <c r="K680" s="16" t="s">
        <v>2854</v>
      </c>
    </row>
    <row r="681" spans="1:11" ht="300" hidden="1" x14ac:dyDescent="0.25">
      <c r="A681" s="22">
        <v>236</v>
      </c>
      <c r="B681" s="16" t="s">
        <v>1089</v>
      </c>
      <c r="C681" s="16" t="s">
        <v>1090</v>
      </c>
      <c r="D681" s="16">
        <v>5260000</v>
      </c>
      <c r="E681" s="16">
        <v>3</v>
      </c>
      <c r="F681" s="16">
        <v>5</v>
      </c>
      <c r="G681" s="19" t="s">
        <v>842</v>
      </c>
      <c r="H681" s="16"/>
      <c r="I681" s="16" t="s">
        <v>1091</v>
      </c>
      <c r="J681" s="16" t="s">
        <v>1092</v>
      </c>
      <c r="K681" s="16" t="s">
        <v>1093</v>
      </c>
    </row>
    <row r="682" spans="1:11" ht="409.5" hidden="1" x14ac:dyDescent="0.25">
      <c r="A682" s="22">
        <v>514</v>
      </c>
      <c r="B682" s="16" t="s">
        <v>2293</v>
      </c>
      <c r="C682" s="16" t="s">
        <v>2294</v>
      </c>
      <c r="D682" s="16">
        <v>5000000</v>
      </c>
      <c r="E682" s="16">
        <v>2</v>
      </c>
      <c r="F682" s="16">
        <v>3</v>
      </c>
      <c r="G682" s="20" t="s">
        <v>1443</v>
      </c>
      <c r="H682" s="16"/>
      <c r="I682" s="16" t="s">
        <v>2295</v>
      </c>
      <c r="J682" s="16" t="s">
        <v>2296</v>
      </c>
      <c r="K682" s="16" t="s">
        <v>2297</v>
      </c>
    </row>
    <row r="683" spans="1:11" ht="409.5" hidden="1" x14ac:dyDescent="0.25">
      <c r="A683" s="22">
        <v>522</v>
      </c>
      <c r="B683" s="16" t="s">
        <v>2331</v>
      </c>
      <c r="C683" s="16" t="s">
        <v>2332</v>
      </c>
      <c r="D683" s="16">
        <v>5000000</v>
      </c>
      <c r="E683" s="16">
        <v>2</v>
      </c>
      <c r="F683" s="16">
        <v>4</v>
      </c>
      <c r="G683" s="20" t="s">
        <v>1443</v>
      </c>
      <c r="H683" s="16"/>
      <c r="I683" s="16" t="s">
        <v>2333</v>
      </c>
      <c r="J683" s="16" t="s">
        <v>2334</v>
      </c>
      <c r="K683" s="16" t="s">
        <v>2335</v>
      </c>
    </row>
    <row r="684" spans="1:11" ht="195" hidden="1" x14ac:dyDescent="0.25">
      <c r="A684" s="22">
        <v>427</v>
      </c>
      <c r="B684" s="16" t="s">
        <v>1931</v>
      </c>
      <c r="C684" s="16" t="s">
        <v>1932</v>
      </c>
      <c r="D684" s="16">
        <v>4965000</v>
      </c>
      <c r="E684" s="16">
        <v>2</v>
      </c>
      <c r="F684" s="16">
        <v>3</v>
      </c>
      <c r="G684" s="20" t="s">
        <v>1443</v>
      </c>
      <c r="H684" s="16"/>
      <c r="I684" s="16" t="s">
        <v>1613</v>
      </c>
      <c r="J684" s="16" t="s">
        <v>1933</v>
      </c>
      <c r="K684" s="16" t="s">
        <v>1615</v>
      </c>
    </row>
    <row r="685" spans="1:11" ht="300" hidden="1" x14ac:dyDescent="0.25">
      <c r="A685" s="22">
        <v>286</v>
      </c>
      <c r="B685" s="16" t="s">
        <v>1309</v>
      </c>
      <c r="C685" s="16" t="s">
        <v>1310</v>
      </c>
      <c r="D685" s="16">
        <v>4820000</v>
      </c>
      <c r="E685" s="16">
        <v>3</v>
      </c>
      <c r="F685" s="16">
        <v>4</v>
      </c>
      <c r="G685" s="19" t="s">
        <v>842</v>
      </c>
      <c r="H685" s="16"/>
      <c r="I685" s="16" t="s">
        <v>1291</v>
      </c>
      <c r="J685" s="16" t="s">
        <v>1292</v>
      </c>
      <c r="K685" s="16" t="s">
        <v>1293</v>
      </c>
    </row>
    <row r="686" spans="1:11" ht="315" hidden="1" x14ac:dyDescent="0.25">
      <c r="A686" s="22">
        <v>235</v>
      </c>
      <c r="B686" s="16" t="s">
        <v>1084</v>
      </c>
      <c r="C686" s="16" t="s">
        <v>1085</v>
      </c>
      <c r="D686" s="16">
        <v>4740400</v>
      </c>
      <c r="E686" s="16">
        <v>4</v>
      </c>
      <c r="F686" s="16">
        <v>3</v>
      </c>
      <c r="G686" s="19" t="s">
        <v>842</v>
      </c>
      <c r="H686" s="16"/>
      <c r="I686" s="16" t="s">
        <v>1086</v>
      </c>
      <c r="J686" s="16" t="s">
        <v>1087</v>
      </c>
      <c r="K686" s="16" t="s">
        <v>1088</v>
      </c>
    </row>
    <row r="687" spans="1:11" ht="390" hidden="1" x14ac:dyDescent="0.25">
      <c r="A687" s="22">
        <v>10</v>
      </c>
      <c r="B687" s="16" t="s">
        <v>69</v>
      </c>
      <c r="C687" s="16" t="s">
        <v>70</v>
      </c>
      <c r="D687" s="16">
        <v>4595000</v>
      </c>
      <c r="E687" s="16">
        <v>5</v>
      </c>
      <c r="F687" s="16">
        <v>5</v>
      </c>
      <c r="G687" s="17" t="s">
        <v>31</v>
      </c>
      <c r="H687" s="16"/>
      <c r="I687" s="16"/>
      <c r="J687" s="16" t="s">
        <v>71</v>
      </c>
      <c r="K687" s="16" t="s">
        <v>72</v>
      </c>
    </row>
    <row r="688" spans="1:11" ht="210" hidden="1" x14ac:dyDescent="0.25">
      <c r="A688" s="22">
        <v>423</v>
      </c>
      <c r="B688" s="16" t="s">
        <v>1911</v>
      </c>
      <c r="C688" s="16" t="s">
        <v>1912</v>
      </c>
      <c r="D688" s="16">
        <v>4592000</v>
      </c>
      <c r="E688" s="16">
        <v>3</v>
      </c>
      <c r="F688" s="16">
        <v>3</v>
      </c>
      <c r="G688" s="20" t="s">
        <v>1443</v>
      </c>
      <c r="H688" s="16"/>
      <c r="I688" s="16" t="s">
        <v>1913</v>
      </c>
      <c r="J688" s="16" t="s">
        <v>1914</v>
      </c>
      <c r="K688" s="16" t="s">
        <v>1915</v>
      </c>
    </row>
    <row r="689" spans="1:11" ht="180" hidden="1" x14ac:dyDescent="0.25">
      <c r="A689" s="22">
        <v>58</v>
      </c>
      <c r="B689" s="16" t="s">
        <v>288</v>
      </c>
      <c r="C689" s="16" t="s">
        <v>289</v>
      </c>
      <c r="D689" s="16">
        <v>4298000</v>
      </c>
      <c r="E689" s="16">
        <v>4</v>
      </c>
      <c r="F689" s="16">
        <v>4</v>
      </c>
      <c r="G689" s="18" t="s">
        <v>108</v>
      </c>
      <c r="H689" s="16"/>
      <c r="I689" s="16" t="s">
        <v>290</v>
      </c>
      <c r="J689" s="16" t="s">
        <v>291</v>
      </c>
      <c r="K689" s="16" t="s">
        <v>292</v>
      </c>
    </row>
    <row r="690" spans="1:11" ht="210" hidden="1" x14ac:dyDescent="0.25">
      <c r="A690" s="22">
        <v>692</v>
      </c>
      <c r="B690" s="16" t="s">
        <v>3020</v>
      </c>
      <c r="C690" s="16" t="s">
        <v>3021</v>
      </c>
      <c r="D690" s="16">
        <v>4275000</v>
      </c>
      <c r="E690" s="16">
        <v>2</v>
      </c>
      <c r="F690" s="16">
        <v>1</v>
      </c>
      <c r="G690" s="21" t="s">
        <v>2807</v>
      </c>
      <c r="H690" s="16"/>
      <c r="I690" s="16" t="s">
        <v>3022</v>
      </c>
      <c r="J690" s="16" t="s">
        <v>3023</v>
      </c>
      <c r="K690" s="16" t="s">
        <v>3024</v>
      </c>
    </row>
    <row r="691" spans="1:11" ht="300" hidden="1" x14ac:dyDescent="0.25">
      <c r="A691" s="22">
        <v>282</v>
      </c>
      <c r="B691" s="16" t="s">
        <v>1289</v>
      </c>
      <c r="C691" s="16" t="s">
        <v>1290</v>
      </c>
      <c r="D691" s="16">
        <v>4160000</v>
      </c>
      <c r="E691" s="16">
        <v>3</v>
      </c>
      <c r="F691" s="16">
        <v>4</v>
      </c>
      <c r="G691" s="19" t="s">
        <v>842</v>
      </c>
      <c r="H691" s="16"/>
      <c r="I691" s="16" t="s">
        <v>1291</v>
      </c>
      <c r="J691" s="16" t="s">
        <v>1292</v>
      </c>
      <c r="K691" s="16" t="s">
        <v>1293</v>
      </c>
    </row>
    <row r="692" spans="1:11" ht="255" hidden="1" x14ac:dyDescent="0.25">
      <c r="A692" s="22">
        <v>9</v>
      </c>
      <c r="B692" s="16" t="s">
        <v>64</v>
      </c>
      <c r="C692" s="16" t="s">
        <v>65</v>
      </c>
      <c r="D692" s="16">
        <v>4095000</v>
      </c>
      <c r="E692" s="16">
        <v>5</v>
      </c>
      <c r="F692" s="16">
        <v>5</v>
      </c>
      <c r="G692" s="17" t="s">
        <v>31</v>
      </c>
      <c r="H692" s="16"/>
      <c r="I692" s="16" t="s">
        <v>66</v>
      </c>
      <c r="J692" s="16" t="s">
        <v>67</v>
      </c>
      <c r="K692" s="16" t="s">
        <v>68</v>
      </c>
    </row>
    <row r="693" spans="1:11" ht="210" hidden="1" x14ac:dyDescent="0.25">
      <c r="A693" s="22">
        <v>422</v>
      </c>
      <c r="B693" s="16" t="s">
        <v>1906</v>
      </c>
      <c r="C693" s="16" t="s">
        <v>1907</v>
      </c>
      <c r="D693" s="16">
        <v>4073000</v>
      </c>
      <c r="E693" s="16">
        <v>3</v>
      </c>
      <c r="F693" s="16">
        <v>3</v>
      </c>
      <c r="G693" s="20" t="s">
        <v>1443</v>
      </c>
      <c r="H693" s="16"/>
      <c r="I693" s="16" t="s">
        <v>1908</v>
      </c>
      <c r="J693" s="16" t="s">
        <v>1909</v>
      </c>
      <c r="K693" s="16" t="s">
        <v>1910</v>
      </c>
    </row>
    <row r="694" spans="1:11" ht="165" hidden="1" x14ac:dyDescent="0.25">
      <c r="A694" s="22">
        <v>533</v>
      </c>
      <c r="B694" s="16" t="s">
        <v>2383</v>
      </c>
      <c r="C694" s="16" t="s">
        <v>2384</v>
      </c>
      <c r="D694" s="16">
        <v>4000000</v>
      </c>
      <c r="E694" s="16">
        <v>3</v>
      </c>
      <c r="F694" s="16">
        <v>2</v>
      </c>
      <c r="G694" s="20" t="s">
        <v>1443</v>
      </c>
      <c r="H694" s="16"/>
      <c r="I694" s="16" t="s">
        <v>2385</v>
      </c>
      <c r="J694" s="16" t="s">
        <v>2386</v>
      </c>
      <c r="K694" s="16" t="s">
        <v>2387</v>
      </c>
    </row>
    <row r="695" spans="1:11" ht="180" hidden="1" x14ac:dyDescent="0.25">
      <c r="A695" s="22">
        <v>681</v>
      </c>
      <c r="B695" s="16" t="s">
        <v>2971</v>
      </c>
      <c r="C695" s="16" t="s">
        <v>2972</v>
      </c>
      <c r="D695" s="16">
        <v>4000000</v>
      </c>
      <c r="E695" s="16">
        <v>1</v>
      </c>
      <c r="F695" s="16">
        <v>1</v>
      </c>
      <c r="G695" s="21" t="s">
        <v>2807</v>
      </c>
      <c r="H695" s="16"/>
      <c r="I695" s="16" t="s">
        <v>2973</v>
      </c>
      <c r="J695" s="16" t="s">
        <v>2974</v>
      </c>
      <c r="K695" s="16" t="s">
        <v>2975</v>
      </c>
    </row>
    <row r="696" spans="1:11" ht="405" hidden="1" x14ac:dyDescent="0.25">
      <c r="A696" s="22">
        <v>687</v>
      </c>
      <c r="B696" s="16" t="s">
        <v>2996</v>
      </c>
      <c r="C696" s="16" t="s">
        <v>2997</v>
      </c>
      <c r="D696" s="16">
        <v>4000000</v>
      </c>
      <c r="E696" s="16">
        <v>2</v>
      </c>
      <c r="F696" s="16">
        <v>2</v>
      </c>
      <c r="G696" s="21" t="s">
        <v>2807</v>
      </c>
      <c r="H696" s="16"/>
      <c r="I696" s="16" t="s">
        <v>2998</v>
      </c>
      <c r="J696" s="16" t="s">
        <v>2999</v>
      </c>
      <c r="K696" s="16" t="s">
        <v>3000</v>
      </c>
    </row>
    <row r="697" spans="1:11" ht="165" hidden="1" x14ac:dyDescent="0.25">
      <c r="A697" s="22">
        <v>349</v>
      </c>
      <c r="B697" s="16" t="s">
        <v>1597</v>
      </c>
      <c r="C697" s="16" t="s">
        <v>1598</v>
      </c>
      <c r="D697" s="16">
        <v>3655000</v>
      </c>
      <c r="E697" s="16">
        <v>2</v>
      </c>
      <c r="F697" s="16">
        <v>3</v>
      </c>
      <c r="G697" s="20" t="s">
        <v>1443</v>
      </c>
      <c r="H697" s="16"/>
      <c r="I697" s="16" t="s">
        <v>1599</v>
      </c>
      <c r="J697" s="16" t="s">
        <v>1600</v>
      </c>
      <c r="K697" s="16" t="s">
        <v>1601</v>
      </c>
    </row>
    <row r="698" spans="1:11" ht="225" hidden="1" x14ac:dyDescent="0.25">
      <c r="A698" s="22">
        <v>229</v>
      </c>
      <c r="B698" s="16" t="s">
        <v>1058</v>
      </c>
      <c r="C698" s="16" t="s">
        <v>1059</v>
      </c>
      <c r="D698" s="16">
        <v>3548000</v>
      </c>
      <c r="E698" s="16">
        <v>3</v>
      </c>
      <c r="F698" s="16">
        <v>5</v>
      </c>
      <c r="G698" s="19" t="s">
        <v>842</v>
      </c>
      <c r="H698" s="16"/>
      <c r="I698" s="16" t="s">
        <v>1060</v>
      </c>
      <c r="J698" s="16" t="s">
        <v>1061</v>
      </c>
      <c r="K698" s="16" t="s">
        <v>1062</v>
      </c>
    </row>
    <row r="699" spans="1:11" ht="210" hidden="1" x14ac:dyDescent="0.25">
      <c r="A699" s="22">
        <v>419</v>
      </c>
      <c r="B699" s="16" t="s">
        <v>1893</v>
      </c>
      <c r="C699" s="16" t="s">
        <v>1894</v>
      </c>
      <c r="D699" s="16">
        <v>3320000</v>
      </c>
      <c r="E699" s="16">
        <v>2</v>
      </c>
      <c r="F699" s="16">
        <v>5</v>
      </c>
      <c r="G699" s="20" t="s">
        <v>1443</v>
      </c>
      <c r="H699" s="16"/>
      <c r="I699" s="16" t="s">
        <v>1895</v>
      </c>
      <c r="J699" s="16" t="s">
        <v>1896</v>
      </c>
      <c r="K699" s="16" t="s">
        <v>1897</v>
      </c>
    </row>
    <row r="700" spans="1:11" ht="240" hidden="1" x14ac:dyDescent="0.25">
      <c r="A700" s="22">
        <v>421</v>
      </c>
      <c r="B700" s="16" t="s">
        <v>1901</v>
      </c>
      <c r="C700" s="16" t="s">
        <v>1902</v>
      </c>
      <c r="D700" s="16">
        <v>3300000</v>
      </c>
      <c r="E700" s="16">
        <v>3</v>
      </c>
      <c r="F700" s="16">
        <v>3</v>
      </c>
      <c r="G700" s="20" t="s">
        <v>1443</v>
      </c>
      <c r="H700" s="16"/>
      <c r="I700" s="16" t="s">
        <v>1903</v>
      </c>
      <c r="J700" s="16" t="s">
        <v>1904</v>
      </c>
      <c r="K700" s="16" t="s">
        <v>1905</v>
      </c>
    </row>
    <row r="701" spans="1:11" ht="210" hidden="1" x14ac:dyDescent="0.25">
      <c r="A701" s="22">
        <v>95</v>
      </c>
      <c r="B701" s="16" t="s">
        <v>453</v>
      </c>
      <c r="C701" s="16" t="s">
        <v>454</v>
      </c>
      <c r="D701" s="16">
        <v>3195000</v>
      </c>
      <c r="E701" s="16">
        <v>4</v>
      </c>
      <c r="F701" s="16">
        <v>4</v>
      </c>
      <c r="G701" s="18" t="s">
        <v>108</v>
      </c>
      <c r="H701" s="16"/>
      <c r="I701" s="16" t="s">
        <v>455</v>
      </c>
      <c r="J701" s="16" t="s">
        <v>456</v>
      </c>
      <c r="K701" s="16" t="s">
        <v>457</v>
      </c>
    </row>
    <row r="702" spans="1:11" ht="270" hidden="1" x14ac:dyDescent="0.25">
      <c r="A702" s="22">
        <v>656</v>
      </c>
      <c r="B702" s="16" t="s">
        <v>2865</v>
      </c>
      <c r="C702" s="16" t="s">
        <v>2866</v>
      </c>
      <c r="D702" s="16">
        <v>2822500</v>
      </c>
      <c r="E702" s="16">
        <v>2</v>
      </c>
      <c r="F702" s="16">
        <v>2</v>
      </c>
      <c r="G702" s="21" t="s">
        <v>2807</v>
      </c>
      <c r="H702" s="16"/>
      <c r="I702" s="16" t="s">
        <v>2867</v>
      </c>
      <c r="J702" s="16" t="s">
        <v>2868</v>
      </c>
      <c r="K702" s="16" t="s">
        <v>2869</v>
      </c>
    </row>
    <row r="703" spans="1:11" ht="375" hidden="1" x14ac:dyDescent="0.25">
      <c r="A703" s="22">
        <v>238</v>
      </c>
      <c r="B703" s="16" t="s">
        <v>1099</v>
      </c>
      <c r="C703" s="16" t="s">
        <v>1100</v>
      </c>
      <c r="D703" s="16">
        <v>2500000</v>
      </c>
      <c r="E703" s="16">
        <v>3</v>
      </c>
      <c r="F703" s="16">
        <v>4</v>
      </c>
      <c r="G703" s="19" t="s">
        <v>842</v>
      </c>
      <c r="H703" s="16"/>
      <c r="I703" s="16" t="s">
        <v>1101</v>
      </c>
      <c r="J703" s="16" t="s">
        <v>1102</v>
      </c>
      <c r="K703" s="16" t="s">
        <v>1103</v>
      </c>
    </row>
    <row r="704" spans="1:11" ht="375" hidden="1" x14ac:dyDescent="0.25">
      <c r="A704" s="22">
        <v>239</v>
      </c>
      <c r="B704" s="16" t="s">
        <v>1104</v>
      </c>
      <c r="C704" s="16" t="s">
        <v>1105</v>
      </c>
      <c r="D704" s="16">
        <v>2500000</v>
      </c>
      <c r="E704" s="16">
        <v>3</v>
      </c>
      <c r="F704" s="16">
        <v>4</v>
      </c>
      <c r="G704" s="19" t="s">
        <v>842</v>
      </c>
      <c r="H704" s="16"/>
      <c r="I704" s="16" t="s">
        <v>1101</v>
      </c>
      <c r="J704" s="16" t="s">
        <v>1102</v>
      </c>
      <c r="K704" s="16" t="s">
        <v>1103</v>
      </c>
    </row>
    <row r="705" spans="1:11" ht="375" hidden="1" x14ac:dyDescent="0.25">
      <c r="A705" s="22">
        <v>240</v>
      </c>
      <c r="B705" s="16" t="s">
        <v>1106</v>
      </c>
      <c r="C705" s="16" t="s">
        <v>1107</v>
      </c>
      <c r="D705" s="16">
        <v>2500000</v>
      </c>
      <c r="E705" s="16">
        <v>3</v>
      </c>
      <c r="F705" s="16">
        <v>4</v>
      </c>
      <c r="G705" s="19" t="s">
        <v>842</v>
      </c>
      <c r="H705" s="16"/>
      <c r="I705" s="16" t="s">
        <v>1101</v>
      </c>
      <c r="J705" s="16" t="s">
        <v>1102</v>
      </c>
      <c r="K705" s="16" t="s">
        <v>1103</v>
      </c>
    </row>
    <row r="706" spans="1:11" ht="375" hidden="1" x14ac:dyDescent="0.25">
      <c r="A706" s="22">
        <v>448</v>
      </c>
      <c r="B706" s="16" t="s">
        <v>2011</v>
      </c>
      <c r="C706" s="16" t="s">
        <v>2012</v>
      </c>
      <c r="D706" s="16">
        <v>2500000</v>
      </c>
      <c r="E706" s="16">
        <v>2</v>
      </c>
      <c r="F706" s="16">
        <v>5</v>
      </c>
      <c r="G706" s="20" t="s">
        <v>1443</v>
      </c>
      <c r="H706" s="16"/>
      <c r="I706" s="16" t="s">
        <v>1101</v>
      </c>
      <c r="J706" s="16" t="s">
        <v>1102</v>
      </c>
      <c r="K706" s="16" t="s">
        <v>1103</v>
      </c>
    </row>
    <row r="707" spans="1:11" ht="375" hidden="1" x14ac:dyDescent="0.25">
      <c r="A707" s="22">
        <v>449</v>
      </c>
      <c r="B707" s="16" t="s">
        <v>2013</v>
      </c>
      <c r="C707" s="16" t="s">
        <v>2014</v>
      </c>
      <c r="D707" s="16">
        <v>2500000</v>
      </c>
      <c r="E707" s="16">
        <v>2</v>
      </c>
      <c r="F707" s="16">
        <v>4</v>
      </c>
      <c r="G707" s="20" t="s">
        <v>1443</v>
      </c>
      <c r="H707" s="16"/>
      <c r="I707" s="16" t="s">
        <v>1101</v>
      </c>
      <c r="J707" s="16" t="s">
        <v>1102</v>
      </c>
      <c r="K707" s="16" t="s">
        <v>1103</v>
      </c>
    </row>
    <row r="708" spans="1:11" ht="375" hidden="1" x14ac:dyDescent="0.25">
      <c r="A708" s="22">
        <v>450</v>
      </c>
      <c r="B708" s="16" t="s">
        <v>2015</v>
      </c>
      <c r="C708" s="16" t="s">
        <v>2016</v>
      </c>
      <c r="D708" s="16">
        <v>2500000</v>
      </c>
      <c r="E708" s="16">
        <v>2</v>
      </c>
      <c r="F708" s="16">
        <v>4</v>
      </c>
      <c r="G708" s="20" t="s">
        <v>1443</v>
      </c>
      <c r="H708" s="16"/>
      <c r="I708" s="16" t="s">
        <v>1101</v>
      </c>
      <c r="J708" s="16" t="s">
        <v>1102</v>
      </c>
      <c r="K708" s="16" t="s">
        <v>1103</v>
      </c>
    </row>
    <row r="709" spans="1:11" ht="375" hidden="1" x14ac:dyDescent="0.25">
      <c r="A709" s="22">
        <v>451</v>
      </c>
      <c r="B709" s="16" t="s">
        <v>2017</v>
      </c>
      <c r="C709" s="16" t="s">
        <v>2018</v>
      </c>
      <c r="D709" s="16">
        <v>2500000</v>
      </c>
      <c r="E709" s="16">
        <v>2</v>
      </c>
      <c r="F709" s="16">
        <v>4</v>
      </c>
      <c r="G709" s="20" t="s">
        <v>1443</v>
      </c>
      <c r="H709" s="16"/>
      <c r="I709" s="16" t="s">
        <v>1101</v>
      </c>
      <c r="J709" s="16" t="s">
        <v>1102</v>
      </c>
      <c r="K709" s="16" t="s">
        <v>1103</v>
      </c>
    </row>
    <row r="710" spans="1:11" ht="375" hidden="1" x14ac:dyDescent="0.25">
      <c r="A710" s="22">
        <v>452</v>
      </c>
      <c r="B710" s="16" t="s">
        <v>2019</v>
      </c>
      <c r="C710" s="16" t="s">
        <v>2020</v>
      </c>
      <c r="D710" s="16">
        <v>2500000</v>
      </c>
      <c r="E710" s="16">
        <v>2</v>
      </c>
      <c r="F710" s="16">
        <v>4</v>
      </c>
      <c r="G710" s="20" t="s">
        <v>1443</v>
      </c>
      <c r="H710" s="16"/>
      <c r="I710" s="16" t="s">
        <v>1101</v>
      </c>
      <c r="J710" s="16" t="s">
        <v>1102</v>
      </c>
      <c r="K710" s="16" t="s">
        <v>1103</v>
      </c>
    </row>
    <row r="711" spans="1:11" ht="375" hidden="1" x14ac:dyDescent="0.25">
      <c r="A711" s="22">
        <v>453</v>
      </c>
      <c r="B711" s="16" t="s">
        <v>2021</v>
      </c>
      <c r="C711" s="16" t="s">
        <v>2022</v>
      </c>
      <c r="D711" s="16">
        <v>2500000</v>
      </c>
      <c r="E711" s="16">
        <v>2</v>
      </c>
      <c r="F711" s="16">
        <v>4</v>
      </c>
      <c r="G711" s="20" t="s">
        <v>1443</v>
      </c>
      <c r="H711" s="16"/>
      <c r="I711" s="16" t="s">
        <v>1101</v>
      </c>
      <c r="J711" s="16" t="s">
        <v>1102</v>
      </c>
      <c r="K711" s="16" t="s">
        <v>1103</v>
      </c>
    </row>
    <row r="712" spans="1:11" ht="285" hidden="1" x14ac:dyDescent="0.25">
      <c r="A712" s="22">
        <v>287</v>
      </c>
      <c r="B712" s="16" t="s">
        <v>1311</v>
      </c>
      <c r="C712" s="16" t="s">
        <v>1312</v>
      </c>
      <c r="D712" s="16">
        <v>2155000</v>
      </c>
      <c r="E712" s="16">
        <v>3</v>
      </c>
      <c r="F712" s="16">
        <v>5</v>
      </c>
      <c r="G712" s="19" t="s">
        <v>842</v>
      </c>
      <c r="H712" s="16"/>
      <c r="I712" s="16" t="s">
        <v>1313</v>
      </c>
      <c r="J712" s="16" t="s">
        <v>1314</v>
      </c>
      <c r="K712" s="16" t="s">
        <v>1315</v>
      </c>
    </row>
    <row r="713" spans="1:11" ht="90" hidden="1" x14ac:dyDescent="0.25">
      <c r="A713" s="22">
        <v>399</v>
      </c>
      <c r="B713" s="16" t="s">
        <v>1813</v>
      </c>
      <c r="C713" s="16" t="s">
        <v>1814</v>
      </c>
      <c r="D713" s="16">
        <v>1965000</v>
      </c>
      <c r="E713" s="16">
        <v>2</v>
      </c>
      <c r="F713" s="16">
        <v>3</v>
      </c>
      <c r="G713" s="20" t="s">
        <v>1443</v>
      </c>
      <c r="H713" s="16"/>
      <c r="I713" s="16" t="s">
        <v>1815</v>
      </c>
      <c r="J713" s="16" t="s">
        <v>1816</v>
      </c>
      <c r="K713" s="16" t="s">
        <v>1817</v>
      </c>
    </row>
    <row r="714" spans="1:11" ht="345" hidden="1" x14ac:dyDescent="0.25">
      <c r="A714" s="22">
        <v>146</v>
      </c>
      <c r="B714" s="16" t="s">
        <v>693</v>
      </c>
      <c r="C714" s="16" t="s">
        <v>694</v>
      </c>
      <c r="D714" s="16">
        <v>1040000</v>
      </c>
      <c r="E714" s="16">
        <v>4</v>
      </c>
      <c r="F714" s="16">
        <v>4</v>
      </c>
      <c r="G714" s="18" t="s">
        <v>108</v>
      </c>
      <c r="H714" s="16"/>
      <c r="I714" s="16" t="s">
        <v>695</v>
      </c>
      <c r="J714" s="16" t="s">
        <v>696</v>
      </c>
      <c r="K714" s="16" t="s">
        <v>697</v>
      </c>
    </row>
    <row r="715" spans="1:11" ht="285" hidden="1" x14ac:dyDescent="0.25">
      <c r="A715" s="22">
        <v>135</v>
      </c>
      <c r="B715" s="16" t="s">
        <v>640</v>
      </c>
      <c r="C715" s="16" t="s">
        <v>641</v>
      </c>
      <c r="D715" s="16">
        <v>0</v>
      </c>
      <c r="E715" s="16">
        <v>4</v>
      </c>
      <c r="F715" s="16">
        <v>4</v>
      </c>
      <c r="G715" s="18" t="s">
        <v>108</v>
      </c>
      <c r="H715" s="16"/>
      <c r="I715" s="16" t="s">
        <v>642</v>
      </c>
      <c r="J715" s="16" t="s">
        <v>643</v>
      </c>
      <c r="K715" s="16" t="s">
        <v>644</v>
      </c>
    </row>
    <row r="716" spans="1:11" ht="135" hidden="1" x14ac:dyDescent="0.25">
      <c r="A716" s="22">
        <v>285</v>
      </c>
      <c r="B716" s="16" t="s">
        <v>1304</v>
      </c>
      <c r="C716" s="16" t="s">
        <v>1305</v>
      </c>
      <c r="D716" s="16">
        <v>0</v>
      </c>
      <c r="E716" s="16">
        <v>3</v>
      </c>
      <c r="F716" s="16">
        <v>4</v>
      </c>
      <c r="G716" s="19" t="s">
        <v>842</v>
      </c>
      <c r="H716" s="16"/>
      <c r="I716" s="16" t="s">
        <v>1306</v>
      </c>
      <c r="J716" s="16" t="s">
        <v>1307</v>
      </c>
      <c r="K716" s="16" t="s">
        <v>1308</v>
      </c>
    </row>
    <row r="717" spans="1:11" ht="270" hidden="1" x14ac:dyDescent="0.25">
      <c r="A717" s="22">
        <v>532</v>
      </c>
      <c r="B717" s="16" t="s">
        <v>2378</v>
      </c>
      <c r="C717" s="16" t="s">
        <v>2379</v>
      </c>
      <c r="D717" s="16">
        <v>0</v>
      </c>
      <c r="E717" s="16">
        <v>3</v>
      </c>
      <c r="F717" s="16">
        <v>3</v>
      </c>
      <c r="G717" s="20" t="s">
        <v>1443</v>
      </c>
      <c r="H717" s="16"/>
      <c r="I717" s="16" t="s">
        <v>2380</v>
      </c>
      <c r="J717" s="16" t="s">
        <v>2381</v>
      </c>
      <c r="K717" s="16" t="s">
        <v>2382</v>
      </c>
    </row>
  </sheetData>
  <autoFilter ref="A3:K717" xr:uid="{67F4741E-D944-4DA8-AD41-FAB58AE46DAD}">
    <sortState xmlns:xlrd2="http://schemas.microsoft.com/office/spreadsheetml/2017/richdata2" ref="A4:K75">
      <sortCondition ref="G3:G717"/>
    </sortState>
  </autoFilter>
  <mergeCells count="1">
    <mergeCell ref="B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14D41-46D7-4B01-94D3-A534935110E8}">
  <sheetPr filterMode="1"/>
  <dimension ref="A1:S717"/>
  <sheetViews>
    <sheetView zoomScale="55" zoomScaleNormal="55" workbookViewId="0">
      <selection activeCell="C6" sqref="C6"/>
    </sheetView>
  </sheetViews>
  <sheetFormatPr defaultColWidth="8.85546875" defaultRowHeight="17.25" x14ac:dyDescent="0.25"/>
  <cols>
    <col min="1" max="1" width="8.85546875" style="22"/>
    <col min="2" max="11" width="20" style="14" customWidth="1"/>
    <col min="12" max="12" width="8.85546875" style="27"/>
    <col min="13" max="16384" width="8.85546875" style="14"/>
  </cols>
  <sheetData>
    <row r="1" spans="1:11" ht="18.75" x14ac:dyDescent="0.3">
      <c r="B1" s="215" t="s">
        <v>18</v>
      </c>
      <c r="C1" s="216"/>
      <c r="D1" s="216"/>
      <c r="E1" s="216"/>
      <c r="F1" s="216"/>
      <c r="G1" s="216"/>
      <c r="H1" s="216"/>
      <c r="I1" s="216"/>
      <c r="J1" s="216"/>
      <c r="K1" s="216"/>
    </row>
    <row r="3" spans="1:11" x14ac:dyDescent="0.25">
      <c r="A3" s="22" t="s">
        <v>15</v>
      </c>
      <c r="B3" s="15" t="s">
        <v>19</v>
      </c>
      <c r="C3" s="15" t="s">
        <v>20</v>
      </c>
      <c r="D3" s="15" t="s">
        <v>21</v>
      </c>
      <c r="E3" s="15" t="s">
        <v>22</v>
      </c>
      <c r="F3" s="15" t="s">
        <v>23</v>
      </c>
      <c r="G3" s="15" t="s">
        <v>24</v>
      </c>
      <c r="H3" s="15" t="s">
        <v>25</v>
      </c>
      <c r="I3" s="15" t="s">
        <v>26</v>
      </c>
      <c r="J3" s="15" t="s">
        <v>27</v>
      </c>
      <c r="K3" s="15" t="s">
        <v>28</v>
      </c>
    </row>
    <row r="4" spans="1:11" ht="240" hidden="1" x14ac:dyDescent="0.25">
      <c r="A4" s="22">
        <v>1</v>
      </c>
      <c r="B4" s="16" t="s">
        <v>29</v>
      </c>
      <c r="C4" s="16" t="s">
        <v>30</v>
      </c>
      <c r="D4" s="16">
        <v>15790000</v>
      </c>
      <c r="E4" s="16">
        <v>5</v>
      </c>
      <c r="F4" s="16">
        <v>5</v>
      </c>
      <c r="G4" s="17" t="s">
        <v>31</v>
      </c>
      <c r="H4" s="16"/>
      <c r="I4" s="16" t="s">
        <v>32</v>
      </c>
      <c r="J4" s="16" t="s">
        <v>33</v>
      </c>
      <c r="K4" s="16" t="s">
        <v>34</v>
      </c>
    </row>
    <row r="5" spans="1:11" ht="240" hidden="1" x14ac:dyDescent="0.25">
      <c r="A5" s="22">
        <v>2</v>
      </c>
      <c r="B5" s="16" t="s">
        <v>35</v>
      </c>
      <c r="C5" s="16" t="s">
        <v>36</v>
      </c>
      <c r="D5" s="16">
        <v>8320000</v>
      </c>
      <c r="E5" s="16">
        <v>5</v>
      </c>
      <c r="F5" s="16">
        <v>5</v>
      </c>
      <c r="G5" s="17" t="s">
        <v>31</v>
      </c>
      <c r="H5" s="16"/>
      <c r="I5" s="16" t="s">
        <v>32</v>
      </c>
      <c r="J5" s="16" t="s">
        <v>33</v>
      </c>
      <c r="K5" s="16" t="s">
        <v>34</v>
      </c>
    </row>
    <row r="6" spans="1:11" ht="240" hidden="1" x14ac:dyDescent="0.25">
      <c r="A6" s="22">
        <v>3</v>
      </c>
      <c r="B6" s="16" t="s">
        <v>37</v>
      </c>
      <c r="C6" s="16" t="s">
        <v>38</v>
      </c>
      <c r="D6" s="16">
        <v>28817500</v>
      </c>
      <c r="E6" s="16">
        <v>5</v>
      </c>
      <c r="F6" s="16">
        <v>5</v>
      </c>
      <c r="G6" s="17" t="s">
        <v>31</v>
      </c>
      <c r="H6" s="16"/>
      <c r="I6" s="16" t="s">
        <v>32</v>
      </c>
      <c r="J6" s="16" t="s">
        <v>33</v>
      </c>
      <c r="K6" s="16" t="s">
        <v>34</v>
      </c>
    </row>
    <row r="7" spans="1:11" ht="240" hidden="1" x14ac:dyDescent="0.25">
      <c r="A7" s="22">
        <v>4</v>
      </c>
      <c r="B7" s="16" t="s">
        <v>39</v>
      </c>
      <c r="C7" s="16" t="s">
        <v>40</v>
      </c>
      <c r="D7" s="16">
        <v>21845000</v>
      </c>
      <c r="E7" s="16">
        <v>5</v>
      </c>
      <c r="F7" s="16">
        <v>5</v>
      </c>
      <c r="G7" s="17" t="s">
        <v>31</v>
      </c>
      <c r="H7" s="16"/>
      <c r="I7" s="16" t="s">
        <v>41</v>
      </c>
      <c r="J7" s="16" t="s">
        <v>42</v>
      </c>
      <c r="K7" s="16" t="s">
        <v>43</v>
      </c>
    </row>
    <row r="8" spans="1:11" ht="315" hidden="1" x14ac:dyDescent="0.25">
      <c r="A8" s="22">
        <v>5</v>
      </c>
      <c r="B8" s="16" t="s">
        <v>44</v>
      </c>
      <c r="C8" s="16" t="s">
        <v>45</v>
      </c>
      <c r="D8" s="16">
        <v>13821000</v>
      </c>
      <c r="E8" s="16">
        <v>5</v>
      </c>
      <c r="F8" s="16">
        <v>5</v>
      </c>
      <c r="G8" s="17" t="s">
        <v>31</v>
      </c>
      <c r="H8" s="16"/>
      <c r="I8" s="16" t="s">
        <v>46</v>
      </c>
      <c r="J8" s="16" t="s">
        <v>47</v>
      </c>
      <c r="K8" s="16" t="s">
        <v>48</v>
      </c>
    </row>
    <row r="9" spans="1:11" ht="315" hidden="1" x14ac:dyDescent="0.25">
      <c r="A9" s="22">
        <v>6</v>
      </c>
      <c r="B9" s="16" t="s">
        <v>49</v>
      </c>
      <c r="C9" s="16" t="s">
        <v>50</v>
      </c>
      <c r="D9" s="16">
        <v>40887000</v>
      </c>
      <c r="E9" s="16">
        <v>5</v>
      </c>
      <c r="F9" s="16">
        <v>5</v>
      </c>
      <c r="G9" s="17" t="s">
        <v>31</v>
      </c>
      <c r="H9" s="16"/>
      <c r="I9" s="16" t="s">
        <v>51</v>
      </c>
      <c r="J9" s="16" t="s">
        <v>52</v>
      </c>
      <c r="K9" s="16" t="s">
        <v>53</v>
      </c>
    </row>
    <row r="10" spans="1:11" ht="345" hidden="1" x14ac:dyDescent="0.25">
      <c r="A10" s="22">
        <v>7</v>
      </c>
      <c r="B10" s="16" t="s">
        <v>54</v>
      </c>
      <c r="C10" s="16" t="s">
        <v>55</v>
      </c>
      <c r="D10" s="16">
        <v>44084580</v>
      </c>
      <c r="E10" s="16">
        <v>5</v>
      </c>
      <c r="F10" s="16">
        <v>5</v>
      </c>
      <c r="G10" s="17" t="s">
        <v>31</v>
      </c>
      <c r="H10" s="16"/>
      <c r="I10" s="16" t="s">
        <v>56</v>
      </c>
      <c r="J10" s="16" t="s">
        <v>57</v>
      </c>
      <c r="K10" s="16" t="s">
        <v>58</v>
      </c>
    </row>
    <row r="11" spans="1:11" ht="300" hidden="1" x14ac:dyDescent="0.25">
      <c r="A11" s="22">
        <v>8</v>
      </c>
      <c r="B11" s="16" t="s">
        <v>59</v>
      </c>
      <c r="C11" s="16" t="s">
        <v>60</v>
      </c>
      <c r="D11" s="16">
        <v>12760000</v>
      </c>
      <c r="E11" s="16">
        <v>5</v>
      </c>
      <c r="F11" s="16">
        <v>5</v>
      </c>
      <c r="G11" s="17" t="s">
        <v>31</v>
      </c>
      <c r="H11" s="16"/>
      <c r="I11" s="16" t="s">
        <v>61</v>
      </c>
      <c r="J11" s="16" t="s">
        <v>62</v>
      </c>
      <c r="K11" s="16" t="s">
        <v>63</v>
      </c>
    </row>
    <row r="12" spans="1:11" ht="255" hidden="1" x14ac:dyDescent="0.25">
      <c r="A12" s="22">
        <v>9</v>
      </c>
      <c r="B12" s="16" t="s">
        <v>64</v>
      </c>
      <c r="C12" s="16" t="s">
        <v>65</v>
      </c>
      <c r="D12" s="16">
        <v>4095000</v>
      </c>
      <c r="E12" s="16">
        <v>5</v>
      </c>
      <c r="F12" s="16">
        <v>5</v>
      </c>
      <c r="G12" s="17" t="s">
        <v>31</v>
      </c>
      <c r="H12" s="16"/>
      <c r="I12" s="16" t="s">
        <v>66</v>
      </c>
      <c r="J12" s="16" t="s">
        <v>67</v>
      </c>
      <c r="K12" s="16" t="s">
        <v>68</v>
      </c>
    </row>
    <row r="13" spans="1:11" ht="390" hidden="1" x14ac:dyDescent="0.25">
      <c r="A13" s="22">
        <v>10</v>
      </c>
      <c r="B13" s="16" t="s">
        <v>69</v>
      </c>
      <c r="C13" s="16" t="s">
        <v>70</v>
      </c>
      <c r="D13" s="16">
        <v>4595000</v>
      </c>
      <c r="E13" s="16">
        <v>5</v>
      </c>
      <c r="F13" s="16">
        <v>5</v>
      </c>
      <c r="G13" s="17" t="s">
        <v>31</v>
      </c>
      <c r="H13" s="16"/>
      <c r="I13" s="16"/>
      <c r="J13" s="16" t="s">
        <v>71</v>
      </c>
      <c r="K13" s="16" t="s">
        <v>72</v>
      </c>
    </row>
    <row r="14" spans="1:11" ht="375" hidden="1" x14ac:dyDescent="0.25">
      <c r="A14" s="22">
        <v>11</v>
      </c>
      <c r="B14" s="16" t="s">
        <v>73</v>
      </c>
      <c r="C14" s="16" t="s">
        <v>74</v>
      </c>
      <c r="D14" s="16">
        <v>6455000</v>
      </c>
      <c r="E14" s="16">
        <v>5</v>
      </c>
      <c r="F14" s="16">
        <v>5</v>
      </c>
      <c r="G14" s="17" t="s">
        <v>31</v>
      </c>
      <c r="H14" s="16"/>
      <c r="I14" s="16" t="s">
        <v>75</v>
      </c>
      <c r="J14" s="16" t="s">
        <v>76</v>
      </c>
      <c r="K14" s="16" t="s">
        <v>77</v>
      </c>
    </row>
    <row r="15" spans="1:11" ht="225" hidden="1" x14ac:dyDescent="0.25">
      <c r="A15" s="22">
        <v>12</v>
      </c>
      <c r="B15" s="16" t="s">
        <v>78</v>
      </c>
      <c r="C15" s="16" t="s">
        <v>79</v>
      </c>
      <c r="D15" s="16">
        <v>17500000</v>
      </c>
      <c r="E15" s="16">
        <v>5</v>
      </c>
      <c r="F15" s="16">
        <v>5</v>
      </c>
      <c r="G15" s="17" t="s">
        <v>31</v>
      </c>
      <c r="H15" s="16"/>
      <c r="I15" s="16" t="s">
        <v>80</v>
      </c>
      <c r="J15" s="16" t="s">
        <v>81</v>
      </c>
      <c r="K15" s="16" t="s">
        <v>82</v>
      </c>
    </row>
    <row r="16" spans="1:11" ht="330" hidden="1" x14ac:dyDescent="0.25">
      <c r="A16" s="22">
        <v>13</v>
      </c>
      <c r="B16" s="16" t="s">
        <v>83</v>
      </c>
      <c r="C16" s="16" t="s">
        <v>84</v>
      </c>
      <c r="D16" s="16">
        <v>5440155000</v>
      </c>
      <c r="E16" s="16">
        <v>5</v>
      </c>
      <c r="F16" s="16">
        <v>5</v>
      </c>
      <c r="G16" s="17" t="s">
        <v>31</v>
      </c>
      <c r="H16" s="16"/>
      <c r="I16" s="16" t="s">
        <v>85</v>
      </c>
      <c r="J16" s="16" t="s">
        <v>86</v>
      </c>
      <c r="K16" s="16" t="s">
        <v>87</v>
      </c>
    </row>
    <row r="17" spans="1:11" ht="210" hidden="1" x14ac:dyDescent="0.25">
      <c r="A17" s="22">
        <v>14</v>
      </c>
      <c r="B17" s="16" t="s">
        <v>88</v>
      </c>
      <c r="C17" s="16" t="s">
        <v>89</v>
      </c>
      <c r="D17" s="16">
        <v>77080000</v>
      </c>
      <c r="E17" s="16">
        <v>5</v>
      </c>
      <c r="F17" s="16">
        <v>5</v>
      </c>
      <c r="G17" s="17" t="s">
        <v>31</v>
      </c>
      <c r="H17" s="16"/>
      <c r="I17" s="16" t="s">
        <v>90</v>
      </c>
      <c r="J17" s="16" t="s">
        <v>91</v>
      </c>
      <c r="K17" s="16" t="s">
        <v>92</v>
      </c>
    </row>
    <row r="18" spans="1:11" ht="409.5" hidden="1" x14ac:dyDescent="0.25">
      <c r="A18" s="22">
        <v>15</v>
      </c>
      <c r="B18" s="16" t="s">
        <v>93</v>
      </c>
      <c r="C18" s="16" t="s">
        <v>94</v>
      </c>
      <c r="D18" s="16">
        <v>302568000</v>
      </c>
      <c r="E18" s="16">
        <v>5</v>
      </c>
      <c r="F18" s="16">
        <v>5</v>
      </c>
      <c r="G18" s="17" t="s">
        <v>31</v>
      </c>
      <c r="H18" s="16"/>
      <c r="I18" s="16" t="s">
        <v>95</v>
      </c>
      <c r="J18" s="16" t="s">
        <v>96</v>
      </c>
      <c r="K18" s="16" t="s">
        <v>97</v>
      </c>
    </row>
    <row r="19" spans="1:11" ht="210" hidden="1" x14ac:dyDescent="0.25">
      <c r="A19" s="22">
        <v>16</v>
      </c>
      <c r="B19" s="16" t="s">
        <v>98</v>
      </c>
      <c r="C19" s="16" t="s">
        <v>99</v>
      </c>
      <c r="D19" s="16">
        <v>40556300000</v>
      </c>
      <c r="E19" s="16">
        <v>5</v>
      </c>
      <c r="F19" s="16">
        <v>5</v>
      </c>
      <c r="G19" s="17" t="s">
        <v>31</v>
      </c>
      <c r="H19" s="16"/>
      <c r="I19" s="16" t="s">
        <v>100</v>
      </c>
      <c r="J19" s="16" t="s">
        <v>101</v>
      </c>
      <c r="K19" s="16" t="s">
        <v>102</v>
      </c>
    </row>
    <row r="20" spans="1:11" ht="210" hidden="1" x14ac:dyDescent="0.25">
      <c r="A20" s="22">
        <v>17</v>
      </c>
      <c r="B20" s="16" t="s">
        <v>103</v>
      </c>
      <c r="C20" s="16" t="s">
        <v>104</v>
      </c>
      <c r="D20" s="16">
        <v>87468000000</v>
      </c>
      <c r="E20" s="16">
        <v>5</v>
      </c>
      <c r="F20" s="16">
        <v>5</v>
      </c>
      <c r="G20" s="17" t="s">
        <v>31</v>
      </c>
      <c r="H20" s="16"/>
      <c r="I20" s="16" t="s">
        <v>100</v>
      </c>
      <c r="J20" s="16" t="s">
        <v>101</v>
      </c>
      <c r="K20" s="16" t="s">
        <v>105</v>
      </c>
    </row>
    <row r="21" spans="1:11" ht="300" hidden="1" x14ac:dyDescent="0.25">
      <c r="A21" s="22">
        <v>18</v>
      </c>
      <c r="B21" s="16" t="s">
        <v>106</v>
      </c>
      <c r="C21" s="16" t="s">
        <v>107</v>
      </c>
      <c r="D21" s="16">
        <v>204269000</v>
      </c>
      <c r="E21" s="16">
        <v>4</v>
      </c>
      <c r="F21" s="16">
        <v>4</v>
      </c>
      <c r="G21" s="18" t="s">
        <v>108</v>
      </c>
      <c r="H21" s="16"/>
      <c r="I21" s="16" t="s">
        <v>109</v>
      </c>
      <c r="J21" s="16" t="s">
        <v>110</v>
      </c>
      <c r="K21" s="16" t="s">
        <v>111</v>
      </c>
    </row>
    <row r="22" spans="1:11" ht="240" hidden="1" x14ac:dyDescent="0.25">
      <c r="A22" s="22">
        <v>19</v>
      </c>
      <c r="B22" s="16" t="s">
        <v>112</v>
      </c>
      <c r="C22" s="16" t="s">
        <v>113</v>
      </c>
      <c r="D22" s="16">
        <v>122758000</v>
      </c>
      <c r="E22" s="16">
        <v>4</v>
      </c>
      <c r="F22" s="16">
        <v>4</v>
      </c>
      <c r="G22" s="18" t="s">
        <v>108</v>
      </c>
      <c r="H22" s="16"/>
      <c r="I22" s="16" t="s">
        <v>114</v>
      </c>
      <c r="J22" s="16" t="s">
        <v>115</v>
      </c>
      <c r="K22" s="16" t="s">
        <v>116</v>
      </c>
    </row>
    <row r="23" spans="1:11" ht="240" hidden="1" x14ac:dyDescent="0.25">
      <c r="A23" s="22">
        <v>20</v>
      </c>
      <c r="B23" s="16" t="s">
        <v>117</v>
      </c>
      <c r="C23" s="16" t="s">
        <v>118</v>
      </c>
      <c r="D23" s="16">
        <v>47600000</v>
      </c>
      <c r="E23" s="16">
        <v>4</v>
      </c>
      <c r="F23" s="16">
        <v>5</v>
      </c>
      <c r="G23" s="18" t="s">
        <v>108</v>
      </c>
      <c r="H23" s="16"/>
      <c r="I23" s="16" t="s">
        <v>119</v>
      </c>
      <c r="J23" s="16" t="s">
        <v>120</v>
      </c>
      <c r="K23" s="16" t="s">
        <v>121</v>
      </c>
    </row>
    <row r="24" spans="1:11" ht="210" hidden="1" x14ac:dyDescent="0.25">
      <c r="A24" s="22">
        <v>21</v>
      </c>
      <c r="B24" s="16" t="s">
        <v>122</v>
      </c>
      <c r="C24" s="16" t="s">
        <v>123</v>
      </c>
      <c r="D24" s="16">
        <v>17240000</v>
      </c>
      <c r="E24" s="16">
        <v>4</v>
      </c>
      <c r="F24" s="16">
        <v>5</v>
      </c>
      <c r="G24" s="18" t="s">
        <v>108</v>
      </c>
      <c r="H24" s="16"/>
      <c r="I24" s="16" t="s">
        <v>124</v>
      </c>
      <c r="J24" s="16" t="s">
        <v>125</v>
      </c>
      <c r="K24" s="16" t="s">
        <v>126</v>
      </c>
    </row>
    <row r="25" spans="1:11" ht="240" hidden="1" x14ac:dyDescent="0.25">
      <c r="A25" s="22">
        <v>22</v>
      </c>
      <c r="B25" s="16" t="s">
        <v>127</v>
      </c>
      <c r="C25" s="16" t="s">
        <v>128</v>
      </c>
      <c r="D25" s="16">
        <v>11312000</v>
      </c>
      <c r="E25" s="16">
        <v>4</v>
      </c>
      <c r="F25" s="16">
        <v>5</v>
      </c>
      <c r="G25" s="18" t="s">
        <v>108</v>
      </c>
      <c r="H25" s="16"/>
      <c r="I25" s="16" t="s">
        <v>129</v>
      </c>
      <c r="J25" s="16" t="s">
        <v>130</v>
      </c>
      <c r="K25" s="16" t="s">
        <v>131</v>
      </c>
    </row>
    <row r="26" spans="1:11" ht="240" hidden="1" x14ac:dyDescent="0.25">
      <c r="A26" s="22">
        <v>23</v>
      </c>
      <c r="B26" s="16" t="s">
        <v>132</v>
      </c>
      <c r="C26" s="16" t="s">
        <v>133</v>
      </c>
      <c r="D26" s="16">
        <v>11312000</v>
      </c>
      <c r="E26" s="16">
        <v>4</v>
      </c>
      <c r="F26" s="16">
        <v>5</v>
      </c>
      <c r="G26" s="18" t="s">
        <v>108</v>
      </c>
      <c r="H26" s="16"/>
      <c r="I26" s="16" t="s">
        <v>129</v>
      </c>
      <c r="J26" s="16" t="s">
        <v>130</v>
      </c>
      <c r="K26" s="16" t="s">
        <v>131</v>
      </c>
    </row>
    <row r="27" spans="1:11" ht="240" hidden="1" x14ac:dyDescent="0.25">
      <c r="A27" s="22">
        <v>24</v>
      </c>
      <c r="B27" s="16" t="s">
        <v>134</v>
      </c>
      <c r="C27" s="16" t="s">
        <v>135</v>
      </c>
      <c r="D27" s="16">
        <v>29470000</v>
      </c>
      <c r="E27" s="16">
        <v>4</v>
      </c>
      <c r="F27" s="16">
        <v>5</v>
      </c>
      <c r="G27" s="18" t="s">
        <v>108</v>
      </c>
      <c r="H27" s="16"/>
      <c r="I27" s="16" t="s">
        <v>136</v>
      </c>
      <c r="J27" s="16" t="s">
        <v>120</v>
      </c>
      <c r="K27" s="16" t="s">
        <v>137</v>
      </c>
    </row>
    <row r="28" spans="1:11" ht="270" hidden="1" x14ac:dyDescent="0.25">
      <c r="A28" s="22">
        <v>25</v>
      </c>
      <c r="B28" s="16" t="s">
        <v>138</v>
      </c>
      <c r="C28" s="16" t="s">
        <v>139</v>
      </c>
      <c r="D28" s="16">
        <v>139690303</v>
      </c>
      <c r="E28" s="16">
        <v>4</v>
      </c>
      <c r="F28" s="16">
        <v>5</v>
      </c>
      <c r="G28" s="18" t="s">
        <v>108</v>
      </c>
      <c r="H28" s="16"/>
      <c r="I28" s="16" t="s">
        <v>140</v>
      </c>
      <c r="J28" s="16" t="s">
        <v>141</v>
      </c>
      <c r="K28" s="16" t="s">
        <v>142</v>
      </c>
    </row>
    <row r="29" spans="1:11" ht="270" hidden="1" x14ac:dyDescent="0.25">
      <c r="A29" s="22">
        <v>26</v>
      </c>
      <c r="B29" s="16" t="s">
        <v>143</v>
      </c>
      <c r="C29" s="16" t="s">
        <v>144</v>
      </c>
      <c r="D29" s="16">
        <v>45000000</v>
      </c>
      <c r="E29" s="16">
        <v>4</v>
      </c>
      <c r="F29" s="16">
        <v>5</v>
      </c>
      <c r="G29" s="18" t="s">
        <v>108</v>
      </c>
      <c r="H29" s="16"/>
      <c r="I29" s="16" t="s">
        <v>145</v>
      </c>
      <c r="J29" s="16" t="s">
        <v>146</v>
      </c>
      <c r="K29" s="16" t="s">
        <v>147</v>
      </c>
    </row>
    <row r="30" spans="1:11" ht="240" hidden="1" x14ac:dyDescent="0.25">
      <c r="A30" s="22">
        <v>27</v>
      </c>
      <c r="B30" s="16" t="s">
        <v>148</v>
      </c>
      <c r="C30" s="16" t="s">
        <v>149</v>
      </c>
      <c r="D30" s="16">
        <v>22190700</v>
      </c>
      <c r="E30" s="16">
        <v>4</v>
      </c>
      <c r="F30" s="16">
        <v>5</v>
      </c>
      <c r="G30" s="18" t="s">
        <v>108</v>
      </c>
      <c r="H30" s="16"/>
      <c r="I30" s="16" t="s">
        <v>119</v>
      </c>
      <c r="J30" s="16" t="s">
        <v>120</v>
      </c>
      <c r="K30" s="16" t="s">
        <v>121</v>
      </c>
    </row>
    <row r="31" spans="1:11" ht="225" hidden="1" x14ac:dyDescent="0.25">
      <c r="A31" s="22">
        <v>28</v>
      </c>
      <c r="B31" s="16" t="s">
        <v>150</v>
      </c>
      <c r="C31" s="16" t="s">
        <v>151</v>
      </c>
      <c r="D31" s="16">
        <v>17315000</v>
      </c>
      <c r="E31" s="16">
        <v>4</v>
      </c>
      <c r="F31" s="16">
        <v>4</v>
      </c>
      <c r="G31" s="18" t="s">
        <v>108</v>
      </c>
      <c r="H31" s="16"/>
      <c r="I31" s="16" t="s">
        <v>152</v>
      </c>
      <c r="J31" s="16" t="s">
        <v>153</v>
      </c>
      <c r="K31" s="16" t="s">
        <v>154</v>
      </c>
    </row>
    <row r="32" spans="1:11" ht="270" hidden="1" x14ac:dyDescent="0.25">
      <c r="A32" s="22">
        <v>29</v>
      </c>
      <c r="B32" s="16" t="s">
        <v>155</v>
      </c>
      <c r="C32" s="16" t="s">
        <v>156</v>
      </c>
      <c r="D32" s="16">
        <v>13295000</v>
      </c>
      <c r="E32" s="16">
        <v>4</v>
      </c>
      <c r="F32" s="16">
        <v>4</v>
      </c>
      <c r="G32" s="18" t="s">
        <v>108</v>
      </c>
      <c r="H32" s="16"/>
      <c r="I32" s="16" t="s">
        <v>157</v>
      </c>
      <c r="J32" s="16" t="s">
        <v>158</v>
      </c>
      <c r="K32" s="16" t="s">
        <v>159</v>
      </c>
    </row>
    <row r="33" spans="1:19" ht="300" hidden="1" x14ac:dyDescent="0.25">
      <c r="A33" s="22">
        <v>30</v>
      </c>
      <c r="B33" s="16" t="s">
        <v>160</v>
      </c>
      <c r="C33" s="16" t="s">
        <v>161</v>
      </c>
      <c r="D33" s="16">
        <v>37675000</v>
      </c>
      <c r="E33" s="16">
        <v>4</v>
      </c>
      <c r="F33" s="16">
        <v>4</v>
      </c>
      <c r="G33" s="18" t="s">
        <v>108</v>
      </c>
      <c r="H33" s="16"/>
      <c r="I33" s="16" t="s">
        <v>162</v>
      </c>
      <c r="J33" s="16" t="s">
        <v>163</v>
      </c>
      <c r="K33" s="16" t="s">
        <v>164</v>
      </c>
    </row>
    <row r="34" spans="1:19" ht="409.5" hidden="1" x14ac:dyDescent="0.25">
      <c r="A34" s="22">
        <v>31</v>
      </c>
      <c r="B34" s="16" t="s">
        <v>165</v>
      </c>
      <c r="C34" s="16" t="s">
        <v>166</v>
      </c>
      <c r="D34" s="16">
        <v>26095000</v>
      </c>
      <c r="E34" s="16">
        <v>4</v>
      </c>
      <c r="F34" s="16">
        <v>4</v>
      </c>
      <c r="G34" s="18" t="s">
        <v>108</v>
      </c>
      <c r="H34" s="16"/>
      <c r="I34" s="16" t="s">
        <v>167</v>
      </c>
      <c r="J34" s="16" t="s">
        <v>168</v>
      </c>
      <c r="K34" s="16" t="s">
        <v>169</v>
      </c>
    </row>
    <row r="35" spans="1:19" ht="345" hidden="1" x14ac:dyDescent="0.25">
      <c r="A35" s="22">
        <v>32</v>
      </c>
      <c r="B35" s="16" t="s">
        <v>170</v>
      </c>
      <c r="C35" s="16" t="s">
        <v>171</v>
      </c>
      <c r="D35" s="16">
        <v>43415000</v>
      </c>
      <c r="E35" s="16">
        <v>4</v>
      </c>
      <c r="F35" s="16">
        <v>4</v>
      </c>
      <c r="G35" s="18" t="s">
        <v>108</v>
      </c>
      <c r="H35" s="16"/>
      <c r="I35" s="16" t="s">
        <v>172</v>
      </c>
      <c r="J35" s="16" t="s">
        <v>173</v>
      </c>
      <c r="K35" s="16" t="s">
        <v>174</v>
      </c>
    </row>
    <row r="36" spans="1:19" ht="390" hidden="1" x14ac:dyDescent="0.25">
      <c r="A36" s="22">
        <v>33</v>
      </c>
      <c r="B36" s="16" t="s">
        <v>175</v>
      </c>
      <c r="C36" s="16" t="s">
        <v>176</v>
      </c>
      <c r="D36" s="16">
        <v>26147000</v>
      </c>
      <c r="E36" s="16">
        <v>4</v>
      </c>
      <c r="F36" s="16">
        <v>4</v>
      </c>
      <c r="G36" s="18" t="s">
        <v>108</v>
      </c>
      <c r="H36" s="16"/>
      <c r="I36" s="16" t="s">
        <v>177</v>
      </c>
      <c r="J36" s="16" t="s">
        <v>178</v>
      </c>
      <c r="K36" s="16" t="s">
        <v>179</v>
      </c>
    </row>
    <row r="37" spans="1:19" ht="300" hidden="1" x14ac:dyDescent="0.25">
      <c r="A37" s="22">
        <v>34</v>
      </c>
      <c r="B37" s="16" t="s">
        <v>180</v>
      </c>
      <c r="C37" s="16" t="s">
        <v>181</v>
      </c>
      <c r="D37" s="16">
        <v>25835000</v>
      </c>
      <c r="E37" s="16">
        <v>4</v>
      </c>
      <c r="F37" s="16">
        <v>4</v>
      </c>
      <c r="G37" s="18" t="s">
        <v>108</v>
      </c>
      <c r="H37" s="16"/>
      <c r="I37" s="16" t="s">
        <v>182</v>
      </c>
      <c r="J37" s="16" t="s">
        <v>183</v>
      </c>
      <c r="K37" s="16" t="s">
        <v>184</v>
      </c>
    </row>
    <row r="38" spans="1:19" ht="285" hidden="1" x14ac:dyDescent="0.25">
      <c r="A38" s="22">
        <v>35</v>
      </c>
      <c r="B38" s="16" t="s">
        <v>185</v>
      </c>
      <c r="C38" s="16" t="s">
        <v>186</v>
      </c>
      <c r="D38" s="16">
        <v>17315000</v>
      </c>
      <c r="E38" s="16">
        <v>4</v>
      </c>
      <c r="F38" s="16">
        <v>4</v>
      </c>
      <c r="G38" s="18" t="s">
        <v>108</v>
      </c>
      <c r="H38" s="16"/>
      <c r="I38" s="16" t="s">
        <v>187</v>
      </c>
      <c r="J38" s="16" t="s">
        <v>188</v>
      </c>
      <c r="K38" s="16" t="s">
        <v>189</v>
      </c>
    </row>
    <row r="39" spans="1:19" ht="225" hidden="1" x14ac:dyDescent="0.25">
      <c r="A39" s="22">
        <v>36</v>
      </c>
      <c r="B39" s="16" t="s">
        <v>190</v>
      </c>
      <c r="C39" s="16" t="s">
        <v>191</v>
      </c>
      <c r="D39" s="16">
        <v>21123000</v>
      </c>
      <c r="E39" s="16">
        <v>4</v>
      </c>
      <c r="F39" s="16">
        <v>4</v>
      </c>
      <c r="G39" s="18" t="s">
        <v>108</v>
      </c>
      <c r="H39" s="16"/>
      <c r="I39" s="16" t="s">
        <v>192</v>
      </c>
      <c r="J39" s="16" t="s">
        <v>193</v>
      </c>
      <c r="K39" s="16" t="s">
        <v>194</v>
      </c>
      <c r="M39" s="29"/>
      <c r="N39" s="29"/>
      <c r="O39" s="29"/>
      <c r="P39" s="29"/>
      <c r="Q39" s="29"/>
      <c r="R39" s="29"/>
      <c r="S39" s="29"/>
    </row>
    <row r="40" spans="1:19" ht="195" hidden="1" x14ac:dyDescent="0.25">
      <c r="A40" s="22">
        <v>37</v>
      </c>
      <c r="B40" s="16" t="s">
        <v>195</v>
      </c>
      <c r="C40" s="16" t="s">
        <v>196</v>
      </c>
      <c r="D40" s="16">
        <v>52275000</v>
      </c>
      <c r="E40" s="16">
        <v>4</v>
      </c>
      <c r="F40" s="16">
        <v>4</v>
      </c>
      <c r="G40" s="18" t="s">
        <v>108</v>
      </c>
      <c r="H40" s="16"/>
      <c r="I40" s="16" t="s">
        <v>197</v>
      </c>
      <c r="J40" s="16" t="s">
        <v>198</v>
      </c>
      <c r="K40" s="16" t="s">
        <v>199</v>
      </c>
    </row>
    <row r="41" spans="1:19" ht="240" hidden="1" x14ac:dyDescent="0.25">
      <c r="A41" s="22">
        <v>38</v>
      </c>
      <c r="B41" s="16" t="s">
        <v>200</v>
      </c>
      <c r="C41" s="16" t="s">
        <v>201</v>
      </c>
      <c r="D41" s="16">
        <v>66910600</v>
      </c>
      <c r="E41" s="16">
        <v>4</v>
      </c>
      <c r="F41" s="16">
        <v>4</v>
      </c>
      <c r="G41" s="18" t="s">
        <v>108</v>
      </c>
      <c r="H41" s="16"/>
      <c r="I41" s="16" t="s">
        <v>202</v>
      </c>
      <c r="J41" s="16" t="s">
        <v>203</v>
      </c>
      <c r="K41" s="16" t="s">
        <v>204</v>
      </c>
    </row>
    <row r="42" spans="1:19" ht="195" hidden="1" x14ac:dyDescent="0.25">
      <c r="A42" s="22">
        <v>39</v>
      </c>
      <c r="B42" s="16" t="s">
        <v>205</v>
      </c>
      <c r="C42" s="16" t="s">
        <v>206</v>
      </c>
      <c r="D42" s="16">
        <v>43664618</v>
      </c>
      <c r="E42" s="16">
        <v>4</v>
      </c>
      <c r="F42" s="16">
        <v>4</v>
      </c>
      <c r="G42" s="18" t="s">
        <v>108</v>
      </c>
      <c r="H42" s="16"/>
      <c r="I42" s="16" t="s">
        <v>207</v>
      </c>
      <c r="J42" s="16" t="s">
        <v>208</v>
      </c>
      <c r="K42" s="16" t="s">
        <v>209</v>
      </c>
    </row>
    <row r="43" spans="1:19" ht="409.5" hidden="1" x14ac:dyDescent="0.25">
      <c r="A43" s="22">
        <v>40</v>
      </c>
      <c r="B43" s="16" t="s">
        <v>210</v>
      </c>
      <c r="C43" s="16" t="s">
        <v>211</v>
      </c>
      <c r="D43" s="16">
        <v>190009000</v>
      </c>
      <c r="E43" s="16">
        <v>4</v>
      </c>
      <c r="F43" s="16">
        <v>5</v>
      </c>
      <c r="G43" s="18" t="s">
        <v>108</v>
      </c>
      <c r="H43" s="16"/>
      <c r="I43" s="16" t="s">
        <v>212</v>
      </c>
      <c r="J43" s="16" t="s">
        <v>212</v>
      </c>
      <c r="K43" s="16" t="s">
        <v>213</v>
      </c>
    </row>
    <row r="44" spans="1:19" ht="409.5" hidden="1" x14ac:dyDescent="0.25">
      <c r="A44" s="22">
        <v>41</v>
      </c>
      <c r="B44" s="16" t="s">
        <v>214</v>
      </c>
      <c r="C44" s="16" t="s">
        <v>215</v>
      </c>
      <c r="D44" s="16">
        <v>191788500</v>
      </c>
      <c r="E44" s="16">
        <v>4</v>
      </c>
      <c r="F44" s="16">
        <v>5</v>
      </c>
      <c r="G44" s="18" t="s">
        <v>108</v>
      </c>
      <c r="H44" s="16"/>
      <c r="I44" s="16" t="s">
        <v>212</v>
      </c>
      <c r="J44" s="16" t="s">
        <v>212</v>
      </c>
      <c r="K44" s="16" t="s">
        <v>213</v>
      </c>
    </row>
    <row r="45" spans="1:19" ht="409.5" hidden="1" x14ac:dyDescent="0.25">
      <c r="A45" s="22">
        <v>42</v>
      </c>
      <c r="B45" s="16" t="s">
        <v>216</v>
      </c>
      <c r="C45" s="16" t="s">
        <v>217</v>
      </c>
      <c r="D45" s="16">
        <v>7000000</v>
      </c>
      <c r="E45" s="16">
        <v>4</v>
      </c>
      <c r="F45" s="16">
        <v>4</v>
      </c>
      <c r="G45" s="18" t="s">
        <v>108</v>
      </c>
      <c r="H45" s="16"/>
      <c r="I45" s="16" t="s">
        <v>218</v>
      </c>
      <c r="J45" s="16" t="s">
        <v>219</v>
      </c>
      <c r="K45" s="16" t="s">
        <v>220</v>
      </c>
    </row>
    <row r="46" spans="1:19" ht="285" hidden="1" x14ac:dyDescent="0.25">
      <c r="A46" s="22">
        <v>43</v>
      </c>
      <c r="B46" s="16" t="s">
        <v>221</v>
      </c>
      <c r="C46" s="16" t="s">
        <v>222</v>
      </c>
      <c r="D46" s="16">
        <v>7000000</v>
      </c>
      <c r="E46" s="16">
        <v>4</v>
      </c>
      <c r="F46" s="16">
        <v>5</v>
      </c>
      <c r="G46" s="18" t="s">
        <v>108</v>
      </c>
      <c r="H46" s="16"/>
      <c r="I46" s="16" t="s">
        <v>223</v>
      </c>
      <c r="J46" s="16" t="s">
        <v>224</v>
      </c>
      <c r="K46" s="16" t="s">
        <v>225</v>
      </c>
    </row>
    <row r="47" spans="1:19" ht="405" hidden="1" x14ac:dyDescent="0.25">
      <c r="A47" s="22">
        <v>44</v>
      </c>
      <c r="B47" s="16" t="s">
        <v>226</v>
      </c>
      <c r="C47" s="16" t="s">
        <v>227</v>
      </c>
      <c r="D47" s="16">
        <v>191851600</v>
      </c>
      <c r="E47" s="16">
        <v>4</v>
      </c>
      <c r="F47" s="16">
        <v>5</v>
      </c>
      <c r="G47" s="18" t="s">
        <v>108</v>
      </c>
      <c r="H47" s="16"/>
      <c r="I47" s="16" t="s">
        <v>228</v>
      </c>
      <c r="J47" s="16" t="s">
        <v>229</v>
      </c>
      <c r="K47" s="16" t="s">
        <v>230</v>
      </c>
    </row>
    <row r="48" spans="1:19" ht="285" hidden="1" x14ac:dyDescent="0.25">
      <c r="A48" s="22">
        <v>45</v>
      </c>
      <c r="B48" s="16" t="s">
        <v>231</v>
      </c>
      <c r="C48" s="16" t="s">
        <v>232</v>
      </c>
      <c r="D48" s="16">
        <v>111679000</v>
      </c>
      <c r="E48" s="16">
        <v>4</v>
      </c>
      <c r="F48" s="16">
        <v>5</v>
      </c>
      <c r="G48" s="18" t="s">
        <v>108</v>
      </c>
      <c r="H48" s="16"/>
      <c r="I48" s="16" t="s">
        <v>233</v>
      </c>
      <c r="J48" s="16" t="s">
        <v>234</v>
      </c>
      <c r="K48" s="16" t="s">
        <v>235</v>
      </c>
    </row>
    <row r="49" spans="1:11" ht="330" hidden="1" x14ac:dyDescent="0.25">
      <c r="A49" s="22">
        <v>46</v>
      </c>
      <c r="B49" s="16" t="s">
        <v>236</v>
      </c>
      <c r="C49" s="16" t="s">
        <v>237</v>
      </c>
      <c r="D49" s="16">
        <v>6870000</v>
      </c>
      <c r="E49" s="16">
        <v>4</v>
      </c>
      <c r="F49" s="16">
        <v>5</v>
      </c>
      <c r="G49" s="18" t="s">
        <v>108</v>
      </c>
      <c r="H49" s="16"/>
      <c r="I49" s="16" t="s">
        <v>238</v>
      </c>
      <c r="J49" s="16" t="s">
        <v>239</v>
      </c>
      <c r="K49" s="16" t="s">
        <v>240</v>
      </c>
    </row>
    <row r="50" spans="1:11" ht="135" hidden="1" x14ac:dyDescent="0.25">
      <c r="A50" s="22">
        <v>47</v>
      </c>
      <c r="B50" s="16" t="s">
        <v>241</v>
      </c>
      <c r="C50" s="16" t="s">
        <v>242</v>
      </c>
      <c r="D50" s="16">
        <v>8310000</v>
      </c>
      <c r="E50" s="16">
        <v>4</v>
      </c>
      <c r="F50" s="16">
        <v>5</v>
      </c>
      <c r="G50" s="18" t="s">
        <v>108</v>
      </c>
      <c r="H50" s="16"/>
      <c r="I50" s="16" t="s">
        <v>243</v>
      </c>
      <c r="J50" s="16" t="s">
        <v>244</v>
      </c>
      <c r="K50" s="16" t="s">
        <v>245</v>
      </c>
    </row>
    <row r="51" spans="1:11" ht="285" hidden="1" x14ac:dyDescent="0.25">
      <c r="A51" s="22">
        <v>48</v>
      </c>
      <c r="B51" s="16" t="s">
        <v>246</v>
      </c>
      <c r="C51" s="16" t="s">
        <v>247</v>
      </c>
      <c r="D51" s="16">
        <v>6980000</v>
      </c>
      <c r="E51" s="16">
        <v>4</v>
      </c>
      <c r="F51" s="16">
        <v>5</v>
      </c>
      <c r="G51" s="18" t="s">
        <v>108</v>
      </c>
      <c r="H51" s="16"/>
      <c r="I51" s="16" t="s">
        <v>248</v>
      </c>
      <c r="J51" s="16" t="s">
        <v>249</v>
      </c>
      <c r="K51" s="16" t="s">
        <v>250</v>
      </c>
    </row>
    <row r="52" spans="1:11" ht="285" hidden="1" x14ac:dyDescent="0.25">
      <c r="A52" s="22">
        <v>49</v>
      </c>
      <c r="B52" s="16" t="s">
        <v>251</v>
      </c>
      <c r="C52" s="16" t="s">
        <v>252</v>
      </c>
      <c r="D52" s="16">
        <v>18350000</v>
      </c>
      <c r="E52" s="16">
        <v>4</v>
      </c>
      <c r="F52" s="16">
        <v>5</v>
      </c>
      <c r="G52" s="18" t="s">
        <v>108</v>
      </c>
      <c r="H52" s="16"/>
      <c r="I52" s="16" t="s">
        <v>253</v>
      </c>
      <c r="J52" s="16" t="s">
        <v>254</v>
      </c>
      <c r="K52" s="16" t="s">
        <v>255</v>
      </c>
    </row>
    <row r="53" spans="1:11" ht="360" hidden="1" x14ac:dyDescent="0.25">
      <c r="A53" s="22">
        <v>50</v>
      </c>
      <c r="B53" s="16" t="s">
        <v>256</v>
      </c>
      <c r="C53" s="16" t="s">
        <v>257</v>
      </c>
      <c r="D53" s="16">
        <v>6640000</v>
      </c>
      <c r="E53" s="16">
        <v>4</v>
      </c>
      <c r="F53" s="16">
        <v>4</v>
      </c>
      <c r="G53" s="18" t="s">
        <v>108</v>
      </c>
      <c r="H53" s="16"/>
      <c r="I53" s="16" t="s">
        <v>258</v>
      </c>
      <c r="J53" s="16" t="s">
        <v>259</v>
      </c>
      <c r="K53" s="16" t="s">
        <v>260</v>
      </c>
    </row>
    <row r="54" spans="1:11" ht="375" hidden="1" x14ac:dyDescent="0.25">
      <c r="A54" s="22">
        <v>51</v>
      </c>
      <c r="B54" s="16" t="s">
        <v>261</v>
      </c>
      <c r="C54" s="16" t="s">
        <v>262</v>
      </c>
      <c r="D54" s="16">
        <v>11060000</v>
      </c>
      <c r="E54" s="16">
        <v>4</v>
      </c>
      <c r="F54" s="16">
        <v>4</v>
      </c>
      <c r="G54" s="18" t="s">
        <v>108</v>
      </c>
      <c r="H54" s="16"/>
      <c r="I54" s="16" t="s">
        <v>263</v>
      </c>
      <c r="J54" s="16" t="s">
        <v>264</v>
      </c>
      <c r="K54" s="16" t="s">
        <v>265</v>
      </c>
    </row>
    <row r="55" spans="1:11" ht="270" hidden="1" x14ac:dyDescent="0.25">
      <c r="A55" s="22">
        <v>52</v>
      </c>
      <c r="B55" s="16" t="s">
        <v>266</v>
      </c>
      <c r="C55" s="16" t="s">
        <v>267</v>
      </c>
      <c r="D55" s="16">
        <v>49900000</v>
      </c>
      <c r="E55" s="16">
        <v>4</v>
      </c>
      <c r="F55" s="16">
        <v>5</v>
      </c>
      <c r="G55" s="18" t="s">
        <v>108</v>
      </c>
      <c r="H55" s="16"/>
      <c r="I55" s="16" t="s">
        <v>145</v>
      </c>
      <c r="J55" s="16" t="s">
        <v>146</v>
      </c>
      <c r="K55" s="16" t="s">
        <v>268</v>
      </c>
    </row>
    <row r="56" spans="1:11" ht="240" hidden="1" x14ac:dyDescent="0.25">
      <c r="A56" s="22">
        <v>53</v>
      </c>
      <c r="B56" s="16" t="s">
        <v>269</v>
      </c>
      <c r="C56" s="16" t="s">
        <v>270</v>
      </c>
      <c r="D56" s="16">
        <v>33614000</v>
      </c>
      <c r="E56" s="16">
        <v>4</v>
      </c>
      <c r="F56" s="16">
        <v>5</v>
      </c>
      <c r="G56" s="18" t="s">
        <v>108</v>
      </c>
      <c r="H56" s="16"/>
      <c r="I56" s="16" t="s">
        <v>119</v>
      </c>
      <c r="J56" s="16" t="s">
        <v>120</v>
      </c>
      <c r="K56" s="16" t="s">
        <v>121</v>
      </c>
    </row>
    <row r="57" spans="1:11" ht="240" hidden="1" x14ac:dyDescent="0.25">
      <c r="A57" s="22">
        <v>54</v>
      </c>
      <c r="B57" s="16" t="s">
        <v>271</v>
      </c>
      <c r="C57" s="16" t="s">
        <v>272</v>
      </c>
      <c r="D57" s="16">
        <v>9640000</v>
      </c>
      <c r="E57" s="16">
        <v>4</v>
      </c>
      <c r="F57" s="16">
        <v>5</v>
      </c>
      <c r="G57" s="18" t="s">
        <v>108</v>
      </c>
      <c r="H57" s="16"/>
      <c r="I57" s="16" t="s">
        <v>119</v>
      </c>
      <c r="J57" s="16" t="s">
        <v>120</v>
      </c>
      <c r="K57" s="16" t="s">
        <v>121</v>
      </c>
    </row>
    <row r="58" spans="1:11" ht="240" hidden="1" x14ac:dyDescent="0.25">
      <c r="A58" s="22">
        <v>55</v>
      </c>
      <c r="B58" s="16" t="s">
        <v>273</v>
      </c>
      <c r="C58" s="16" t="s">
        <v>274</v>
      </c>
      <c r="D58" s="16">
        <v>12420400</v>
      </c>
      <c r="E58" s="16">
        <v>4</v>
      </c>
      <c r="F58" s="16">
        <v>4</v>
      </c>
      <c r="G58" s="18" t="s">
        <v>108</v>
      </c>
      <c r="H58" s="16"/>
      <c r="I58" s="16" t="s">
        <v>275</v>
      </c>
      <c r="J58" s="16" t="s">
        <v>276</v>
      </c>
      <c r="K58" s="16" t="s">
        <v>277</v>
      </c>
    </row>
    <row r="59" spans="1:11" ht="300" hidden="1" x14ac:dyDescent="0.25">
      <c r="A59" s="22">
        <v>56</v>
      </c>
      <c r="B59" s="16" t="s">
        <v>278</v>
      </c>
      <c r="C59" s="16" t="s">
        <v>279</v>
      </c>
      <c r="D59" s="16">
        <v>154135000</v>
      </c>
      <c r="E59" s="16">
        <v>4</v>
      </c>
      <c r="F59" s="16">
        <v>4</v>
      </c>
      <c r="G59" s="18" t="s">
        <v>108</v>
      </c>
      <c r="H59" s="16"/>
      <c r="I59" s="16" t="s">
        <v>280</v>
      </c>
      <c r="J59" s="16" t="s">
        <v>281</v>
      </c>
      <c r="K59" s="16" t="s">
        <v>282</v>
      </c>
    </row>
    <row r="60" spans="1:11" ht="315" hidden="1" x14ac:dyDescent="0.25">
      <c r="A60" s="22">
        <v>57</v>
      </c>
      <c r="B60" s="16" t="s">
        <v>283</v>
      </c>
      <c r="C60" s="16" t="s">
        <v>284</v>
      </c>
      <c r="D60" s="16">
        <v>62700000</v>
      </c>
      <c r="E60" s="16">
        <v>4</v>
      </c>
      <c r="F60" s="16">
        <v>4</v>
      </c>
      <c r="G60" s="18" t="s">
        <v>108</v>
      </c>
      <c r="H60" s="16"/>
      <c r="I60" s="16" t="s">
        <v>285</v>
      </c>
      <c r="J60" s="16" t="s">
        <v>286</v>
      </c>
      <c r="K60" s="16" t="s">
        <v>287</v>
      </c>
    </row>
    <row r="61" spans="1:11" ht="180" hidden="1" x14ac:dyDescent="0.25">
      <c r="A61" s="22">
        <v>58</v>
      </c>
      <c r="B61" s="16" t="s">
        <v>288</v>
      </c>
      <c r="C61" s="16" t="s">
        <v>289</v>
      </c>
      <c r="D61" s="16">
        <v>4298000</v>
      </c>
      <c r="E61" s="16">
        <v>4</v>
      </c>
      <c r="F61" s="16">
        <v>4</v>
      </c>
      <c r="G61" s="18" t="s">
        <v>108</v>
      </c>
      <c r="H61" s="16"/>
      <c r="I61" s="16" t="s">
        <v>290</v>
      </c>
      <c r="J61" s="16" t="s">
        <v>291</v>
      </c>
      <c r="K61" s="16" t="s">
        <v>292</v>
      </c>
    </row>
    <row r="62" spans="1:11" ht="390" hidden="1" x14ac:dyDescent="0.25">
      <c r="A62" s="22">
        <v>59</v>
      </c>
      <c r="B62" s="16" t="s">
        <v>293</v>
      </c>
      <c r="C62" s="16" t="s">
        <v>294</v>
      </c>
      <c r="D62" s="16">
        <v>19320000</v>
      </c>
      <c r="E62" s="16">
        <v>4</v>
      </c>
      <c r="F62" s="16">
        <v>4</v>
      </c>
      <c r="G62" s="18" t="s">
        <v>108</v>
      </c>
      <c r="H62" s="16"/>
      <c r="I62" s="16" t="s">
        <v>295</v>
      </c>
      <c r="J62" s="16" t="s">
        <v>296</v>
      </c>
      <c r="K62" s="16" t="s">
        <v>292</v>
      </c>
    </row>
    <row r="63" spans="1:11" ht="405" hidden="1" x14ac:dyDescent="0.25">
      <c r="A63" s="22">
        <v>60</v>
      </c>
      <c r="B63" s="16" t="s">
        <v>297</v>
      </c>
      <c r="C63" s="16" t="s">
        <v>298</v>
      </c>
      <c r="D63" s="16">
        <v>12306000</v>
      </c>
      <c r="E63" s="16">
        <v>4</v>
      </c>
      <c r="F63" s="16">
        <v>4</v>
      </c>
      <c r="G63" s="18" t="s">
        <v>108</v>
      </c>
      <c r="H63" s="16"/>
      <c r="I63" s="16" t="s">
        <v>299</v>
      </c>
      <c r="J63" s="16" t="s">
        <v>300</v>
      </c>
      <c r="K63" s="16" t="s">
        <v>292</v>
      </c>
    </row>
    <row r="64" spans="1:11" ht="409.5" hidden="1" x14ac:dyDescent="0.25">
      <c r="A64" s="22">
        <v>61</v>
      </c>
      <c r="B64" s="16" t="s">
        <v>301</v>
      </c>
      <c r="C64" s="16" t="s">
        <v>302</v>
      </c>
      <c r="D64" s="16">
        <v>34175000</v>
      </c>
      <c r="E64" s="16">
        <v>4</v>
      </c>
      <c r="F64" s="16">
        <v>4</v>
      </c>
      <c r="G64" s="18" t="s">
        <v>108</v>
      </c>
      <c r="H64" s="16"/>
      <c r="I64" s="16" t="s">
        <v>303</v>
      </c>
      <c r="J64" s="16" t="s">
        <v>304</v>
      </c>
      <c r="K64" s="16" t="s">
        <v>292</v>
      </c>
    </row>
    <row r="65" spans="1:11" ht="315" hidden="1" x14ac:dyDescent="0.25">
      <c r="A65" s="22">
        <v>62</v>
      </c>
      <c r="B65" s="16" t="s">
        <v>305</v>
      </c>
      <c r="C65" s="16" t="s">
        <v>306</v>
      </c>
      <c r="D65" s="16">
        <v>11675000</v>
      </c>
      <c r="E65" s="16">
        <v>4</v>
      </c>
      <c r="F65" s="16">
        <v>4</v>
      </c>
      <c r="G65" s="18" t="s">
        <v>108</v>
      </c>
      <c r="H65" s="16"/>
      <c r="I65" s="16" t="s">
        <v>307</v>
      </c>
      <c r="J65" s="16" t="s">
        <v>308</v>
      </c>
      <c r="K65" s="16" t="s">
        <v>292</v>
      </c>
    </row>
    <row r="66" spans="1:11" ht="180" hidden="1" x14ac:dyDescent="0.25">
      <c r="A66" s="22">
        <v>63</v>
      </c>
      <c r="B66" s="16" t="s">
        <v>309</v>
      </c>
      <c r="C66" s="16" t="s">
        <v>310</v>
      </c>
      <c r="D66" s="16">
        <v>15004000</v>
      </c>
      <c r="E66" s="16">
        <v>4</v>
      </c>
      <c r="F66" s="16">
        <v>4</v>
      </c>
      <c r="G66" s="18" t="s">
        <v>108</v>
      </c>
      <c r="H66" s="16"/>
      <c r="I66" s="16" t="s">
        <v>311</v>
      </c>
      <c r="J66" s="16" t="s">
        <v>312</v>
      </c>
      <c r="K66" s="16" t="s">
        <v>313</v>
      </c>
    </row>
    <row r="67" spans="1:11" ht="375" hidden="1" x14ac:dyDescent="0.25">
      <c r="A67" s="22">
        <v>64</v>
      </c>
      <c r="B67" s="16" t="s">
        <v>314</v>
      </c>
      <c r="C67" s="16" t="s">
        <v>315</v>
      </c>
      <c r="D67" s="16">
        <v>144124000</v>
      </c>
      <c r="E67" s="16">
        <v>4</v>
      </c>
      <c r="F67" s="16">
        <v>4</v>
      </c>
      <c r="G67" s="18" t="s">
        <v>108</v>
      </c>
      <c r="H67" s="16"/>
      <c r="I67" s="16" t="s">
        <v>316</v>
      </c>
      <c r="J67" s="16" t="s">
        <v>317</v>
      </c>
      <c r="K67" s="16" t="s">
        <v>318</v>
      </c>
    </row>
    <row r="68" spans="1:11" ht="210" hidden="1" x14ac:dyDescent="0.25">
      <c r="A68" s="22">
        <v>65</v>
      </c>
      <c r="B68" s="16" t="s">
        <v>319</v>
      </c>
      <c r="C68" s="16" t="s">
        <v>320</v>
      </c>
      <c r="D68" s="16">
        <v>23384000</v>
      </c>
      <c r="E68" s="16">
        <v>4</v>
      </c>
      <c r="F68" s="16">
        <v>4</v>
      </c>
      <c r="G68" s="18" t="s">
        <v>108</v>
      </c>
      <c r="H68" s="16"/>
      <c r="I68" s="16" t="s">
        <v>321</v>
      </c>
      <c r="J68" s="16" t="s">
        <v>322</v>
      </c>
      <c r="K68" s="16" t="s">
        <v>323</v>
      </c>
    </row>
    <row r="69" spans="1:11" ht="240" hidden="1" x14ac:dyDescent="0.25">
      <c r="A69" s="22">
        <v>66</v>
      </c>
      <c r="B69" s="16" t="s">
        <v>324</v>
      </c>
      <c r="C69" s="16" t="s">
        <v>325</v>
      </c>
      <c r="D69" s="16">
        <v>43700000</v>
      </c>
      <c r="E69" s="16">
        <v>4</v>
      </c>
      <c r="F69" s="16">
        <v>5</v>
      </c>
      <c r="G69" s="18" t="s">
        <v>108</v>
      </c>
      <c r="H69" s="16"/>
      <c r="I69" s="16" t="s">
        <v>119</v>
      </c>
      <c r="J69" s="16" t="s">
        <v>120</v>
      </c>
      <c r="K69" s="16" t="s">
        <v>121</v>
      </c>
    </row>
    <row r="70" spans="1:11" ht="210" hidden="1" x14ac:dyDescent="0.25">
      <c r="A70" s="22">
        <v>67</v>
      </c>
      <c r="B70" s="16" t="s">
        <v>326</v>
      </c>
      <c r="C70" s="16" t="s">
        <v>327</v>
      </c>
      <c r="D70" s="16">
        <v>23549000</v>
      </c>
      <c r="E70" s="16">
        <v>4</v>
      </c>
      <c r="F70" s="16">
        <v>4</v>
      </c>
      <c r="G70" s="18" t="s">
        <v>108</v>
      </c>
      <c r="H70" s="16"/>
      <c r="I70" s="16" t="s">
        <v>321</v>
      </c>
      <c r="J70" s="16" t="s">
        <v>322</v>
      </c>
      <c r="K70" s="16" t="s">
        <v>323</v>
      </c>
    </row>
    <row r="71" spans="1:11" ht="300" hidden="1" x14ac:dyDescent="0.25">
      <c r="A71" s="22">
        <v>68</v>
      </c>
      <c r="B71" s="16" t="s">
        <v>328</v>
      </c>
      <c r="C71" s="16" t="s">
        <v>329</v>
      </c>
      <c r="D71" s="16">
        <v>7000000</v>
      </c>
      <c r="E71" s="16">
        <v>4</v>
      </c>
      <c r="F71" s="16">
        <v>5</v>
      </c>
      <c r="G71" s="18" t="s">
        <v>108</v>
      </c>
      <c r="H71" s="16"/>
      <c r="I71" s="16" t="s">
        <v>330</v>
      </c>
      <c r="J71" s="16" t="s">
        <v>331</v>
      </c>
      <c r="K71" s="16" t="s">
        <v>225</v>
      </c>
    </row>
    <row r="72" spans="1:11" ht="409.5" hidden="1" x14ac:dyDescent="0.25">
      <c r="A72" s="22">
        <v>69</v>
      </c>
      <c r="B72" s="16" t="s">
        <v>332</v>
      </c>
      <c r="C72" s="16" t="s">
        <v>333</v>
      </c>
      <c r="D72" s="16">
        <v>7000000</v>
      </c>
      <c r="E72" s="16">
        <v>4</v>
      </c>
      <c r="F72" s="16">
        <v>4</v>
      </c>
      <c r="G72" s="18" t="s">
        <v>108</v>
      </c>
      <c r="H72" s="16"/>
      <c r="I72" s="16" t="s">
        <v>334</v>
      </c>
      <c r="J72" s="16" t="s">
        <v>335</v>
      </c>
      <c r="K72" s="16" t="s">
        <v>336</v>
      </c>
    </row>
    <row r="73" spans="1:11" ht="240" hidden="1" x14ac:dyDescent="0.25">
      <c r="A73" s="22">
        <v>70</v>
      </c>
      <c r="B73" s="16" t="s">
        <v>337</v>
      </c>
      <c r="C73" s="16" t="s">
        <v>338</v>
      </c>
      <c r="D73" s="16">
        <v>8135000</v>
      </c>
      <c r="E73" s="16">
        <v>4</v>
      </c>
      <c r="F73" s="16">
        <v>5</v>
      </c>
      <c r="G73" s="18" t="s">
        <v>108</v>
      </c>
      <c r="H73" s="16"/>
      <c r="I73" s="16" t="s">
        <v>339</v>
      </c>
      <c r="J73" s="16" t="s">
        <v>340</v>
      </c>
      <c r="K73" s="16" t="s">
        <v>341</v>
      </c>
    </row>
    <row r="74" spans="1:11" ht="225" hidden="1" x14ac:dyDescent="0.25">
      <c r="A74" s="22">
        <v>71</v>
      </c>
      <c r="B74" s="16" t="s">
        <v>342</v>
      </c>
      <c r="C74" s="16" t="s">
        <v>343</v>
      </c>
      <c r="D74" s="16">
        <v>49305000</v>
      </c>
      <c r="E74" s="16">
        <v>4</v>
      </c>
      <c r="F74" s="16">
        <v>4</v>
      </c>
      <c r="G74" s="18" t="s">
        <v>108</v>
      </c>
      <c r="H74" s="16"/>
      <c r="I74" s="16" t="s">
        <v>344</v>
      </c>
      <c r="J74" s="16" t="s">
        <v>345</v>
      </c>
      <c r="K74" s="16" t="s">
        <v>346</v>
      </c>
    </row>
    <row r="75" spans="1:11" ht="255" hidden="1" x14ac:dyDescent="0.25">
      <c r="A75" s="22">
        <v>72</v>
      </c>
      <c r="B75" s="16" t="s">
        <v>347</v>
      </c>
      <c r="C75" s="16" t="s">
        <v>348</v>
      </c>
      <c r="D75" s="16">
        <v>48137891</v>
      </c>
      <c r="E75" s="16">
        <v>4</v>
      </c>
      <c r="F75" s="16">
        <v>4</v>
      </c>
      <c r="G75" s="18" t="s">
        <v>108</v>
      </c>
      <c r="H75" s="16"/>
      <c r="I75" s="16" t="s">
        <v>349</v>
      </c>
      <c r="J75" s="16" t="s">
        <v>350</v>
      </c>
      <c r="K75" s="16" t="s">
        <v>351</v>
      </c>
    </row>
    <row r="76" spans="1:11" ht="240" hidden="1" x14ac:dyDescent="0.25">
      <c r="A76" s="22">
        <v>73</v>
      </c>
      <c r="B76" s="16" t="s">
        <v>352</v>
      </c>
      <c r="C76" s="16" t="s">
        <v>353</v>
      </c>
      <c r="D76" s="16">
        <v>39500000</v>
      </c>
      <c r="E76" s="16">
        <v>4</v>
      </c>
      <c r="F76" s="16">
        <v>5</v>
      </c>
      <c r="G76" s="18" t="s">
        <v>108</v>
      </c>
      <c r="H76" s="16"/>
      <c r="I76" s="16" t="s">
        <v>354</v>
      </c>
      <c r="J76" s="16" t="s">
        <v>355</v>
      </c>
      <c r="K76" s="16" t="s">
        <v>356</v>
      </c>
    </row>
    <row r="77" spans="1:11" ht="240" hidden="1" x14ac:dyDescent="0.25">
      <c r="A77" s="22">
        <v>74</v>
      </c>
      <c r="B77" s="16" t="s">
        <v>357</v>
      </c>
      <c r="C77" s="16" t="s">
        <v>358</v>
      </c>
      <c r="D77" s="16">
        <v>48500000</v>
      </c>
      <c r="E77" s="16">
        <v>4</v>
      </c>
      <c r="F77" s="16">
        <v>5</v>
      </c>
      <c r="G77" s="18" t="s">
        <v>108</v>
      </c>
      <c r="H77" s="16"/>
      <c r="I77" s="16" t="s">
        <v>359</v>
      </c>
      <c r="J77" s="16" t="s">
        <v>360</v>
      </c>
      <c r="K77" s="16" t="s">
        <v>361</v>
      </c>
    </row>
    <row r="78" spans="1:11" ht="225" hidden="1" x14ac:dyDescent="0.25">
      <c r="A78" s="22">
        <v>75</v>
      </c>
      <c r="B78" s="16" t="s">
        <v>362</v>
      </c>
      <c r="C78" s="16" t="s">
        <v>363</v>
      </c>
      <c r="D78" s="16">
        <v>93523000</v>
      </c>
      <c r="E78" s="16">
        <v>4</v>
      </c>
      <c r="F78" s="16">
        <v>5</v>
      </c>
      <c r="G78" s="18" t="s">
        <v>108</v>
      </c>
      <c r="H78" s="16"/>
      <c r="I78" s="16" t="s">
        <v>364</v>
      </c>
      <c r="J78" s="16" t="s">
        <v>365</v>
      </c>
      <c r="K78" s="16" t="s">
        <v>366</v>
      </c>
    </row>
    <row r="79" spans="1:11" ht="270" hidden="1" x14ac:dyDescent="0.25">
      <c r="A79" s="22">
        <v>76</v>
      </c>
      <c r="B79" s="16" t="s">
        <v>367</v>
      </c>
      <c r="C79" s="16" t="s">
        <v>368</v>
      </c>
      <c r="D79" s="16">
        <v>36000000</v>
      </c>
      <c r="E79" s="16">
        <v>4</v>
      </c>
      <c r="F79" s="16">
        <v>5</v>
      </c>
      <c r="G79" s="18" t="s">
        <v>108</v>
      </c>
      <c r="H79" s="16"/>
      <c r="I79" s="16" t="s">
        <v>364</v>
      </c>
      <c r="J79" s="16" t="s">
        <v>369</v>
      </c>
      <c r="K79" s="16" t="s">
        <v>370</v>
      </c>
    </row>
    <row r="80" spans="1:11" ht="165" hidden="1" x14ac:dyDescent="0.25">
      <c r="A80" s="22">
        <v>77</v>
      </c>
      <c r="B80" s="16" t="s">
        <v>371</v>
      </c>
      <c r="C80" s="16" t="s">
        <v>372</v>
      </c>
      <c r="D80" s="16">
        <v>37500000</v>
      </c>
      <c r="E80" s="16">
        <v>4</v>
      </c>
      <c r="F80" s="16">
        <v>5</v>
      </c>
      <c r="G80" s="18" t="s">
        <v>108</v>
      </c>
      <c r="H80" s="16"/>
      <c r="I80" s="16" t="s">
        <v>364</v>
      </c>
      <c r="J80" s="16" t="s">
        <v>373</v>
      </c>
      <c r="K80" s="16" t="s">
        <v>374</v>
      </c>
    </row>
    <row r="81" spans="1:11" ht="135" hidden="1" x14ac:dyDescent="0.25">
      <c r="A81" s="22">
        <v>78</v>
      </c>
      <c r="B81" s="16" t="s">
        <v>375</v>
      </c>
      <c r="C81" s="16" t="s">
        <v>376</v>
      </c>
      <c r="D81" s="16">
        <v>351764210</v>
      </c>
      <c r="E81" s="16">
        <v>4</v>
      </c>
      <c r="F81" s="16">
        <v>5</v>
      </c>
      <c r="G81" s="18" t="s">
        <v>108</v>
      </c>
      <c r="H81" s="16"/>
      <c r="I81" s="16" t="s">
        <v>364</v>
      </c>
      <c r="J81" s="16" t="s">
        <v>377</v>
      </c>
      <c r="K81" s="16" t="s">
        <v>374</v>
      </c>
    </row>
    <row r="82" spans="1:11" ht="270" hidden="1" x14ac:dyDescent="0.25">
      <c r="A82" s="22">
        <v>79</v>
      </c>
      <c r="B82" s="16" t="s">
        <v>378</v>
      </c>
      <c r="C82" s="16" t="s">
        <v>379</v>
      </c>
      <c r="D82" s="16">
        <v>50000000</v>
      </c>
      <c r="E82" s="16">
        <v>4</v>
      </c>
      <c r="F82" s="16">
        <v>5</v>
      </c>
      <c r="G82" s="18" t="s">
        <v>108</v>
      </c>
      <c r="H82" s="16"/>
      <c r="I82" s="16" t="s">
        <v>380</v>
      </c>
      <c r="J82" s="16" t="s">
        <v>381</v>
      </c>
      <c r="K82" s="16" t="s">
        <v>382</v>
      </c>
    </row>
    <row r="83" spans="1:11" ht="409.5" hidden="1" x14ac:dyDescent="0.25">
      <c r="A83" s="22">
        <v>80</v>
      </c>
      <c r="B83" s="16" t="s">
        <v>383</v>
      </c>
      <c r="C83" s="16" t="s">
        <v>384</v>
      </c>
      <c r="D83" s="16">
        <v>52500000</v>
      </c>
      <c r="E83" s="16">
        <v>4</v>
      </c>
      <c r="F83" s="16">
        <v>5</v>
      </c>
      <c r="G83" s="18" t="s">
        <v>108</v>
      </c>
      <c r="H83" s="16"/>
      <c r="I83" s="16" t="s">
        <v>385</v>
      </c>
      <c r="J83" s="16" t="s">
        <v>386</v>
      </c>
      <c r="K83" s="16" t="s">
        <v>387</v>
      </c>
    </row>
    <row r="84" spans="1:11" ht="285" hidden="1" x14ac:dyDescent="0.25">
      <c r="A84" s="22">
        <v>81</v>
      </c>
      <c r="B84" s="16" t="s">
        <v>388</v>
      </c>
      <c r="C84" s="16" t="s">
        <v>389</v>
      </c>
      <c r="D84" s="16">
        <v>22665000</v>
      </c>
      <c r="E84" s="16">
        <v>5</v>
      </c>
      <c r="F84" s="16">
        <v>4</v>
      </c>
      <c r="G84" s="18" t="s">
        <v>108</v>
      </c>
      <c r="H84" s="16"/>
      <c r="I84" s="16" t="s">
        <v>390</v>
      </c>
      <c r="J84" s="16" t="s">
        <v>391</v>
      </c>
      <c r="K84" s="16" t="s">
        <v>392</v>
      </c>
    </row>
    <row r="85" spans="1:11" ht="270" hidden="1" x14ac:dyDescent="0.25">
      <c r="A85" s="22">
        <v>82</v>
      </c>
      <c r="B85" s="16" t="s">
        <v>393</v>
      </c>
      <c r="C85" s="16" t="s">
        <v>394</v>
      </c>
      <c r="D85" s="16">
        <v>35950000</v>
      </c>
      <c r="E85" s="16">
        <v>4</v>
      </c>
      <c r="F85" s="16">
        <v>5</v>
      </c>
      <c r="G85" s="18" t="s">
        <v>108</v>
      </c>
      <c r="H85" s="16"/>
      <c r="I85" s="16" t="s">
        <v>395</v>
      </c>
      <c r="J85" s="16" t="s">
        <v>396</v>
      </c>
      <c r="K85" s="16" t="s">
        <v>397</v>
      </c>
    </row>
    <row r="86" spans="1:11" ht="225" hidden="1" x14ac:dyDescent="0.25">
      <c r="A86" s="22">
        <v>83</v>
      </c>
      <c r="B86" s="16" t="s">
        <v>398</v>
      </c>
      <c r="C86" s="16" t="s">
        <v>399</v>
      </c>
      <c r="D86" s="16">
        <v>49500000</v>
      </c>
      <c r="E86" s="16">
        <v>4</v>
      </c>
      <c r="F86" s="16">
        <v>4</v>
      </c>
      <c r="G86" s="18" t="s">
        <v>108</v>
      </c>
      <c r="H86" s="16"/>
      <c r="I86" s="16" t="s">
        <v>400</v>
      </c>
      <c r="J86" s="16" t="s">
        <v>401</v>
      </c>
      <c r="K86" s="16" t="s">
        <v>402</v>
      </c>
    </row>
    <row r="87" spans="1:11" ht="195" hidden="1" x14ac:dyDescent="0.25">
      <c r="A87" s="22">
        <v>84</v>
      </c>
      <c r="B87" s="16" t="s">
        <v>403</v>
      </c>
      <c r="C87" s="16" t="s">
        <v>404</v>
      </c>
      <c r="D87" s="16">
        <v>662704800</v>
      </c>
      <c r="E87" s="16">
        <v>4</v>
      </c>
      <c r="F87" s="16">
        <v>4</v>
      </c>
      <c r="G87" s="18" t="s">
        <v>108</v>
      </c>
      <c r="H87" s="16"/>
      <c r="I87" s="16" t="s">
        <v>405</v>
      </c>
      <c r="J87" s="16" t="s">
        <v>406</v>
      </c>
      <c r="K87" s="16" t="s">
        <v>407</v>
      </c>
    </row>
    <row r="88" spans="1:11" ht="195" hidden="1" x14ac:dyDescent="0.25">
      <c r="A88" s="22">
        <v>85</v>
      </c>
      <c r="B88" s="16" t="s">
        <v>408</v>
      </c>
      <c r="C88" s="16" t="s">
        <v>409</v>
      </c>
      <c r="D88" s="16">
        <v>60875000</v>
      </c>
      <c r="E88" s="16">
        <v>4</v>
      </c>
      <c r="F88" s="16">
        <v>4</v>
      </c>
      <c r="G88" s="18" t="s">
        <v>108</v>
      </c>
      <c r="H88" s="16"/>
      <c r="I88" s="16" t="s">
        <v>405</v>
      </c>
      <c r="J88" s="16" t="s">
        <v>406</v>
      </c>
      <c r="K88" s="16" t="s">
        <v>410</v>
      </c>
    </row>
    <row r="89" spans="1:11" ht="270" hidden="1" x14ac:dyDescent="0.25">
      <c r="A89" s="22">
        <v>86</v>
      </c>
      <c r="B89" s="16" t="s">
        <v>411</v>
      </c>
      <c r="C89" s="16" t="s">
        <v>412</v>
      </c>
      <c r="D89" s="16">
        <v>92418400</v>
      </c>
      <c r="E89" s="16">
        <v>4</v>
      </c>
      <c r="F89" s="16">
        <v>4</v>
      </c>
      <c r="G89" s="18" t="s">
        <v>108</v>
      </c>
      <c r="H89" s="16"/>
      <c r="I89" s="16" t="s">
        <v>405</v>
      </c>
      <c r="J89" s="16" t="s">
        <v>413</v>
      </c>
      <c r="K89" s="16" t="s">
        <v>407</v>
      </c>
    </row>
    <row r="90" spans="1:11" ht="240" hidden="1" x14ac:dyDescent="0.25">
      <c r="A90" s="22">
        <v>87</v>
      </c>
      <c r="B90" s="16" t="s">
        <v>414</v>
      </c>
      <c r="C90" s="16" t="s">
        <v>415</v>
      </c>
      <c r="D90" s="16">
        <v>69345000</v>
      </c>
      <c r="E90" s="16">
        <v>4</v>
      </c>
      <c r="F90" s="16">
        <v>4</v>
      </c>
      <c r="G90" s="18" t="s">
        <v>108</v>
      </c>
      <c r="H90" s="16"/>
      <c r="I90" s="16" t="s">
        <v>416</v>
      </c>
      <c r="J90" s="16" t="s">
        <v>417</v>
      </c>
      <c r="K90" s="16" t="s">
        <v>418</v>
      </c>
    </row>
    <row r="91" spans="1:11" ht="195" hidden="1" x14ac:dyDescent="0.25">
      <c r="A91" s="22">
        <v>88</v>
      </c>
      <c r="B91" s="16" t="s">
        <v>419</v>
      </c>
      <c r="C91" s="16" t="s">
        <v>420</v>
      </c>
      <c r="D91" s="16">
        <v>51335000</v>
      </c>
      <c r="E91" s="16">
        <v>4</v>
      </c>
      <c r="F91" s="16">
        <v>4</v>
      </c>
      <c r="G91" s="18" t="s">
        <v>108</v>
      </c>
      <c r="H91" s="16"/>
      <c r="I91" s="16" t="s">
        <v>421</v>
      </c>
      <c r="J91" s="16" t="s">
        <v>422</v>
      </c>
      <c r="K91" s="16" t="s">
        <v>423</v>
      </c>
    </row>
    <row r="92" spans="1:11" ht="195" hidden="1" x14ac:dyDescent="0.25">
      <c r="A92" s="22">
        <v>89</v>
      </c>
      <c r="B92" s="16" t="s">
        <v>424</v>
      </c>
      <c r="C92" s="16" t="s">
        <v>425</v>
      </c>
      <c r="D92" s="16">
        <v>53455000</v>
      </c>
      <c r="E92" s="16">
        <v>4</v>
      </c>
      <c r="F92" s="16">
        <v>4</v>
      </c>
      <c r="G92" s="18" t="s">
        <v>108</v>
      </c>
      <c r="H92" s="16"/>
      <c r="I92" s="16" t="s">
        <v>426</v>
      </c>
      <c r="J92" s="16" t="s">
        <v>427</v>
      </c>
      <c r="K92" s="16" t="s">
        <v>428</v>
      </c>
    </row>
    <row r="93" spans="1:11" ht="240" hidden="1" x14ac:dyDescent="0.25">
      <c r="A93" s="22">
        <v>90</v>
      </c>
      <c r="B93" s="16" t="s">
        <v>429</v>
      </c>
      <c r="C93" s="16" t="s">
        <v>430</v>
      </c>
      <c r="D93" s="16">
        <v>102863000</v>
      </c>
      <c r="E93" s="16">
        <v>4</v>
      </c>
      <c r="F93" s="16">
        <v>4</v>
      </c>
      <c r="G93" s="18" t="s">
        <v>108</v>
      </c>
      <c r="H93" s="16"/>
      <c r="I93" s="16" t="s">
        <v>431</v>
      </c>
      <c r="J93" s="16" t="s">
        <v>432</v>
      </c>
      <c r="K93" s="16" t="s">
        <v>433</v>
      </c>
    </row>
    <row r="94" spans="1:11" ht="195" hidden="1" x14ac:dyDescent="0.25">
      <c r="A94" s="22">
        <v>91</v>
      </c>
      <c r="B94" s="16" t="s">
        <v>434</v>
      </c>
      <c r="C94" s="16" t="s">
        <v>435</v>
      </c>
      <c r="D94" s="16">
        <v>131494000</v>
      </c>
      <c r="E94" s="16">
        <v>4</v>
      </c>
      <c r="F94" s="16">
        <v>4</v>
      </c>
      <c r="G94" s="18" t="s">
        <v>108</v>
      </c>
      <c r="H94" s="16"/>
      <c r="I94" s="16" t="s">
        <v>421</v>
      </c>
      <c r="J94" s="16" t="s">
        <v>436</v>
      </c>
      <c r="K94" s="16" t="s">
        <v>437</v>
      </c>
    </row>
    <row r="95" spans="1:11" ht="210" hidden="1" x14ac:dyDescent="0.25">
      <c r="A95" s="22">
        <v>92</v>
      </c>
      <c r="B95" s="16" t="s">
        <v>438</v>
      </c>
      <c r="C95" s="16" t="s">
        <v>439</v>
      </c>
      <c r="D95" s="16">
        <v>24615000</v>
      </c>
      <c r="E95" s="16">
        <v>4</v>
      </c>
      <c r="F95" s="16">
        <v>4</v>
      </c>
      <c r="G95" s="18" t="s">
        <v>108</v>
      </c>
      <c r="H95" s="16"/>
      <c r="I95" s="16" t="s">
        <v>440</v>
      </c>
      <c r="J95" s="16" t="s">
        <v>441</v>
      </c>
      <c r="K95" s="16" t="s">
        <v>442</v>
      </c>
    </row>
    <row r="96" spans="1:11" ht="210" hidden="1" x14ac:dyDescent="0.25">
      <c r="A96" s="22">
        <v>93</v>
      </c>
      <c r="B96" s="16" t="s">
        <v>443</v>
      </c>
      <c r="C96" s="16" t="s">
        <v>444</v>
      </c>
      <c r="D96" s="16">
        <v>65550000</v>
      </c>
      <c r="E96" s="16">
        <v>4</v>
      </c>
      <c r="F96" s="16">
        <v>4</v>
      </c>
      <c r="G96" s="18" t="s">
        <v>108</v>
      </c>
      <c r="H96" s="16"/>
      <c r="I96" s="16" t="s">
        <v>445</v>
      </c>
      <c r="J96" s="16" t="s">
        <v>446</v>
      </c>
      <c r="K96" s="16" t="s">
        <v>447</v>
      </c>
    </row>
    <row r="97" spans="1:11" ht="195" hidden="1" x14ac:dyDescent="0.25">
      <c r="A97" s="22">
        <v>94</v>
      </c>
      <c r="B97" s="16" t="s">
        <v>448</v>
      </c>
      <c r="C97" s="16" t="s">
        <v>449</v>
      </c>
      <c r="D97" s="16">
        <v>51475000</v>
      </c>
      <c r="E97" s="16">
        <v>4</v>
      </c>
      <c r="F97" s="16">
        <v>4</v>
      </c>
      <c r="G97" s="18" t="s">
        <v>108</v>
      </c>
      <c r="H97" s="16"/>
      <c r="I97" s="16" t="s">
        <v>450</v>
      </c>
      <c r="J97" s="16" t="s">
        <v>451</v>
      </c>
      <c r="K97" s="16" t="s">
        <v>452</v>
      </c>
    </row>
    <row r="98" spans="1:11" ht="210" hidden="1" x14ac:dyDescent="0.25">
      <c r="A98" s="22">
        <v>95</v>
      </c>
      <c r="B98" s="16" t="s">
        <v>453</v>
      </c>
      <c r="C98" s="16" t="s">
        <v>454</v>
      </c>
      <c r="D98" s="16">
        <v>3195000</v>
      </c>
      <c r="E98" s="16">
        <v>4</v>
      </c>
      <c r="F98" s="16">
        <v>4</v>
      </c>
      <c r="G98" s="18" t="s">
        <v>108</v>
      </c>
      <c r="H98" s="16"/>
      <c r="I98" s="16" t="s">
        <v>455</v>
      </c>
      <c r="J98" s="16" t="s">
        <v>456</v>
      </c>
      <c r="K98" s="16" t="s">
        <v>457</v>
      </c>
    </row>
    <row r="99" spans="1:11" ht="210" hidden="1" x14ac:dyDescent="0.25">
      <c r="A99" s="22">
        <v>96</v>
      </c>
      <c r="B99" s="16" t="s">
        <v>458</v>
      </c>
      <c r="C99" s="16" t="s">
        <v>459</v>
      </c>
      <c r="D99" s="16">
        <v>143016000</v>
      </c>
      <c r="E99" s="16">
        <v>4</v>
      </c>
      <c r="F99" s="16">
        <v>4</v>
      </c>
      <c r="G99" s="18" t="s">
        <v>108</v>
      </c>
      <c r="H99" s="16"/>
      <c r="I99" s="16" t="s">
        <v>460</v>
      </c>
      <c r="J99" s="16" t="s">
        <v>461</v>
      </c>
      <c r="K99" s="16" t="s">
        <v>457</v>
      </c>
    </row>
    <row r="100" spans="1:11" ht="195" hidden="1" x14ac:dyDescent="0.25">
      <c r="A100" s="22">
        <v>97</v>
      </c>
      <c r="B100" s="16" t="s">
        <v>462</v>
      </c>
      <c r="C100" s="16" t="s">
        <v>463</v>
      </c>
      <c r="D100" s="16">
        <v>22593000</v>
      </c>
      <c r="E100" s="16">
        <v>4</v>
      </c>
      <c r="F100" s="16">
        <v>4</v>
      </c>
      <c r="G100" s="18" t="s">
        <v>108</v>
      </c>
      <c r="H100" s="16"/>
      <c r="I100" s="16" t="s">
        <v>464</v>
      </c>
      <c r="J100" s="16" t="s">
        <v>465</v>
      </c>
      <c r="K100" s="16" t="s">
        <v>466</v>
      </c>
    </row>
    <row r="101" spans="1:11" ht="165" hidden="1" x14ac:dyDescent="0.25">
      <c r="A101" s="22">
        <v>98</v>
      </c>
      <c r="B101" s="16" t="s">
        <v>467</v>
      </c>
      <c r="C101" s="16" t="s">
        <v>468</v>
      </c>
      <c r="D101" s="16">
        <v>15705000</v>
      </c>
      <c r="E101" s="16">
        <v>4</v>
      </c>
      <c r="F101" s="16">
        <v>4</v>
      </c>
      <c r="G101" s="18" t="s">
        <v>108</v>
      </c>
      <c r="H101" s="16"/>
      <c r="I101" s="16" t="s">
        <v>416</v>
      </c>
      <c r="J101" s="16" t="s">
        <v>469</v>
      </c>
      <c r="K101" s="16" t="s">
        <v>470</v>
      </c>
    </row>
    <row r="102" spans="1:11" ht="225" hidden="1" x14ac:dyDescent="0.25">
      <c r="A102" s="22">
        <v>99</v>
      </c>
      <c r="B102" s="16" t="s">
        <v>471</v>
      </c>
      <c r="C102" s="16" t="s">
        <v>472</v>
      </c>
      <c r="D102" s="16">
        <v>57605000</v>
      </c>
      <c r="E102" s="16">
        <v>4</v>
      </c>
      <c r="F102" s="16">
        <v>4</v>
      </c>
      <c r="G102" s="18" t="s">
        <v>108</v>
      </c>
      <c r="H102" s="16"/>
      <c r="I102" s="16" t="s">
        <v>473</v>
      </c>
      <c r="J102" s="16" t="s">
        <v>474</v>
      </c>
      <c r="K102" s="16" t="s">
        <v>475</v>
      </c>
    </row>
    <row r="103" spans="1:11" ht="240" hidden="1" x14ac:dyDescent="0.25">
      <c r="A103" s="22">
        <v>100</v>
      </c>
      <c r="B103" s="16" t="s">
        <v>476</v>
      </c>
      <c r="C103" s="16" t="s">
        <v>477</v>
      </c>
      <c r="D103" s="16">
        <v>19875000</v>
      </c>
      <c r="E103" s="16">
        <v>4</v>
      </c>
      <c r="F103" s="16">
        <v>4</v>
      </c>
      <c r="G103" s="18" t="s">
        <v>108</v>
      </c>
      <c r="H103" s="16"/>
      <c r="I103" s="16" t="s">
        <v>478</v>
      </c>
      <c r="J103" s="16" t="s">
        <v>479</v>
      </c>
      <c r="K103" s="16" t="s">
        <v>480</v>
      </c>
    </row>
    <row r="104" spans="1:11" ht="195" hidden="1" x14ac:dyDescent="0.25">
      <c r="A104" s="22">
        <v>101</v>
      </c>
      <c r="B104" s="16" t="s">
        <v>481</v>
      </c>
      <c r="C104" s="16" t="s">
        <v>482</v>
      </c>
      <c r="D104" s="16">
        <v>19175000</v>
      </c>
      <c r="E104" s="16">
        <v>4</v>
      </c>
      <c r="F104" s="16">
        <v>4</v>
      </c>
      <c r="G104" s="18" t="s">
        <v>108</v>
      </c>
      <c r="H104" s="16"/>
      <c r="I104" s="16" t="s">
        <v>426</v>
      </c>
      <c r="J104" s="16" t="s">
        <v>483</v>
      </c>
      <c r="K104" s="16" t="s">
        <v>484</v>
      </c>
    </row>
    <row r="105" spans="1:11" ht="240" hidden="1" x14ac:dyDescent="0.25">
      <c r="A105" s="22">
        <v>102</v>
      </c>
      <c r="B105" s="16" t="s">
        <v>485</v>
      </c>
      <c r="C105" s="16" t="s">
        <v>486</v>
      </c>
      <c r="D105" s="16">
        <v>33261000</v>
      </c>
      <c r="E105" s="16">
        <v>4</v>
      </c>
      <c r="F105" s="16">
        <v>4</v>
      </c>
      <c r="G105" s="18" t="s">
        <v>108</v>
      </c>
      <c r="H105" s="16"/>
      <c r="I105" s="16" t="s">
        <v>487</v>
      </c>
      <c r="J105" s="16" t="s">
        <v>488</v>
      </c>
      <c r="K105" s="16" t="s">
        <v>489</v>
      </c>
    </row>
    <row r="106" spans="1:11" ht="270" hidden="1" x14ac:dyDescent="0.25">
      <c r="A106" s="22">
        <v>103</v>
      </c>
      <c r="B106" s="16" t="s">
        <v>490</v>
      </c>
      <c r="C106" s="16" t="s">
        <v>491</v>
      </c>
      <c r="D106" s="16">
        <v>56783000</v>
      </c>
      <c r="E106" s="16">
        <v>4</v>
      </c>
      <c r="F106" s="16">
        <v>5</v>
      </c>
      <c r="G106" s="18" t="s">
        <v>108</v>
      </c>
      <c r="H106" s="16"/>
      <c r="I106" s="16" t="s">
        <v>492</v>
      </c>
      <c r="J106" s="16" t="s">
        <v>493</v>
      </c>
      <c r="K106" s="16" t="s">
        <v>494</v>
      </c>
    </row>
    <row r="107" spans="1:11" ht="195" hidden="1" x14ac:dyDescent="0.25">
      <c r="A107" s="22">
        <v>104</v>
      </c>
      <c r="B107" s="16" t="s">
        <v>495</v>
      </c>
      <c r="C107" s="16" t="s">
        <v>496</v>
      </c>
      <c r="D107" s="16">
        <v>11775000</v>
      </c>
      <c r="E107" s="16">
        <v>4</v>
      </c>
      <c r="F107" s="16">
        <v>4</v>
      </c>
      <c r="G107" s="18" t="s">
        <v>108</v>
      </c>
      <c r="H107" s="16"/>
      <c r="I107" s="16" t="s">
        <v>497</v>
      </c>
      <c r="J107" s="16" t="s">
        <v>498</v>
      </c>
      <c r="K107" s="16" t="s">
        <v>499</v>
      </c>
    </row>
    <row r="108" spans="1:11" ht="180" hidden="1" x14ac:dyDescent="0.25">
      <c r="A108" s="22">
        <v>105</v>
      </c>
      <c r="B108" s="16" t="s">
        <v>500</v>
      </c>
      <c r="C108" s="16" t="s">
        <v>501</v>
      </c>
      <c r="D108" s="16">
        <v>52930000</v>
      </c>
      <c r="E108" s="16">
        <v>4</v>
      </c>
      <c r="F108" s="16">
        <v>4</v>
      </c>
      <c r="G108" s="18" t="s">
        <v>108</v>
      </c>
      <c r="H108" s="16"/>
      <c r="I108" s="16" t="s">
        <v>502</v>
      </c>
      <c r="J108" s="16" t="s">
        <v>503</v>
      </c>
      <c r="K108" s="16" t="s">
        <v>504</v>
      </c>
    </row>
    <row r="109" spans="1:11" ht="240" hidden="1" x14ac:dyDescent="0.25">
      <c r="A109" s="22">
        <v>106</v>
      </c>
      <c r="B109" s="16" t="s">
        <v>505</v>
      </c>
      <c r="C109" s="16" t="s">
        <v>506</v>
      </c>
      <c r="D109" s="16">
        <v>10400000</v>
      </c>
      <c r="E109" s="16">
        <v>4</v>
      </c>
      <c r="F109" s="16">
        <v>4</v>
      </c>
      <c r="G109" s="18" t="s">
        <v>108</v>
      </c>
      <c r="H109" s="16"/>
      <c r="I109" s="16" t="s">
        <v>507</v>
      </c>
      <c r="J109" s="16" t="s">
        <v>508</v>
      </c>
      <c r="K109" s="16" t="s">
        <v>509</v>
      </c>
    </row>
    <row r="110" spans="1:11" ht="210" hidden="1" x14ac:dyDescent="0.25">
      <c r="A110" s="22">
        <v>107</v>
      </c>
      <c r="B110" s="16" t="s">
        <v>510</v>
      </c>
      <c r="C110" s="16" t="s">
        <v>511</v>
      </c>
      <c r="D110" s="16">
        <v>18123000</v>
      </c>
      <c r="E110" s="16">
        <v>4</v>
      </c>
      <c r="F110" s="16">
        <v>4</v>
      </c>
      <c r="G110" s="18" t="s">
        <v>108</v>
      </c>
      <c r="H110" s="16"/>
      <c r="I110" s="16" t="s">
        <v>512</v>
      </c>
      <c r="J110" s="16" t="s">
        <v>513</v>
      </c>
      <c r="K110" s="16" t="s">
        <v>514</v>
      </c>
    </row>
    <row r="111" spans="1:11" ht="255" hidden="1" x14ac:dyDescent="0.25">
      <c r="A111" s="22">
        <v>108</v>
      </c>
      <c r="B111" s="16" t="s">
        <v>515</v>
      </c>
      <c r="C111" s="16" t="s">
        <v>516</v>
      </c>
      <c r="D111" s="16">
        <v>15080000</v>
      </c>
      <c r="E111" s="16">
        <v>4</v>
      </c>
      <c r="F111" s="16">
        <v>4</v>
      </c>
      <c r="G111" s="18" t="s">
        <v>108</v>
      </c>
      <c r="H111" s="16"/>
      <c r="I111" s="16" t="s">
        <v>517</v>
      </c>
      <c r="J111" s="16" t="s">
        <v>518</v>
      </c>
      <c r="K111" s="16" t="s">
        <v>519</v>
      </c>
    </row>
    <row r="112" spans="1:11" ht="300" hidden="1" x14ac:dyDescent="0.25">
      <c r="A112" s="22">
        <v>109</v>
      </c>
      <c r="B112" s="16" t="s">
        <v>520</v>
      </c>
      <c r="C112" s="16" t="s">
        <v>521</v>
      </c>
      <c r="D112" s="16">
        <v>112605000</v>
      </c>
      <c r="E112" s="16">
        <v>5</v>
      </c>
      <c r="F112" s="16">
        <v>4</v>
      </c>
      <c r="G112" s="18" t="s">
        <v>108</v>
      </c>
      <c r="H112" s="16"/>
      <c r="I112" s="16" t="s">
        <v>522</v>
      </c>
      <c r="J112" s="16" t="s">
        <v>523</v>
      </c>
      <c r="K112" s="16" t="s">
        <v>524</v>
      </c>
    </row>
    <row r="113" spans="1:11" ht="225" hidden="1" x14ac:dyDescent="0.25">
      <c r="A113" s="22">
        <v>110</v>
      </c>
      <c r="B113" s="16" t="s">
        <v>525</v>
      </c>
      <c r="C113" s="16" t="s">
        <v>526</v>
      </c>
      <c r="D113" s="16">
        <v>73905000</v>
      </c>
      <c r="E113" s="16">
        <v>4</v>
      </c>
      <c r="F113" s="16">
        <v>4</v>
      </c>
      <c r="G113" s="18" t="s">
        <v>108</v>
      </c>
      <c r="H113" s="16"/>
      <c r="I113" s="16" t="s">
        <v>527</v>
      </c>
      <c r="J113" s="16" t="s">
        <v>528</v>
      </c>
      <c r="K113" s="16" t="s">
        <v>529</v>
      </c>
    </row>
    <row r="114" spans="1:11" ht="330" hidden="1" x14ac:dyDescent="0.25">
      <c r="A114" s="22">
        <v>111</v>
      </c>
      <c r="B114" s="16" t="s">
        <v>530</v>
      </c>
      <c r="C114" s="16" t="s">
        <v>531</v>
      </c>
      <c r="D114" s="16">
        <v>115770000</v>
      </c>
      <c r="E114" s="16">
        <v>5</v>
      </c>
      <c r="F114" s="16">
        <v>4</v>
      </c>
      <c r="G114" s="18" t="s">
        <v>108</v>
      </c>
      <c r="H114" s="16"/>
      <c r="I114" s="16" t="s">
        <v>532</v>
      </c>
      <c r="J114" s="16" t="s">
        <v>533</v>
      </c>
      <c r="K114" s="16" t="s">
        <v>534</v>
      </c>
    </row>
    <row r="115" spans="1:11" ht="330" hidden="1" x14ac:dyDescent="0.25">
      <c r="A115" s="22">
        <v>112</v>
      </c>
      <c r="B115" s="16" t="s">
        <v>535</v>
      </c>
      <c r="C115" s="16" t="s">
        <v>536</v>
      </c>
      <c r="D115" s="16">
        <v>2530154350</v>
      </c>
      <c r="E115" s="16">
        <v>4</v>
      </c>
      <c r="F115" s="16">
        <v>5</v>
      </c>
      <c r="G115" s="18" t="s">
        <v>108</v>
      </c>
      <c r="H115" s="16"/>
      <c r="I115" s="16" t="s">
        <v>85</v>
      </c>
      <c r="J115" s="16" t="s">
        <v>537</v>
      </c>
      <c r="K115" s="16" t="s">
        <v>538</v>
      </c>
    </row>
    <row r="116" spans="1:11" ht="390" hidden="1" x14ac:dyDescent="0.25">
      <c r="A116" s="22">
        <v>113</v>
      </c>
      <c r="B116" s="16" t="s">
        <v>539</v>
      </c>
      <c r="C116" s="16" t="s">
        <v>540</v>
      </c>
      <c r="D116" s="16">
        <v>29150000</v>
      </c>
      <c r="E116" s="16">
        <v>5</v>
      </c>
      <c r="F116" s="16">
        <v>4</v>
      </c>
      <c r="G116" s="18" t="s">
        <v>108</v>
      </c>
      <c r="H116" s="16"/>
      <c r="I116" s="16" t="s">
        <v>541</v>
      </c>
      <c r="J116" s="16" t="s">
        <v>542</v>
      </c>
      <c r="K116" s="16" t="s">
        <v>543</v>
      </c>
    </row>
    <row r="117" spans="1:11" ht="300" hidden="1" x14ac:dyDescent="0.25">
      <c r="A117" s="22">
        <v>114</v>
      </c>
      <c r="B117" s="16" t="s">
        <v>544</v>
      </c>
      <c r="C117" s="16" t="s">
        <v>545</v>
      </c>
      <c r="D117" s="16">
        <v>32625000</v>
      </c>
      <c r="E117" s="16">
        <v>5</v>
      </c>
      <c r="F117" s="16">
        <v>4</v>
      </c>
      <c r="G117" s="18" t="s">
        <v>108</v>
      </c>
      <c r="H117" s="16"/>
      <c r="I117" s="16" t="s">
        <v>546</v>
      </c>
      <c r="J117" s="16" t="s">
        <v>547</v>
      </c>
      <c r="K117" s="16" t="s">
        <v>548</v>
      </c>
    </row>
    <row r="118" spans="1:11" ht="375" hidden="1" x14ac:dyDescent="0.25">
      <c r="A118" s="22">
        <v>115</v>
      </c>
      <c r="B118" s="16" t="s">
        <v>549</v>
      </c>
      <c r="C118" s="16" t="s">
        <v>550</v>
      </c>
      <c r="D118" s="16">
        <v>325015100</v>
      </c>
      <c r="E118" s="16">
        <v>5</v>
      </c>
      <c r="F118" s="16">
        <v>4</v>
      </c>
      <c r="G118" s="18" t="s">
        <v>108</v>
      </c>
      <c r="H118" s="16"/>
      <c r="I118" s="16" t="s">
        <v>551</v>
      </c>
      <c r="J118" s="16" t="s">
        <v>552</v>
      </c>
      <c r="K118" s="16" t="s">
        <v>553</v>
      </c>
    </row>
    <row r="119" spans="1:11" ht="240" hidden="1" x14ac:dyDescent="0.25">
      <c r="A119" s="22">
        <v>116</v>
      </c>
      <c r="B119" s="16" t="s">
        <v>554</v>
      </c>
      <c r="C119" s="16" t="s">
        <v>555</v>
      </c>
      <c r="D119" s="16">
        <v>25475000</v>
      </c>
      <c r="E119" s="16">
        <v>5</v>
      </c>
      <c r="F119" s="16">
        <v>4</v>
      </c>
      <c r="G119" s="18" t="s">
        <v>108</v>
      </c>
      <c r="H119" s="16"/>
      <c r="I119" s="16" t="s">
        <v>556</v>
      </c>
      <c r="J119" s="16" t="s">
        <v>557</v>
      </c>
      <c r="K119" s="16" t="s">
        <v>558</v>
      </c>
    </row>
    <row r="120" spans="1:11" ht="225" hidden="1" x14ac:dyDescent="0.25">
      <c r="A120" s="22">
        <v>117</v>
      </c>
      <c r="B120" s="16" t="s">
        <v>559</v>
      </c>
      <c r="C120" s="16" t="s">
        <v>560</v>
      </c>
      <c r="D120" s="16">
        <v>281092900</v>
      </c>
      <c r="E120" s="16">
        <v>5</v>
      </c>
      <c r="F120" s="16">
        <v>4</v>
      </c>
      <c r="G120" s="18" t="s">
        <v>108</v>
      </c>
      <c r="H120" s="16"/>
      <c r="I120" s="16" t="s">
        <v>561</v>
      </c>
      <c r="J120" s="16" t="s">
        <v>562</v>
      </c>
      <c r="K120" s="16" t="s">
        <v>563</v>
      </c>
    </row>
    <row r="121" spans="1:11" ht="345" hidden="1" x14ac:dyDescent="0.25">
      <c r="A121" s="22">
        <v>118</v>
      </c>
      <c r="B121" s="16" t="s">
        <v>564</v>
      </c>
      <c r="C121" s="16" t="s">
        <v>565</v>
      </c>
      <c r="D121" s="16">
        <v>112580000</v>
      </c>
      <c r="E121" s="16">
        <v>5</v>
      </c>
      <c r="F121" s="16">
        <v>4</v>
      </c>
      <c r="G121" s="18" t="s">
        <v>108</v>
      </c>
      <c r="H121" s="16"/>
      <c r="I121" s="16" t="s">
        <v>566</v>
      </c>
      <c r="J121" s="16" t="s">
        <v>567</v>
      </c>
      <c r="K121" s="16" t="s">
        <v>568</v>
      </c>
    </row>
    <row r="122" spans="1:11" ht="285" hidden="1" x14ac:dyDescent="0.25">
      <c r="A122" s="22">
        <v>119</v>
      </c>
      <c r="B122" s="16" t="s">
        <v>569</v>
      </c>
      <c r="C122" s="16" t="s">
        <v>570</v>
      </c>
      <c r="D122" s="16">
        <v>23755000</v>
      </c>
      <c r="E122" s="16">
        <v>4</v>
      </c>
      <c r="F122" s="16">
        <v>4</v>
      </c>
      <c r="G122" s="18" t="s">
        <v>108</v>
      </c>
      <c r="H122" s="16"/>
      <c r="I122" s="16" t="s">
        <v>571</v>
      </c>
      <c r="J122" s="16" t="s">
        <v>572</v>
      </c>
      <c r="K122" s="16" t="s">
        <v>573</v>
      </c>
    </row>
    <row r="123" spans="1:11" ht="285" hidden="1" x14ac:dyDescent="0.25">
      <c r="A123" s="22">
        <v>120</v>
      </c>
      <c r="B123" s="16" t="s">
        <v>574</v>
      </c>
      <c r="C123" s="16" t="s">
        <v>575</v>
      </c>
      <c r="D123" s="16">
        <v>107958000</v>
      </c>
      <c r="E123" s="16">
        <v>5</v>
      </c>
      <c r="F123" s="16">
        <v>4</v>
      </c>
      <c r="G123" s="18" t="s">
        <v>108</v>
      </c>
      <c r="H123" s="16"/>
      <c r="I123" s="16" t="s">
        <v>576</v>
      </c>
      <c r="J123" s="16" t="s">
        <v>577</v>
      </c>
      <c r="K123" s="16" t="s">
        <v>578</v>
      </c>
    </row>
    <row r="124" spans="1:11" ht="270" hidden="1" x14ac:dyDescent="0.25">
      <c r="A124" s="22">
        <v>121</v>
      </c>
      <c r="B124" s="16" t="s">
        <v>579</v>
      </c>
      <c r="C124" s="16" t="s">
        <v>580</v>
      </c>
      <c r="D124" s="16">
        <v>125319000</v>
      </c>
      <c r="E124" s="16">
        <v>4</v>
      </c>
      <c r="F124" s="16">
        <v>4</v>
      </c>
      <c r="G124" s="18" t="s">
        <v>108</v>
      </c>
      <c r="H124" s="16"/>
      <c r="I124" s="16" t="s">
        <v>581</v>
      </c>
      <c r="J124" s="16" t="s">
        <v>582</v>
      </c>
      <c r="K124" s="16" t="s">
        <v>583</v>
      </c>
    </row>
    <row r="125" spans="1:11" ht="300" hidden="1" x14ac:dyDescent="0.25">
      <c r="A125" s="22">
        <v>122</v>
      </c>
      <c r="B125" s="16" t="s">
        <v>584</v>
      </c>
      <c r="C125" s="16" t="s">
        <v>585</v>
      </c>
      <c r="D125" s="16">
        <v>77910000</v>
      </c>
      <c r="E125" s="16">
        <v>4</v>
      </c>
      <c r="F125" s="16">
        <v>4</v>
      </c>
      <c r="G125" s="18" t="s">
        <v>108</v>
      </c>
      <c r="H125" s="16"/>
      <c r="I125" s="16" t="s">
        <v>581</v>
      </c>
      <c r="J125" s="16" t="s">
        <v>586</v>
      </c>
      <c r="K125" s="16" t="s">
        <v>583</v>
      </c>
    </row>
    <row r="126" spans="1:11" ht="270" hidden="1" x14ac:dyDescent="0.25">
      <c r="A126" s="22">
        <v>123</v>
      </c>
      <c r="B126" s="16" t="s">
        <v>587</v>
      </c>
      <c r="C126" s="16" t="s">
        <v>588</v>
      </c>
      <c r="D126" s="16">
        <v>13200000</v>
      </c>
      <c r="E126" s="16">
        <v>4</v>
      </c>
      <c r="F126" s="16">
        <v>4</v>
      </c>
      <c r="G126" s="18" t="s">
        <v>108</v>
      </c>
      <c r="H126" s="16"/>
      <c r="I126" s="16" t="s">
        <v>589</v>
      </c>
      <c r="J126" s="16" t="s">
        <v>590</v>
      </c>
      <c r="K126" s="16" t="s">
        <v>591</v>
      </c>
    </row>
    <row r="127" spans="1:11" ht="165" hidden="1" x14ac:dyDescent="0.25">
      <c r="A127" s="22">
        <v>124</v>
      </c>
      <c r="B127" s="16" t="s">
        <v>592</v>
      </c>
      <c r="C127" s="16" t="s">
        <v>593</v>
      </c>
      <c r="D127" s="16">
        <v>367466000</v>
      </c>
      <c r="E127" s="16">
        <v>4</v>
      </c>
      <c r="F127" s="16">
        <v>5</v>
      </c>
      <c r="G127" s="18" t="s">
        <v>108</v>
      </c>
      <c r="H127" s="16"/>
      <c r="I127" s="16" t="s">
        <v>594</v>
      </c>
      <c r="J127" s="16" t="s">
        <v>595</v>
      </c>
      <c r="K127" s="16" t="s">
        <v>596</v>
      </c>
    </row>
    <row r="128" spans="1:11" ht="330" hidden="1" x14ac:dyDescent="0.25">
      <c r="A128" s="22">
        <v>125</v>
      </c>
      <c r="B128" s="16" t="s">
        <v>597</v>
      </c>
      <c r="C128" s="16" t="s">
        <v>598</v>
      </c>
      <c r="D128" s="16">
        <v>78036000</v>
      </c>
      <c r="E128" s="16">
        <v>4</v>
      </c>
      <c r="F128" s="16">
        <v>5</v>
      </c>
      <c r="G128" s="18" t="s">
        <v>108</v>
      </c>
      <c r="H128" s="16"/>
      <c r="I128" s="16" t="s">
        <v>599</v>
      </c>
      <c r="J128" s="16" t="s">
        <v>600</v>
      </c>
      <c r="K128" s="16" t="s">
        <v>601</v>
      </c>
    </row>
    <row r="129" spans="1:11" ht="360" hidden="1" x14ac:dyDescent="0.25">
      <c r="A129" s="22">
        <v>126</v>
      </c>
      <c r="B129" s="16" t="s">
        <v>602</v>
      </c>
      <c r="C129" s="16" t="s">
        <v>603</v>
      </c>
      <c r="D129" s="16">
        <v>297360100</v>
      </c>
      <c r="E129" s="16">
        <v>4</v>
      </c>
      <c r="F129" s="16">
        <v>5</v>
      </c>
      <c r="G129" s="18" t="s">
        <v>108</v>
      </c>
      <c r="H129" s="16"/>
      <c r="I129" s="16" t="s">
        <v>604</v>
      </c>
      <c r="J129" s="16" t="s">
        <v>605</v>
      </c>
      <c r="K129" s="16" t="s">
        <v>606</v>
      </c>
    </row>
    <row r="130" spans="1:11" ht="360" hidden="1" x14ac:dyDescent="0.25">
      <c r="A130" s="22">
        <v>127</v>
      </c>
      <c r="B130" s="16" t="s">
        <v>607</v>
      </c>
      <c r="C130" s="16" t="s">
        <v>608</v>
      </c>
      <c r="D130" s="16">
        <v>191280000</v>
      </c>
      <c r="E130" s="16">
        <v>4</v>
      </c>
      <c r="F130" s="16">
        <v>5</v>
      </c>
      <c r="G130" s="18" t="s">
        <v>108</v>
      </c>
      <c r="H130" s="16"/>
      <c r="I130" s="16" t="s">
        <v>609</v>
      </c>
      <c r="J130" s="16" t="s">
        <v>610</v>
      </c>
      <c r="K130" s="16" t="s">
        <v>611</v>
      </c>
    </row>
    <row r="131" spans="1:11" ht="345" hidden="1" x14ac:dyDescent="0.25">
      <c r="A131" s="22">
        <v>128</v>
      </c>
      <c r="B131" s="16" t="s">
        <v>612</v>
      </c>
      <c r="C131" s="16" t="s">
        <v>613</v>
      </c>
      <c r="D131" s="16">
        <v>20304400</v>
      </c>
      <c r="E131" s="16">
        <v>4</v>
      </c>
      <c r="F131" s="16">
        <v>5</v>
      </c>
      <c r="G131" s="18" t="s">
        <v>108</v>
      </c>
      <c r="H131" s="16"/>
      <c r="I131" s="16" t="s">
        <v>614</v>
      </c>
      <c r="J131" s="16" t="s">
        <v>615</v>
      </c>
      <c r="K131" s="16" t="s">
        <v>616</v>
      </c>
    </row>
    <row r="132" spans="1:11" ht="409.5" hidden="1" x14ac:dyDescent="0.25">
      <c r="A132" s="22">
        <v>129</v>
      </c>
      <c r="B132" s="16" t="s">
        <v>617</v>
      </c>
      <c r="C132" s="16" t="s">
        <v>618</v>
      </c>
      <c r="D132" s="16">
        <v>10508000</v>
      </c>
      <c r="E132" s="16">
        <v>4</v>
      </c>
      <c r="F132" s="16">
        <v>5</v>
      </c>
      <c r="G132" s="18" t="s">
        <v>108</v>
      </c>
      <c r="H132" s="16"/>
      <c r="I132" s="16" t="s">
        <v>619</v>
      </c>
      <c r="J132" s="16" t="s">
        <v>620</v>
      </c>
      <c r="K132" s="16" t="s">
        <v>621</v>
      </c>
    </row>
    <row r="133" spans="1:11" ht="405" hidden="1" x14ac:dyDescent="0.25">
      <c r="A133" s="22">
        <v>130</v>
      </c>
      <c r="B133" s="16" t="s">
        <v>622</v>
      </c>
      <c r="C133" s="16" t="s">
        <v>623</v>
      </c>
      <c r="D133" s="16">
        <v>9381000</v>
      </c>
      <c r="E133" s="16">
        <v>4</v>
      </c>
      <c r="F133" s="16">
        <v>4</v>
      </c>
      <c r="G133" s="18" t="s">
        <v>108</v>
      </c>
      <c r="H133" s="16"/>
      <c r="I133" s="16" t="s">
        <v>624</v>
      </c>
      <c r="J133" s="16" t="s">
        <v>625</v>
      </c>
      <c r="K133" s="16" t="s">
        <v>626</v>
      </c>
    </row>
    <row r="134" spans="1:11" ht="409.5" hidden="1" x14ac:dyDescent="0.25">
      <c r="A134" s="22">
        <v>131</v>
      </c>
      <c r="B134" s="16" t="s">
        <v>627</v>
      </c>
      <c r="C134" s="16" t="s">
        <v>628</v>
      </c>
      <c r="D134" s="16">
        <v>7311000</v>
      </c>
      <c r="E134" s="16">
        <v>4</v>
      </c>
      <c r="F134" s="16">
        <v>4</v>
      </c>
      <c r="G134" s="18" t="s">
        <v>108</v>
      </c>
      <c r="H134" s="16"/>
      <c r="I134" s="16" t="s">
        <v>629</v>
      </c>
      <c r="J134" s="16" t="s">
        <v>630</v>
      </c>
      <c r="K134" s="16" t="s">
        <v>631</v>
      </c>
    </row>
    <row r="135" spans="1:11" ht="409.5" hidden="1" x14ac:dyDescent="0.25">
      <c r="A135" s="22">
        <v>132</v>
      </c>
      <c r="B135" s="16" t="s">
        <v>632</v>
      </c>
      <c r="C135" s="16" t="s">
        <v>633</v>
      </c>
      <c r="D135" s="16">
        <v>7379000</v>
      </c>
      <c r="E135" s="16">
        <v>4</v>
      </c>
      <c r="F135" s="16">
        <v>4</v>
      </c>
      <c r="G135" s="18" t="s">
        <v>108</v>
      </c>
      <c r="H135" s="16"/>
      <c r="I135" s="16" t="s">
        <v>629</v>
      </c>
      <c r="J135" s="16" t="s">
        <v>634</v>
      </c>
      <c r="K135" s="16" t="s">
        <v>631</v>
      </c>
    </row>
    <row r="136" spans="1:11" ht="409.5" hidden="1" x14ac:dyDescent="0.25">
      <c r="A136" s="22">
        <v>133</v>
      </c>
      <c r="B136" s="16" t="s">
        <v>635</v>
      </c>
      <c r="C136" s="16" t="s">
        <v>636</v>
      </c>
      <c r="D136" s="16">
        <v>7259000</v>
      </c>
      <c r="E136" s="16">
        <v>4</v>
      </c>
      <c r="F136" s="16">
        <v>4</v>
      </c>
      <c r="G136" s="18" t="s">
        <v>108</v>
      </c>
      <c r="H136" s="16"/>
      <c r="I136" s="16" t="s">
        <v>629</v>
      </c>
      <c r="J136" s="16" t="s">
        <v>637</v>
      </c>
      <c r="K136" s="16" t="s">
        <v>631</v>
      </c>
    </row>
    <row r="137" spans="1:11" ht="409.5" hidden="1" x14ac:dyDescent="0.25">
      <c r="A137" s="22">
        <v>134</v>
      </c>
      <c r="B137" s="16" t="s">
        <v>638</v>
      </c>
      <c r="C137" s="16" t="s">
        <v>639</v>
      </c>
      <c r="D137" s="16">
        <v>7311000</v>
      </c>
      <c r="E137" s="16">
        <v>4</v>
      </c>
      <c r="F137" s="16">
        <v>4</v>
      </c>
      <c r="G137" s="18" t="s">
        <v>108</v>
      </c>
      <c r="H137" s="16"/>
      <c r="I137" s="16" t="s">
        <v>629</v>
      </c>
      <c r="J137" s="16" t="s">
        <v>630</v>
      </c>
      <c r="K137" s="16" t="s">
        <v>631</v>
      </c>
    </row>
    <row r="138" spans="1:11" ht="285" hidden="1" x14ac:dyDescent="0.25">
      <c r="A138" s="22">
        <v>135</v>
      </c>
      <c r="B138" s="16" t="s">
        <v>640</v>
      </c>
      <c r="C138" s="16" t="s">
        <v>641</v>
      </c>
      <c r="D138" s="16">
        <v>0</v>
      </c>
      <c r="E138" s="16">
        <v>4</v>
      </c>
      <c r="F138" s="16">
        <v>4</v>
      </c>
      <c r="G138" s="18" t="s">
        <v>108</v>
      </c>
      <c r="H138" s="16"/>
      <c r="I138" s="16" t="s">
        <v>642</v>
      </c>
      <c r="J138" s="16" t="s">
        <v>643</v>
      </c>
      <c r="K138" s="16" t="s">
        <v>644</v>
      </c>
    </row>
    <row r="139" spans="1:11" ht="405" hidden="1" x14ac:dyDescent="0.25">
      <c r="A139" s="22">
        <v>136</v>
      </c>
      <c r="B139" s="16" t="s">
        <v>645</v>
      </c>
      <c r="C139" s="16" t="s">
        <v>646</v>
      </c>
      <c r="D139" s="16">
        <v>21820000</v>
      </c>
      <c r="E139" s="16">
        <v>4</v>
      </c>
      <c r="F139" s="16">
        <v>5</v>
      </c>
      <c r="G139" s="18" t="s">
        <v>108</v>
      </c>
      <c r="H139" s="16"/>
      <c r="I139" s="16" t="s">
        <v>647</v>
      </c>
      <c r="J139" s="16" t="s">
        <v>648</v>
      </c>
      <c r="K139" s="16" t="s">
        <v>649</v>
      </c>
    </row>
    <row r="140" spans="1:11" ht="225" hidden="1" x14ac:dyDescent="0.25">
      <c r="A140" s="22">
        <v>137</v>
      </c>
      <c r="B140" s="16" t="s">
        <v>650</v>
      </c>
      <c r="C140" s="16" t="s">
        <v>651</v>
      </c>
      <c r="D140" s="16">
        <v>40000000</v>
      </c>
      <c r="E140" s="16">
        <v>4</v>
      </c>
      <c r="F140" s="16">
        <v>4</v>
      </c>
      <c r="G140" s="18" t="s">
        <v>108</v>
      </c>
      <c r="H140" s="16"/>
      <c r="I140" s="16" t="s">
        <v>652</v>
      </c>
      <c r="J140" s="16" t="s">
        <v>653</v>
      </c>
      <c r="K140" s="16" t="s">
        <v>654</v>
      </c>
    </row>
    <row r="141" spans="1:11" ht="135" hidden="1" x14ac:dyDescent="0.25">
      <c r="A141" s="22">
        <v>138</v>
      </c>
      <c r="B141" s="16" t="s">
        <v>655</v>
      </c>
      <c r="C141" s="16" t="s">
        <v>656</v>
      </c>
      <c r="D141" s="16">
        <v>50535000</v>
      </c>
      <c r="E141" s="16">
        <v>4</v>
      </c>
      <c r="F141" s="16">
        <v>4</v>
      </c>
      <c r="G141" s="18" t="s">
        <v>108</v>
      </c>
      <c r="H141" s="16"/>
      <c r="I141" s="16" t="s">
        <v>657</v>
      </c>
      <c r="J141" s="16" t="s">
        <v>658</v>
      </c>
      <c r="K141" s="16" t="s">
        <v>659</v>
      </c>
    </row>
    <row r="142" spans="1:11" ht="225" hidden="1" x14ac:dyDescent="0.25">
      <c r="A142" s="22">
        <v>139</v>
      </c>
      <c r="B142" s="16" t="s">
        <v>660</v>
      </c>
      <c r="C142" s="16" t="s">
        <v>661</v>
      </c>
      <c r="D142" s="16">
        <v>48520000</v>
      </c>
      <c r="E142" s="16">
        <v>4</v>
      </c>
      <c r="F142" s="16">
        <v>4</v>
      </c>
      <c r="G142" s="18" t="s">
        <v>108</v>
      </c>
      <c r="H142" s="16"/>
      <c r="I142" s="16" t="s">
        <v>662</v>
      </c>
      <c r="J142" s="16" t="s">
        <v>663</v>
      </c>
      <c r="K142" s="16" t="s">
        <v>664</v>
      </c>
    </row>
    <row r="143" spans="1:11" ht="330" hidden="1" x14ac:dyDescent="0.25">
      <c r="A143" s="22">
        <v>140</v>
      </c>
      <c r="B143" s="16" t="s">
        <v>665</v>
      </c>
      <c r="C143" s="16" t="s">
        <v>666</v>
      </c>
      <c r="D143" s="16">
        <v>88389000</v>
      </c>
      <c r="E143" s="16">
        <v>4</v>
      </c>
      <c r="F143" s="16">
        <v>5</v>
      </c>
      <c r="G143" s="18" t="s">
        <v>108</v>
      </c>
      <c r="H143" s="16"/>
      <c r="I143" s="16" t="s">
        <v>667</v>
      </c>
      <c r="J143" s="16" t="s">
        <v>668</v>
      </c>
      <c r="K143" s="16" t="s">
        <v>669</v>
      </c>
    </row>
    <row r="144" spans="1:11" ht="300" hidden="1" x14ac:dyDescent="0.25">
      <c r="A144" s="22">
        <v>141</v>
      </c>
      <c r="B144" s="16" t="s">
        <v>670</v>
      </c>
      <c r="C144" s="16" t="s">
        <v>671</v>
      </c>
      <c r="D144" s="16">
        <v>41265000</v>
      </c>
      <c r="E144" s="16">
        <v>4</v>
      </c>
      <c r="F144" s="16">
        <v>5</v>
      </c>
      <c r="G144" s="18" t="s">
        <v>108</v>
      </c>
      <c r="H144" s="16"/>
      <c r="I144" s="16" t="s">
        <v>672</v>
      </c>
      <c r="J144" s="16" t="s">
        <v>673</v>
      </c>
      <c r="K144" s="16" t="s">
        <v>674</v>
      </c>
    </row>
    <row r="145" spans="1:11" ht="405" hidden="1" x14ac:dyDescent="0.25">
      <c r="A145" s="22">
        <v>142</v>
      </c>
      <c r="B145" s="16" t="s">
        <v>675</v>
      </c>
      <c r="C145" s="16" t="s">
        <v>676</v>
      </c>
      <c r="D145" s="16">
        <v>49116000</v>
      </c>
      <c r="E145" s="16">
        <v>4</v>
      </c>
      <c r="F145" s="16">
        <v>5</v>
      </c>
      <c r="G145" s="18" t="s">
        <v>108</v>
      </c>
      <c r="H145" s="16"/>
      <c r="I145" s="16" t="s">
        <v>667</v>
      </c>
      <c r="J145" s="16" t="s">
        <v>677</v>
      </c>
      <c r="K145" s="16" t="s">
        <v>669</v>
      </c>
    </row>
    <row r="146" spans="1:11" ht="409.5" hidden="1" x14ac:dyDescent="0.25">
      <c r="A146" s="22">
        <v>143</v>
      </c>
      <c r="B146" s="16" t="s">
        <v>678</v>
      </c>
      <c r="C146" s="16" t="s">
        <v>679</v>
      </c>
      <c r="D146" s="16">
        <v>17500000</v>
      </c>
      <c r="E146" s="16">
        <v>4</v>
      </c>
      <c r="F146" s="16">
        <v>4</v>
      </c>
      <c r="G146" s="18" t="s">
        <v>108</v>
      </c>
      <c r="H146" s="16"/>
      <c r="I146" s="16" t="s">
        <v>680</v>
      </c>
      <c r="J146" s="16" t="s">
        <v>681</v>
      </c>
      <c r="K146" s="16" t="s">
        <v>682</v>
      </c>
    </row>
    <row r="147" spans="1:11" ht="409.5" hidden="1" x14ac:dyDescent="0.25">
      <c r="A147" s="22">
        <v>144</v>
      </c>
      <c r="B147" s="16" t="s">
        <v>683</v>
      </c>
      <c r="C147" s="16" t="s">
        <v>684</v>
      </c>
      <c r="D147" s="16">
        <v>6640908</v>
      </c>
      <c r="E147" s="16">
        <v>4</v>
      </c>
      <c r="F147" s="16">
        <v>4</v>
      </c>
      <c r="G147" s="18" t="s">
        <v>108</v>
      </c>
      <c r="H147" s="16"/>
      <c r="I147" s="16" t="s">
        <v>685</v>
      </c>
      <c r="J147" s="16" t="s">
        <v>686</v>
      </c>
      <c r="K147" s="16" t="s">
        <v>687</v>
      </c>
    </row>
    <row r="148" spans="1:11" ht="409.5" hidden="1" x14ac:dyDescent="0.25">
      <c r="A148" s="22">
        <v>145</v>
      </c>
      <c r="B148" s="16" t="s">
        <v>688</v>
      </c>
      <c r="C148" s="16" t="s">
        <v>689</v>
      </c>
      <c r="D148" s="16">
        <v>43525000</v>
      </c>
      <c r="E148" s="16">
        <v>4</v>
      </c>
      <c r="F148" s="16">
        <v>4</v>
      </c>
      <c r="G148" s="18" t="s">
        <v>108</v>
      </c>
      <c r="H148" s="16"/>
      <c r="I148" s="16" t="s">
        <v>690</v>
      </c>
      <c r="J148" s="16" t="s">
        <v>691</v>
      </c>
      <c r="K148" s="16" t="s">
        <v>692</v>
      </c>
    </row>
    <row r="149" spans="1:11" ht="345" hidden="1" x14ac:dyDescent="0.25">
      <c r="A149" s="22">
        <v>146</v>
      </c>
      <c r="B149" s="16" t="s">
        <v>693</v>
      </c>
      <c r="C149" s="16" t="s">
        <v>694</v>
      </c>
      <c r="D149" s="16">
        <v>1040000</v>
      </c>
      <c r="E149" s="16">
        <v>4</v>
      </c>
      <c r="F149" s="16">
        <v>4</v>
      </c>
      <c r="G149" s="18" t="s">
        <v>108</v>
      </c>
      <c r="H149" s="16"/>
      <c r="I149" s="16" t="s">
        <v>695</v>
      </c>
      <c r="J149" s="16" t="s">
        <v>696</v>
      </c>
      <c r="K149" s="16" t="s">
        <v>697</v>
      </c>
    </row>
    <row r="150" spans="1:11" ht="409.5" hidden="1" x14ac:dyDescent="0.25">
      <c r="A150" s="22">
        <v>147</v>
      </c>
      <c r="B150" s="16" t="s">
        <v>698</v>
      </c>
      <c r="C150" s="16" t="s">
        <v>699</v>
      </c>
      <c r="D150" s="16">
        <v>86094598</v>
      </c>
      <c r="E150" s="16">
        <v>4</v>
      </c>
      <c r="F150" s="16">
        <v>4</v>
      </c>
      <c r="G150" s="18" t="s">
        <v>108</v>
      </c>
      <c r="H150" s="16"/>
      <c r="I150" s="16" t="s">
        <v>680</v>
      </c>
      <c r="J150" s="16" t="s">
        <v>700</v>
      </c>
      <c r="K150" s="16" t="s">
        <v>701</v>
      </c>
    </row>
    <row r="151" spans="1:11" ht="390" hidden="1" x14ac:dyDescent="0.25">
      <c r="A151" s="22">
        <v>148</v>
      </c>
      <c r="B151" s="16" t="s">
        <v>702</v>
      </c>
      <c r="C151" s="16" t="s">
        <v>703</v>
      </c>
      <c r="D151" s="16">
        <v>30239000</v>
      </c>
      <c r="E151" s="16">
        <v>4</v>
      </c>
      <c r="F151" s="16">
        <v>4</v>
      </c>
      <c r="G151" s="18" t="s">
        <v>108</v>
      </c>
      <c r="H151" s="16"/>
      <c r="I151" s="16" t="s">
        <v>704</v>
      </c>
      <c r="J151" s="16" t="s">
        <v>705</v>
      </c>
      <c r="K151" s="16" t="s">
        <v>706</v>
      </c>
    </row>
    <row r="152" spans="1:11" ht="409.5" hidden="1" x14ac:dyDescent="0.25">
      <c r="A152" s="22">
        <v>149</v>
      </c>
      <c r="B152" s="16" t="s">
        <v>707</v>
      </c>
      <c r="C152" s="16" t="s">
        <v>708</v>
      </c>
      <c r="D152" s="16">
        <v>276265000</v>
      </c>
      <c r="E152" s="16">
        <v>4</v>
      </c>
      <c r="F152" s="16">
        <v>4</v>
      </c>
      <c r="G152" s="18" t="s">
        <v>108</v>
      </c>
      <c r="H152" s="16"/>
      <c r="I152" s="16" t="s">
        <v>709</v>
      </c>
      <c r="J152" s="16" t="s">
        <v>710</v>
      </c>
      <c r="K152" s="16" t="s">
        <v>711</v>
      </c>
    </row>
    <row r="153" spans="1:11" ht="375" hidden="1" x14ac:dyDescent="0.25">
      <c r="A153" s="22">
        <v>150</v>
      </c>
      <c r="B153" s="16" t="s">
        <v>712</v>
      </c>
      <c r="C153" s="16" t="s">
        <v>713</v>
      </c>
      <c r="D153" s="16">
        <v>573730000</v>
      </c>
      <c r="E153" s="16">
        <v>4</v>
      </c>
      <c r="F153" s="16">
        <v>4</v>
      </c>
      <c r="G153" s="18" t="s">
        <v>108</v>
      </c>
      <c r="H153" s="16"/>
      <c r="I153" s="16" t="s">
        <v>714</v>
      </c>
      <c r="J153" s="16" t="s">
        <v>715</v>
      </c>
      <c r="K153" s="16" t="s">
        <v>716</v>
      </c>
    </row>
    <row r="154" spans="1:11" ht="255" hidden="1" x14ac:dyDescent="0.25">
      <c r="A154" s="22">
        <v>151</v>
      </c>
      <c r="B154" s="16" t="s">
        <v>717</v>
      </c>
      <c r="C154" s="16" t="s">
        <v>718</v>
      </c>
      <c r="D154" s="16">
        <v>1185384800</v>
      </c>
      <c r="E154" s="16">
        <v>4</v>
      </c>
      <c r="F154" s="16">
        <v>5</v>
      </c>
      <c r="G154" s="18" t="s">
        <v>108</v>
      </c>
      <c r="H154" s="16"/>
      <c r="I154" s="16" t="s">
        <v>719</v>
      </c>
      <c r="J154" s="16" t="s">
        <v>720</v>
      </c>
      <c r="K154" s="16" t="s">
        <v>721</v>
      </c>
    </row>
    <row r="155" spans="1:11" ht="240" hidden="1" x14ac:dyDescent="0.25">
      <c r="A155" s="22">
        <v>152</v>
      </c>
      <c r="B155" s="16" t="s">
        <v>722</v>
      </c>
      <c r="C155" s="16" t="s">
        <v>723</v>
      </c>
      <c r="D155" s="16">
        <v>234000000</v>
      </c>
      <c r="E155" s="16">
        <v>4</v>
      </c>
      <c r="F155" s="16">
        <v>5</v>
      </c>
      <c r="G155" s="18" t="s">
        <v>108</v>
      </c>
      <c r="H155" s="16"/>
      <c r="I155" s="16" t="s">
        <v>724</v>
      </c>
      <c r="J155" s="16" t="s">
        <v>725</v>
      </c>
      <c r="K155" s="16" t="s">
        <v>726</v>
      </c>
    </row>
    <row r="156" spans="1:11" ht="240" hidden="1" x14ac:dyDescent="0.25">
      <c r="A156" s="22">
        <v>153</v>
      </c>
      <c r="B156" s="16" t="s">
        <v>727</v>
      </c>
      <c r="C156" s="16" t="s">
        <v>728</v>
      </c>
      <c r="D156" s="16">
        <v>30000000</v>
      </c>
      <c r="E156" s="16">
        <v>4</v>
      </c>
      <c r="F156" s="16">
        <v>5</v>
      </c>
      <c r="G156" s="18" t="s">
        <v>108</v>
      </c>
      <c r="H156" s="16"/>
      <c r="I156" s="16" t="s">
        <v>724</v>
      </c>
      <c r="J156" s="16" t="s">
        <v>725</v>
      </c>
      <c r="K156" s="16" t="s">
        <v>726</v>
      </c>
    </row>
    <row r="157" spans="1:11" ht="195" hidden="1" x14ac:dyDescent="0.25">
      <c r="A157" s="22">
        <v>154</v>
      </c>
      <c r="B157" s="16" t="s">
        <v>729</v>
      </c>
      <c r="C157" s="16" t="s">
        <v>730</v>
      </c>
      <c r="D157" s="16">
        <v>488750000</v>
      </c>
      <c r="E157" s="16">
        <v>4</v>
      </c>
      <c r="F157" s="16">
        <v>5</v>
      </c>
      <c r="G157" s="18" t="s">
        <v>108</v>
      </c>
      <c r="H157" s="16"/>
      <c r="I157" s="16" t="s">
        <v>731</v>
      </c>
      <c r="J157" s="16" t="s">
        <v>732</v>
      </c>
      <c r="K157" s="16" t="s">
        <v>733</v>
      </c>
    </row>
    <row r="158" spans="1:11" ht="150" hidden="1" x14ac:dyDescent="0.25">
      <c r="A158" s="22">
        <v>155</v>
      </c>
      <c r="B158" s="16" t="s">
        <v>734</v>
      </c>
      <c r="C158" s="16" t="s">
        <v>735</v>
      </c>
      <c r="D158" s="16">
        <v>626000000</v>
      </c>
      <c r="E158" s="16">
        <v>4</v>
      </c>
      <c r="F158" s="16">
        <v>5</v>
      </c>
      <c r="G158" s="18" t="s">
        <v>108</v>
      </c>
      <c r="H158" s="16"/>
      <c r="I158" s="16" t="s">
        <v>736</v>
      </c>
      <c r="J158" s="16" t="s">
        <v>737</v>
      </c>
      <c r="K158" s="16" t="s">
        <v>738</v>
      </c>
    </row>
    <row r="159" spans="1:11" ht="120" hidden="1" x14ac:dyDescent="0.25">
      <c r="A159" s="22">
        <v>156</v>
      </c>
      <c r="B159" s="16" t="s">
        <v>739</v>
      </c>
      <c r="C159" s="16" t="s">
        <v>740</v>
      </c>
      <c r="D159" s="16">
        <v>120000000</v>
      </c>
      <c r="E159" s="16">
        <v>4</v>
      </c>
      <c r="F159" s="16">
        <v>5</v>
      </c>
      <c r="G159" s="18" t="s">
        <v>108</v>
      </c>
      <c r="H159" s="16"/>
      <c r="I159" s="16" t="s">
        <v>741</v>
      </c>
      <c r="J159" s="16" t="s">
        <v>742</v>
      </c>
      <c r="K159" s="16" t="s">
        <v>743</v>
      </c>
    </row>
    <row r="160" spans="1:11" ht="195" hidden="1" x14ac:dyDescent="0.25">
      <c r="A160" s="22">
        <v>157</v>
      </c>
      <c r="B160" s="16" t="s">
        <v>744</v>
      </c>
      <c r="C160" s="16" t="s">
        <v>745</v>
      </c>
      <c r="D160" s="16">
        <v>5827086050</v>
      </c>
      <c r="E160" s="16">
        <v>4</v>
      </c>
      <c r="F160" s="16">
        <v>4</v>
      </c>
      <c r="G160" s="18" t="s">
        <v>108</v>
      </c>
      <c r="H160" s="16"/>
      <c r="I160" s="16" t="s">
        <v>746</v>
      </c>
      <c r="J160" s="16" t="s">
        <v>747</v>
      </c>
      <c r="K160" s="16" t="s">
        <v>748</v>
      </c>
    </row>
    <row r="161" spans="1:11" ht="255" hidden="1" x14ac:dyDescent="0.25">
      <c r="A161" s="22">
        <v>158</v>
      </c>
      <c r="B161" s="16" t="s">
        <v>749</v>
      </c>
      <c r="C161" s="16" t="s">
        <v>750</v>
      </c>
      <c r="D161" s="16">
        <v>160000000</v>
      </c>
      <c r="E161" s="16">
        <v>4</v>
      </c>
      <c r="F161" s="16">
        <v>5</v>
      </c>
      <c r="G161" s="18" t="s">
        <v>108</v>
      </c>
      <c r="H161" s="16"/>
      <c r="I161" s="16" t="s">
        <v>751</v>
      </c>
      <c r="J161" s="16" t="s">
        <v>752</v>
      </c>
      <c r="K161" s="16" t="s">
        <v>753</v>
      </c>
    </row>
    <row r="162" spans="1:11" ht="409.5" hidden="1" x14ac:dyDescent="0.25">
      <c r="A162" s="22">
        <v>159</v>
      </c>
      <c r="B162" s="16" t="s">
        <v>754</v>
      </c>
      <c r="C162" s="16" t="s">
        <v>755</v>
      </c>
      <c r="D162" s="16">
        <v>950000000</v>
      </c>
      <c r="E162" s="16">
        <v>4</v>
      </c>
      <c r="F162" s="16">
        <v>5</v>
      </c>
      <c r="G162" s="18" t="s">
        <v>108</v>
      </c>
      <c r="H162" s="16"/>
      <c r="I162" s="16" t="s">
        <v>756</v>
      </c>
      <c r="J162" s="16" t="s">
        <v>757</v>
      </c>
      <c r="K162" s="16" t="s">
        <v>758</v>
      </c>
    </row>
    <row r="163" spans="1:11" ht="285" hidden="1" x14ac:dyDescent="0.25">
      <c r="A163" s="22">
        <v>160</v>
      </c>
      <c r="B163" s="16" t="s">
        <v>759</v>
      </c>
      <c r="C163" s="16" t="s">
        <v>760</v>
      </c>
      <c r="D163" s="16">
        <v>355000000</v>
      </c>
      <c r="E163" s="16">
        <v>4</v>
      </c>
      <c r="F163" s="16">
        <v>5</v>
      </c>
      <c r="G163" s="18" t="s">
        <v>108</v>
      </c>
      <c r="H163" s="16"/>
      <c r="I163" s="16" t="s">
        <v>761</v>
      </c>
      <c r="J163" s="16" t="s">
        <v>762</v>
      </c>
      <c r="K163" s="16" t="s">
        <v>753</v>
      </c>
    </row>
    <row r="164" spans="1:11" ht="285" hidden="1" x14ac:dyDescent="0.25">
      <c r="A164" s="22">
        <v>161</v>
      </c>
      <c r="B164" s="16" t="s">
        <v>763</v>
      </c>
      <c r="C164" s="16" t="s">
        <v>764</v>
      </c>
      <c r="D164" s="16">
        <v>11000000000</v>
      </c>
      <c r="E164" s="16">
        <v>4</v>
      </c>
      <c r="F164" s="16">
        <v>5</v>
      </c>
      <c r="G164" s="18" t="s">
        <v>108</v>
      </c>
      <c r="H164" s="16"/>
      <c r="I164" s="16" t="s">
        <v>761</v>
      </c>
      <c r="J164" s="16" t="s">
        <v>765</v>
      </c>
      <c r="K164" s="16" t="s">
        <v>753</v>
      </c>
    </row>
    <row r="165" spans="1:11" ht="285" hidden="1" x14ac:dyDescent="0.25">
      <c r="A165" s="22">
        <v>162</v>
      </c>
      <c r="B165" s="16" t="s">
        <v>766</v>
      </c>
      <c r="C165" s="16" t="s">
        <v>767</v>
      </c>
      <c r="D165" s="16">
        <v>50000000000</v>
      </c>
      <c r="E165" s="16">
        <v>4</v>
      </c>
      <c r="F165" s="16">
        <v>5</v>
      </c>
      <c r="G165" s="18" t="s">
        <v>108</v>
      </c>
      <c r="H165" s="16"/>
      <c r="I165" s="16" t="s">
        <v>761</v>
      </c>
      <c r="J165" s="16" t="s">
        <v>768</v>
      </c>
      <c r="K165" s="16" t="s">
        <v>753</v>
      </c>
    </row>
    <row r="166" spans="1:11" ht="255" hidden="1" x14ac:dyDescent="0.25">
      <c r="A166" s="22">
        <v>163</v>
      </c>
      <c r="B166" s="16" t="s">
        <v>769</v>
      </c>
      <c r="C166" s="16" t="s">
        <v>770</v>
      </c>
      <c r="D166" s="16">
        <v>249956000</v>
      </c>
      <c r="E166" s="16">
        <v>4</v>
      </c>
      <c r="F166" s="16">
        <v>4</v>
      </c>
      <c r="G166" s="18" t="s">
        <v>108</v>
      </c>
      <c r="H166" s="16"/>
      <c r="I166" s="16" t="s">
        <v>771</v>
      </c>
      <c r="J166" s="16" t="s">
        <v>772</v>
      </c>
      <c r="K166" s="16" t="s">
        <v>773</v>
      </c>
    </row>
    <row r="167" spans="1:11" ht="270" hidden="1" x14ac:dyDescent="0.25">
      <c r="A167" s="22">
        <v>164</v>
      </c>
      <c r="B167" s="16" t="s">
        <v>774</v>
      </c>
      <c r="C167" s="16" t="s">
        <v>775</v>
      </c>
      <c r="D167" s="16">
        <v>1500000000</v>
      </c>
      <c r="E167" s="16">
        <v>5</v>
      </c>
      <c r="F167" s="16">
        <v>4</v>
      </c>
      <c r="G167" s="18" t="s">
        <v>108</v>
      </c>
      <c r="H167" s="16"/>
      <c r="I167" s="16" t="s">
        <v>776</v>
      </c>
      <c r="J167" s="16" t="s">
        <v>777</v>
      </c>
      <c r="K167" s="16" t="s">
        <v>778</v>
      </c>
    </row>
    <row r="168" spans="1:11" ht="330" hidden="1" x14ac:dyDescent="0.25">
      <c r="A168" s="22">
        <v>165</v>
      </c>
      <c r="B168" s="16" t="s">
        <v>779</v>
      </c>
      <c r="C168" s="16" t="s">
        <v>780</v>
      </c>
      <c r="D168" s="16">
        <v>100000000</v>
      </c>
      <c r="E168" s="16">
        <v>4</v>
      </c>
      <c r="F168" s="16">
        <v>4</v>
      </c>
      <c r="G168" s="18" t="s">
        <v>108</v>
      </c>
      <c r="H168" s="16"/>
      <c r="I168" s="16" t="s">
        <v>781</v>
      </c>
      <c r="J168" s="16" t="s">
        <v>782</v>
      </c>
      <c r="K168" s="16" t="s">
        <v>783</v>
      </c>
    </row>
    <row r="169" spans="1:11" ht="270" hidden="1" x14ac:dyDescent="0.25">
      <c r="A169" s="22">
        <v>166</v>
      </c>
      <c r="B169" s="16" t="s">
        <v>784</v>
      </c>
      <c r="C169" s="16" t="s">
        <v>785</v>
      </c>
      <c r="D169" s="16">
        <v>2091125000</v>
      </c>
      <c r="E169" s="16">
        <v>4</v>
      </c>
      <c r="F169" s="16">
        <v>4</v>
      </c>
      <c r="G169" s="18" t="s">
        <v>108</v>
      </c>
      <c r="H169" s="16"/>
      <c r="I169" s="16" t="s">
        <v>786</v>
      </c>
      <c r="J169" s="16" t="s">
        <v>787</v>
      </c>
      <c r="K169" s="16" t="s">
        <v>788</v>
      </c>
    </row>
    <row r="170" spans="1:11" ht="225" hidden="1" x14ac:dyDescent="0.25">
      <c r="A170" s="22">
        <v>167</v>
      </c>
      <c r="B170" s="16" t="s">
        <v>789</v>
      </c>
      <c r="C170" s="16" t="s">
        <v>790</v>
      </c>
      <c r="D170" s="16">
        <v>650000000</v>
      </c>
      <c r="E170" s="16">
        <v>4</v>
      </c>
      <c r="F170" s="16">
        <v>4</v>
      </c>
      <c r="G170" s="18" t="s">
        <v>108</v>
      </c>
      <c r="H170" s="16"/>
      <c r="I170" s="16" t="s">
        <v>791</v>
      </c>
      <c r="J170" s="16" t="s">
        <v>792</v>
      </c>
      <c r="K170" s="16" t="s">
        <v>793</v>
      </c>
    </row>
    <row r="171" spans="1:11" ht="255" hidden="1" x14ac:dyDescent="0.25">
      <c r="A171" s="22">
        <v>168</v>
      </c>
      <c r="B171" s="16" t="s">
        <v>794</v>
      </c>
      <c r="C171" s="16" t="s">
        <v>795</v>
      </c>
      <c r="D171" s="16">
        <v>160000000</v>
      </c>
      <c r="E171" s="16">
        <v>4</v>
      </c>
      <c r="F171" s="16">
        <v>5</v>
      </c>
      <c r="G171" s="18" t="s">
        <v>108</v>
      </c>
      <c r="H171" s="16"/>
      <c r="I171" s="16" t="s">
        <v>751</v>
      </c>
      <c r="J171" s="16" t="s">
        <v>752</v>
      </c>
      <c r="K171" s="16" t="s">
        <v>753</v>
      </c>
    </row>
    <row r="172" spans="1:11" ht="285" hidden="1" x14ac:dyDescent="0.25">
      <c r="A172" s="22">
        <v>169</v>
      </c>
      <c r="B172" s="16" t="s">
        <v>796</v>
      </c>
      <c r="C172" s="16" t="s">
        <v>797</v>
      </c>
      <c r="D172" s="16">
        <v>11000000000</v>
      </c>
      <c r="E172" s="16">
        <v>4</v>
      </c>
      <c r="F172" s="16">
        <v>5</v>
      </c>
      <c r="G172" s="18" t="s">
        <v>108</v>
      </c>
      <c r="H172" s="16"/>
      <c r="I172" s="16" t="s">
        <v>761</v>
      </c>
      <c r="J172" s="16" t="s">
        <v>765</v>
      </c>
      <c r="K172" s="16" t="s">
        <v>753</v>
      </c>
    </row>
    <row r="173" spans="1:11" ht="285" hidden="1" x14ac:dyDescent="0.25">
      <c r="A173" s="22">
        <v>170</v>
      </c>
      <c r="B173" s="16" t="s">
        <v>798</v>
      </c>
      <c r="C173" s="16" t="s">
        <v>799</v>
      </c>
      <c r="D173" s="16">
        <v>50000000000</v>
      </c>
      <c r="E173" s="16">
        <v>4</v>
      </c>
      <c r="F173" s="16">
        <v>5</v>
      </c>
      <c r="G173" s="18" t="s">
        <v>108</v>
      </c>
      <c r="H173" s="16"/>
      <c r="I173" s="16" t="s">
        <v>761</v>
      </c>
      <c r="J173" s="16" t="s">
        <v>768</v>
      </c>
      <c r="K173" s="16" t="s">
        <v>753</v>
      </c>
    </row>
    <row r="174" spans="1:11" ht="255" hidden="1" x14ac:dyDescent="0.25">
      <c r="A174" s="22">
        <v>171</v>
      </c>
      <c r="B174" s="16" t="s">
        <v>800</v>
      </c>
      <c r="C174" s="16" t="s">
        <v>801</v>
      </c>
      <c r="D174" s="16">
        <v>1825639730</v>
      </c>
      <c r="E174" s="16">
        <v>4</v>
      </c>
      <c r="F174" s="16">
        <v>5</v>
      </c>
      <c r="G174" s="18" t="s">
        <v>108</v>
      </c>
      <c r="H174" s="16"/>
      <c r="I174" s="16" t="s">
        <v>771</v>
      </c>
      <c r="J174" s="16" t="s">
        <v>802</v>
      </c>
      <c r="K174" s="16" t="s">
        <v>803</v>
      </c>
    </row>
    <row r="175" spans="1:11" ht="285" hidden="1" x14ac:dyDescent="0.25">
      <c r="A175" s="22">
        <v>172</v>
      </c>
      <c r="B175" s="16" t="s">
        <v>804</v>
      </c>
      <c r="C175" s="16" t="s">
        <v>805</v>
      </c>
      <c r="D175" s="16">
        <v>355000000</v>
      </c>
      <c r="E175" s="16">
        <v>4</v>
      </c>
      <c r="F175" s="16">
        <v>5</v>
      </c>
      <c r="G175" s="18" t="s">
        <v>108</v>
      </c>
      <c r="H175" s="16"/>
      <c r="I175" s="16" t="s">
        <v>761</v>
      </c>
      <c r="J175" s="16" t="s">
        <v>762</v>
      </c>
      <c r="K175" s="16" t="s">
        <v>753</v>
      </c>
    </row>
    <row r="176" spans="1:11" ht="210" hidden="1" x14ac:dyDescent="0.25">
      <c r="A176" s="22">
        <v>173</v>
      </c>
      <c r="B176" s="16" t="s">
        <v>806</v>
      </c>
      <c r="C176" s="16" t="s">
        <v>807</v>
      </c>
      <c r="D176" s="16">
        <v>200000000</v>
      </c>
      <c r="E176" s="16">
        <v>4</v>
      </c>
      <c r="F176" s="16">
        <v>4</v>
      </c>
      <c r="G176" s="18" t="s">
        <v>108</v>
      </c>
      <c r="H176" s="16"/>
      <c r="I176" s="16" t="s">
        <v>771</v>
      </c>
      <c r="J176" s="16" t="s">
        <v>808</v>
      </c>
      <c r="K176" s="16" t="s">
        <v>809</v>
      </c>
    </row>
    <row r="177" spans="1:11" ht="315" hidden="1" x14ac:dyDescent="0.25">
      <c r="A177" s="22">
        <v>174</v>
      </c>
      <c r="B177" s="16" t="s">
        <v>810</v>
      </c>
      <c r="C177" s="16" t="s">
        <v>811</v>
      </c>
      <c r="D177" s="16">
        <v>800000000</v>
      </c>
      <c r="E177" s="16">
        <v>4</v>
      </c>
      <c r="F177" s="16">
        <v>4</v>
      </c>
      <c r="G177" s="18" t="s">
        <v>108</v>
      </c>
      <c r="H177" s="16"/>
      <c r="I177" s="16" t="s">
        <v>812</v>
      </c>
      <c r="J177" s="16" t="s">
        <v>813</v>
      </c>
      <c r="K177" s="16" t="s">
        <v>814</v>
      </c>
    </row>
    <row r="178" spans="1:11" ht="360" hidden="1" x14ac:dyDescent="0.25">
      <c r="A178" s="22">
        <v>175</v>
      </c>
      <c r="B178" s="16" t="s">
        <v>815</v>
      </c>
      <c r="C178" s="16" t="s">
        <v>816</v>
      </c>
      <c r="D178" s="16">
        <v>462000000</v>
      </c>
      <c r="E178" s="16">
        <v>4</v>
      </c>
      <c r="F178" s="16">
        <v>4</v>
      </c>
      <c r="G178" s="18" t="s">
        <v>108</v>
      </c>
      <c r="H178" s="16"/>
      <c r="I178" s="16" t="s">
        <v>817</v>
      </c>
      <c r="J178" s="16" t="s">
        <v>818</v>
      </c>
      <c r="K178" s="16" t="s">
        <v>819</v>
      </c>
    </row>
    <row r="179" spans="1:11" ht="360" hidden="1" x14ac:dyDescent="0.25">
      <c r="A179" s="22">
        <v>176</v>
      </c>
      <c r="B179" s="16" t="s">
        <v>820</v>
      </c>
      <c r="C179" s="16" t="s">
        <v>821</v>
      </c>
      <c r="D179" s="16">
        <v>122000000</v>
      </c>
      <c r="E179" s="16">
        <v>4</v>
      </c>
      <c r="F179" s="16">
        <v>5</v>
      </c>
      <c r="G179" s="18" t="s">
        <v>108</v>
      </c>
      <c r="H179" s="16"/>
      <c r="I179" s="16" t="s">
        <v>822</v>
      </c>
      <c r="J179" s="16" t="s">
        <v>823</v>
      </c>
      <c r="K179" s="16" t="s">
        <v>824</v>
      </c>
    </row>
    <row r="180" spans="1:11" ht="409.5" hidden="1" x14ac:dyDescent="0.25">
      <c r="A180" s="22">
        <v>177</v>
      </c>
      <c r="B180" s="16" t="s">
        <v>825</v>
      </c>
      <c r="C180" s="16" t="s">
        <v>826</v>
      </c>
      <c r="D180" s="16">
        <v>855850000</v>
      </c>
      <c r="E180" s="16">
        <v>4</v>
      </c>
      <c r="F180" s="16">
        <v>4</v>
      </c>
      <c r="G180" s="18" t="s">
        <v>108</v>
      </c>
      <c r="H180" s="16"/>
      <c r="I180" s="16" t="s">
        <v>827</v>
      </c>
      <c r="J180" s="16" t="s">
        <v>828</v>
      </c>
      <c r="K180" s="16" t="s">
        <v>829</v>
      </c>
    </row>
    <row r="181" spans="1:11" ht="375" hidden="1" x14ac:dyDescent="0.25">
      <c r="A181" s="22">
        <v>178</v>
      </c>
      <c r="B181" s="16" t="s">
        <v>830</v>
      </c>
      <c r="C181" s="16" t="s">
        <v>831</v>
      </c>
      <c r="D181" s="16">
        <v>228475000</v>
      </c>
      <c r="E181" s="16">
        <v>4</v>
      </c>
      <c r="F181" s="16">
        <v>4</v>
      </c>
      <c r="G181" s="18" t="s">
        <v>108</v>
      </c>
      <c r="H181" s="16"/>
      <c r="I181" s="16" t="s">
        <v>832</v>
      </c>
      <c r="J181" s="16" t="s">
        <v>833</v>
      </c>
      <c r="K181" s="16" t="s">
        <v>834</v>
      </c>
    </row>
    <row r="182" spans="1:11" ht="409.5" hidden="1" x14ac:dyDescent="0.25">
      <c r="A182" s="22">
        <v>179</v>
      </c>
      <c r="B182" s="16" t="s">
        <v>835</v>
      </c>
      <c r="C182" s="16" t="s">
        <v>836</v>
      </c>
      <c r="D182" s="16">
        <v>1891000000</v>
      </c>
      <c r="E182" s="16">
        <v>4</v>
      </c>
      <c r="F182" s="16">
        <v>4</v>
      </c>
      <c r="G182" s="18" t="s">
        <v>108</v>
      </c>
      <c r="H182" s="16"/>
      <c r="I182" s="16" t="s">
        <v>837</v>
      </c>
      <c r="J182" s="16" t="s">
        <v>838</v>
      </c>
      <c r="K182" s="16" t="s">
        <v>839</v>
      </c>
    </row>
    <row r="183" spans="1:11" ht="270" hidden="1" x14ac:dyDescent="0.25">
      <c r="A183" s="22">
        <v>180</v>
      </c>
      <c r="B183" s="16" t="s">
        <v>840</v>
      </c>
      <c r="C183" s="16" t="s">
        <v>841</v>
      </c>
      <c r="D183" s="16">
        <v>34629000</v>
      </c>
      <c r="E183" s="16">
        <v>4</v>
      </c>
      <c r="F183" s="16">
        <v>3</v>
      </c>
      <c r="G183" s="19" t="s">
        <v>842</v>
      </c>
      <c r="H183" s="16"/>
      <c r="I183" s="16" t="s">
        <v>843</v>
      </c>
      <c r="J183" s="16" t="s">
        <v>844</v>
      </c>
      <c r="K183" s="16" t="s">
        <v>845</v>
      </c>
    </row>
    <row r="184" spans="1:11" ht="240" hidden="1" x14ac:dyDescent="0.25">
      <c r="A184" s="22">
        <v>181</v>
      </c>
      <c r="B184" s="16" t="s">
        <v>846</v>
      </c>
      <c r="C184" s="16" t="s">
        <v>847</v>
      </c>
      <c r="D184" s="16">
        <v>12111000</v>
      </c>
      <c r="E184" s="16">
        <v>3</v>
      </c>
      <c r="F184" s="16">
        <v>5</v>
      </c>
      <c r="G184" s="19" t="s">
        <v>842</v>
      </c>
      <c r="H184" s="16"/>
      <c r="I184" s="16" t="s">
        <v>848</v>
      </c>
      <c r="J184" s="16" t="s">
        <v>849</v>
      </c>
      <c r="K184" s="16" t="s">
        <v>850</v>
      </c>
    </row>
    <row r="185" spans="1:11" ht="45" x14ac:dyDescent="0.25">
      <c r="A185" s="22">
        <v>182</v>
      </c>
      <c r="B185" s="16" t="s">
        <v>851</v>
      </c>
      <c r="C185" s="16" t="s">
        <v>852</v>
      </c>
      <c r="D185" s="16">
        <v>40000000</v>
      </c>
      <c r="E185" s="16">
        <v>3</v>
      </c>
      <c r="F185" s="16">
        <v>4</v>
      </c>
      <c r="G185" s="19" t="s">
        <v>842</v>
      </c>
      <c r="H185" s="16"/>
      <c r="I185" s="16"/>
      <c r="J185" s="16"/>
      <c r="K185" s="16"/>
    </row>
    <row r="186" spans="1:11" ht="180" x14ac:dyDescent="0.25">
      <c r="A186" s="22">
        <v>183</v>
      </c>
      <c r="B186" s="16" t="s">
        <v>853</v>
      </c>
      <c r="C186" s="16" t="s">
        <v>854</v>
      </c>
      <c r="D186" s="16">
        <v>35000000</v>
      </c>
      <c r="E186" s="16">
        <v>3</v>
      </c>
      <c r="F186" s="16">
        <v>4</v>
      </c>
      <c r="G186" s="19" t="s">
        <v>842</v>
      </c>
      <c r="H186" s="16"/>
      <c r="I186" s="16" t="s">
        <v>855</v>
      </c>
      <c r="J186" s="16" t="s">
        <v>855</v>
      </c>
      <c r="K186" s="16" t="s">
        <v>856</v>
      </c>
    </row>
    <row r="187" spans="1:11" ht="409.5" x14ac:dyDescent="0.25">
      <c r="A187" s="22">
        <v>184</v>
      </c>
      <c r="B187" s="16" t="s">
        <v>857</v>
      </c>
      <c r="C187" s="16" t="s">
        <v>858</v>
      </c>
      <c r="D187" s="16">
        <v>141185000</v>
      </c>
      <c r="E187" s="16">
        <v>3</v>
      </c>
      <c r="F187" s="16">
        <v>5</v>
      </c>
      <c r="G187" s="19" t="s">
        <v>842</v>
      </c>
      <c r="H187" s="16"/>
      <c r="I187" s="16" t="s">
        <v>859</v>
      </c>
      <c r="J187" s="16" t="s">
        <v>860</v>
      </c>
      <c r="K187" s="16" t="s">
        <v>861</v>
      </c>
    </row>
    <row r="188" spans="1:11" ht="195" x14ac:dyDescent="0.25">
      <c r="A188" s="22">
        <v>185</v>
      </c>
      <c r="B188" s="16" t="s">
        <v>862</v>
      </c>
      <c r="C188" s="16" t="s">
        <v>863</v>
      </c>
      <c r="D188" s="16">
        <v>86338000</v>
      </c>
      <c r="E188" s="16">
        <v>3</v>
      </c>
      <c r="F188" s="16">
        <v>5</v>
      </c>
      <c r="G188" s="19" t="s">
        <v>842</v>
      </c>
      <c r="H188" s="16"/>
      <c r="I188" s="16" t="s">
        <v>864</v>
      </c>
      <c r="J188" s="16" t="s">
        <v>865</v>
      </c>
      <c r="K188" s="16" t="s">
        <v>866</v>
      </c>
    </row>
    <row r="189" spans="1:11" ht="225" x14ac:dyDescent="0.25">
      <c r="A189" s="22">
        <v>186</v>
      </c>
      <c r="B189" s="16" t="s">
        <v>867</v>
      </c>
      <c r="C189" s="16" t="s">
        <v>868</v>
      </c>
      <c r="D189" s="16">
        <v>11780000</v>
      </c>
      <c r="E189" s="16">
        <v>3</v>
      </c>
      <c r="F189" s="16">
        <v>4</v>
      </c>
      <c r="G189" s="19" t="s">
        <v>842</v>
      </c>
      <c r="H189" s="16"/>
      <c r="I189" s="16" t="s">
        <v>869</v>
      </c>
      <c r="J189" s="16" t="s">
        <v>870</v>
      </c>
      <c r="K189" s="16" t="s">
        <v>871</v>
      </c>
    </row>
    <row r="190" spans="1:11" ht="270" x14ac:dyDescent="0.25">
      <c r="A190" s="22">
        <v>187</v>
      </c>
      <c r="B190" s="16" t="s">
        <v>872</v>
      </c>
      <c r="C190" s="16" t="s">
        <v>873</v>
      </c>
      <c r="D190" s="16">
        <v>12500000</v>
      </c>
      <c r="E190" s="16">
        <v>3</v>
      </c>
      <c r="F190" s="16">
        <v>4</v>
      </c>
      <c r="G190" s="19" t="s">
        <v>842</v>
      </c>
      <c r="H190" s="16"/>
      <c r="I190" s="16" t="s">
        <v>874</v>
      </c>
      <c r="J190" s="16" t="s">
        <v>875</v>
      </c>
      <c r="K190" s="16" t="s">
        <v>876</v>
      </c>
    </row>
    <row r="191" spans="1:11" ht="255" x14ac:dyDescent="0.25">
      <c r="A191" s="22">
        <v>188</v>
      </c>
      <c r="B191" s="16" t="s">
        <v>877</v>
      </c>
      <c r="C191" s="16" t="s">
        <v>878</v>
      </c>
      <c r="D191" s="16">
        <v>9300000</v>
      </c>
      <c r="E191" s="16">
        <v>4</v>
      </c>
      <c r="F191" s="16">
        <v>3</v>
      </c>
      <c r="G191" s="19" t="s">
        <v>842</v>
      </c>
      <c r="H191" s="16"/>
      <c r="I191" s="16" t="s">
        <v>879</v>
      </c>
      <c r="J191" s="16" t="s">
        <v>880</v>
      </c>
      <c r="K191" s="16" t="s">
        <v>881</v>
      </c>
    </row>
    <row r="192" spans="1:11" ht="255" x14ac:dyDescent="0.25">
      <c r="A192" s="22">
        <v>189</v>
      </c>
      <c r="B192" s="16" t="s">
        <v>882</v>
      </c>
      <c r="C192" s="16" t="s">
        <v>883</v>
      </c>
      <c r="D192" s="16">
        <v>8980000</v>
      </c>
      <c r="E192" s="16">
        <v>4</v>
      </c>
      <c r="F192" s="16">
        <v>3</v>
      </c>
      <c r="G192" s="19" t="s">
        <v>842</v>
      </c>
      <c r="H192" s="16"/>
      <c r="I192" s="16" t="s">
        <v>884</v>
      </c>
      <c r="J192" s="16" t="s">
        <v>885</v>
      </c>
      <c r="K192" s="16" t="s">
        <v>886</v>
      </c>
    </row>
    <row r="193" spans="1:11" ht="240" x14ac:dyDescent="0.25">
      <c r="A193" s="22">
        <v>190</v>
      </c>
      <c r="B193" s="16" t="s">
        <v>887</v>
      </c>
      <c r="C193" s="16" t="s">
        <v>888</v>
      </c>
      <c r="D193" s="16">
        <v>91456000</v>
      </c>
      <c r="E193" s="16">
        <v>3</v>
      </c>
      <c r="F193" s="16">
        <v>5</v>
      </c>
      <c r="G193" s="19" t="s">
        <v>842</v>
      </c>
      <c r="H193" s="16"/>
      <c r="I193" s="16" t="s">
        <v>889</v>
      </c>
      <c r="J193" s="16" t="s">
        <v>890</v>
      </c>
      <c r="K193" s="16" t="s">
        <v>891</v>
      </c>
    </row>
    <row r="194" spans="1:11" ht="210" hidden="1" x14ac:dyDescent="0.25">
      <c r="A194" s="22">
        <v>191</v>
      </c>
      <c r="B194" s="16" t="s">
        <v>892</v>
      </c>
      <c r="C194" s="16" t="s">
        <v>893</v>
      </c>
      <c r="D194" s="16">
        <v>8839000</v>
      </c>
      <c r="E194" s="16">
        <v>4</v>
      </c>
      <c r="F194" s="16">
        <v>3</v>
      </c>
      <c r="G194" s="19" t="s">
        <v>842</v>
      </c>
      <c r="H194" s="16"/>
      <c r="I194" s="16" t="s">
        <v>894</v>
      </c>
      <c r="J194" s="16" t="s">
        <v>895</v>
      </c>
      <c r="K194" s="16" t="s">
        <v>896</v>
      </c>
    </row>
    <row r="195" spans="1:11" ht="240" hidden="1" x14ac:dyDescent="0.25">
      <c r="A195" s="22">
        <v>192</v>
      </c>
      <c r="B195" s="16" t="s">
        <v>897</v>
      </c>
      <c r="C195" s="16" t="s">
        <v>898</v>
      </c>
      <c r="D195" s="16">
        <v>15550000</v>
      </c>
      <c r="E195" s="16">
        <v>4</v>
      </c>
      <c r="F195" s="16">
        <v>3</v>
      </c>
      <c r="G195" s="19" t="s">
        <v>842</v>
      </c>
      <c r="H195" s="16"/>
      <c r="I195" s="16" t="s">
        <v>899</v>
      </c>
      <c r="J195" s="16" t="s">
        <v>900</v>
      </c>
      <c r="K195" s="16" t="s">
        <v>901</v>
      </c>
    </row>
    <row r="196" spans="1:11" ht="285" hidden="1" x14ac:dyDescent="0.25">
      <c r="A196" s="22">
        <v>193</v>
      </c>
      <c r="B196" s="16" t="s">
        <v>902</v>
      </c>
      <c r="C196" s="16" t="s">
        <v>903</v>
      </c>
      <c r="D196" s="16">
        <v>29851000</v>
      </c>
      <c r="E196" s="16">
        <v>3</v>
      </c>
      <c r="F196" s="16">
        <v>5</v>
      </c>
      <c r="G196" s="19" t="s">
        <v>842</v>
      </c>
      <c r="H196" s="16"/>
      <c r="I196" s="16" t="s">
        <v>904</v>
      </c>
      <c r="J196" s="16" t="s">
        <v>905</v>
      </c>
      <c r="K196" s="16" t="s">
        <v>906</v>
      </c>
    </row>
    <row r="197" spans="1:11" ht="270" hidden="1" x14ac:dyDescent="0.25">
      <c r="A197" s="22">
        <v>194</v>
      </c>
      <c r="B197" s="16" t="s">
        <v>907</v>
      </c>
      <c r="C197" s="16" t="s">
        <v>908</v>
      </c>
      <c r="D197" s="16">
        <v>99073750</v>
      </c>
      <c r="E197" s="16">
        <v>3</v>
      </c>
      <c r="F197" s="16">
        <v>5</v>
      </c>
      <c r="G197" s="19" t="s">
        <v>842</v>
      </c>
      <c r="H197" s="16"/>
      <c r="I197" s="16" t="s">
        <v>909</v>
      </c>
      <c r="J197" s="16" t="s">
        <v>910</v>
      </c>
      <c r="K197" s="16" t="s">
        <v>911</v>
      </c>
    </row>
    <row r="198" spans="1:11" ht="225" hidden="1" x14ac:dyDescent="0.25">
      <c r="A198" s="22">
        <v>195</v>
      </c>
      <c r="B198" s="16" t="s">
        <v>912</v>
      </c>
      <c r="C198" s="16" t="s">
        <v>913</v>
      </c>
      <c r="D198" s="16">
        <v>9500000</v>
      </c>
      <c r="E198" s="16">
        <v>4</v>
      </c>
      <c r="F198" s="16">
        <v>3</v>
      </c>
      <c r="G198" s="19" t="s">
        <v>842</v>
      </c>
      <c r="H198" s="16"/>
      <c r="I198" s="16" t="s">
        <v>914</v>
      </c>
      <c r="J198" s="16" t="s">
        <v>915</v>
      </c>
      <c r="K198" s="16" t="s">
        <v>916</v>
      </c>
    </row>
    <row r="199" spans="1:11" ht="270" hidden="1" x14ac:dyDescent="0.25">
      <c r="A199" s="22">
        <v>196</v>
      </c>
      <c r="B199" s="16" t="s">
        <v>917</v>
      </c>
      <c r="C199" s="16" t="s">
        <v>918</v>
      </c>
      <c r="D199" s="16">
        <v>17975000</v>
      </c>
      <c r="E199" s="16">
        <v>3</v>
      </c>
      <c r="F199" s="16">
        <v>4</v>
      </c>
      <c r="G199" s="19" t="s">
        <v>842</v>
      </c>
      <c r="H199" s="16"/>
      <c r="I199" s="16" t="s">
        <v>919</v>
      </c>
      <c r="J199" s="16" t="s">
        <v>920</v>
      </c>
      <c r="K199" s="16" t="s">
        <v>921</v>
      </c>
    </row>
    <row r="200" spans="1:11" ht="255" hidden="1" x14ac:dyDescent="0.25">
      <c r="A200" s="22">
        <v>197</v>
      </c>
      <c r="B200" s="16" t="s">
        <v>922</v>
      </c>
      <c r="C200" s="16" t="s">
        <v>923</v>
      </c>
      <c r="D200" s="16">
        <v>17869000</v>
      </c>
      <c r="E200" s="16">
        <v>3</v>
      </c>
      <c r="F200" s="16">
        <v>4</v>
      </c>
      <c r="G200" s="19" t="s">
        <v>842</v>
      </c>
      <c r="H200" s="16"/>
      <c r="I200" s="16" t="s">
        <v>924</v>
      </c>
      <c r="J200" s="16" t="s">
        <v>925</v>
      </c>
      <c r="K200" s="16" t="s">
        <v>926</v>
      </c>
    </row>
    <row r="201" spans="1:11" ht="270" hidden="1" x14ac:dyDescent="0.25">
      <c r="A201" s="22">
        <v>198</v>
      </c>
      <c r="B201" s="16" t="s">
        <v>927</v>
      </c>
      <c r="C201" s="16" t="s">
        <v>928</v>
      </c>
      <c r="D201" s="16">
        <v>19425000</v>
      </c>
      <c r="E201" s="16">
        <v>3</v>
      </c>
      <c r="F201" s="16">
        <v>5</v>
      </c>
      <c r="G201" s="19" t="s">
        <v>842</v>
      </c>
      <c r="H201" s="16"/>
      <c r="I201" s="16" t="s">
        <v>929</v>
      </c>
      <c r="J201" s="16" t="s">
        <v>930</v>
      </c>
      <c r="K201" s="16" t="s">
        <v>931</v>
      </c>
    </row>
    <row r="202" spans="1:11" ht="345" hidden="1" x14ac:dyDescent="0.25">
      <c r="A202" s="22">
        <v>199</v>
      </c>
      <c r="B202" s="16" t="s">
        <v>932</v>
      </c>
      <c r="C202" s="16" t="s">
        <v>933</v>
      </c>
      <c r="D202" s="16">
        <v>7000000</v>
      </c>
      <c r="E202" s="16">
        <v>3</v>
      </c>
      <c r="F202" s="16">
        <v>4</v>
      </c>
      <c r="G202" s="19" t="s">
        <v>842</v>
      </c>
      <c r="H202" s="16"/>
      <c r="I202" s="16" t="s">
        <v>934</v>
      </c>
      <c r="J202" s="16" t="s">
        <v>935</v>
      </c>
      <c r="K202" s="16" t="s">
        <v>936</v>
      </c>
    </row>
    <row r="203" spans="1:11" ht="300" hidden="1" x14ac:dyDescent="0.25">
      <c r="A203" s="22">
        <v>200</v>
      </c>
      <c r="B203" s="16" t="s">
        <v>937</v>
      </c>
      <c r="C203" s="16" t="s">
        <v>938</v>
      </c>
      <c r="D203" s="16">
        <v>44400000</v>
      </c>
      <c r="E203" s="16">
        <v>3</v>
      </c>
      <c r="F203" s="16">
        <v>5</v>
      </c>
      <c r="G203" s="19" t="s">
        <v>842</v>
      </c>
      <c r="H203" s="16"/>
      <c r="I203" s="16" t="s">
        <v>939</v>
      </c>
      <c r="J203" s="16" t="s">
        <v>940</v>
      </c>
      <c r="K203" s="16" t="s">
        <v>941</v>
      </c>
    </row>
    <row r="204" spans="1:11" ht="240" hidden="1" x14ac:dyDescent="0.25">
      <c r="A204" s="22">
        <v>201</v>
      </c>
      <c r="B204" s="16" t="s">
        <v>942</v>
      </c>
      <c r="C204" s="16" t="s">
        <v>943</v>
      </c>
      <c r="D204" s="16">
        <v>84857582</v>
      </c>
      <c r="E204" s="16">
        <v>4</v>
      </c>
      <c r="F204" s="16">
        <v>3</v>
      </c>
      <c r="G204" s="19" t="s">
        <v>842</v>
      </c>
      <c r="H204" s="16"/>
      <c r="I204" s="16" t="s">
        <v>944</v>
      </c>
      <c r="J204" s="16" t="s">
        <v>945</v>
      </c>
      <c r="K204" s="16" t="s">
        <v>946</v>
      </c>
    </row>
    <row r="205" spans="1:11" ht="360" hidden="1" x14ac:dyDescent="0.25">
      <c r="A205" s="22">
        <v>202</v>
      </c>
      <c r="B205" s="16" t="s">
        <v>947</v>
      </c>
      <c r="C205" s="16" t="s">
        <v>948</v>
      </c>
      <c r="D205" s="16">
        <v>8214000</v>
      </c>
      <c r="E205" s="16">
        <v>3</v>
      </c>
      <c r="F205" s="16">
        <v>4</v>
      </c>
      <c r="G205" s="19" t="s">
        <v>842</v>
      </c>
      <c r="H205" s="16"/>
      <c r="I205" s="16" t="s">
        <v>949</v>
      </c>
      <c r="J205" s="16" t="s">
        <v>950</v>
      </c>
      <c r="K205" s="16" t="s">
        <v>951</v>
      </c>
    </row>
    <row r="206" spans="1:11" ht="225" hidden="1" x14ac:dyDescent="0.25">
      <c r="A206" s="22">
        <v>203</v>
      </c>
      <c r="B206" s="16" t="s">
        <v>952</v>
      </c>
      <c r="C206" s="16" t="s">
        <v>953</v>
      </c>
      <c r="D206" s="16">
        <v>9500000</v>
      </c>
      <c r="E206" s="16">
        <v>4</v>
      </c>
      <c r="F206" s="16">
        <v>3</v>
      </c>
      <c r="G206" s="19" t="s">
        <v>842</v>
      </c>
      <c r="H206" s="16"/>
      <c r="I206" s="16" t="s">
        <v>914</v>
      </c>
      <c r="J206" s="16" t="s">
        <v>915</v>
      </c>
      <c r="K206" s="16" t="s">
        <v>916</v>
      </c>
    </row>
    <row r="207" spans="1:11" ht="285" hidden="1" x14ac:dyDescent="0.25">
      <c r="A207" s="22">
        <v>204</v>
      </c>
      <c r="B207" s="16" t="s">
        <v>954</v>
      </c>
      <c r="C207" s="16" t="s">
        <v>955</v>
      </c>
      <c r="D207" s="16">
        <v>19475000</v>
      </c>
      <c r="E207" s="16">
        <v>4</v>
      </c>
      <c r="F207" s="16">
        <v>3</v>
      </c>
      <c r="G207" s="19" t="s">
        <v>842</v>
      </c>
      <c r="H207" s="16"/>
      <c r="I207" s="16" t="s">
        <v>956</v>
      </c>
      <c r="J207" s="16" t="s">
        <v>957</v>
      </c>
      <c r="K207" s="16" t="s">
        <v>958</v>
      </c>
    </row>
    <row r="208" spans="1:11" ht="270" hidden="1" x14ac:dyDescent="0.25">
      <c r="A208" s="22">
        <v>205</v>
      </c>
      <c r="B208" s="16" t="s">
        <v>959</v>
      </c>
      <c r="C208" s="16" t="s">
        <v>960</v>
      </c>
      <c r="D208" s="16">
        <v>15000000</v>
      </c>
      <c r="E208" s="16">
        <v>3</v>
      </c>
      <c r="F208" s="16">
        <v>4</v>
      </c>
      <c r="G208" s="19" t="s">
        <v>842</v>
      </c>
      <c r="H208" s="16"/>
      <c r="I208" s="16" t="s">
        <v>919</v>
      </c>
      <c r="J208" s="16" t="s">
        <v>920</v>
      </c>
      <c r="K208" s="16" t="s">
        <v>921</v>
      </c>
    </row>
    <row r="209" spans="1:11" ht="409.5" hidden="1" x14ac:dyDescent="0.25">
      <c r="A209" s="22">
        <v>206</v>
      </c>
      <c r="B209" s="16" t="s">
        <v>961</v>
      </c>
      <c r="C209" s="16" t="s">
        <v>962</v>
      </c>
      <c r="D209" s="16">
        <v>15190000</v>
      </c>
      <c r="E209" s="16">
        <v>3</v>
      </c>
      <c r="F209" s="16">
        <v>5</v>
      </c>
      <c r="G209" s="19" t="s">
        <v>842</v>
      </c>
      <c r="H209" s="16"/>
      <c r="I209" s="16" t="s">
        <v>963</v>
      </c>
      <c r="J209" s="16" t="s">
        <v>964</v>
      </c>
      <c r="K209" s="16" t="s">
        <v>965</v>
      </c>
    </row>
    <row r="210" spans="1:11" ht="315" hidden="1" x14ac:dyDescent="0.25">
      <c r="A210" s="22">
        <v>207</v>
      </c>
      <c r="B210" s="16" t="s">
        <v>966</v>
      </c>
      <c r="C210" s="16" t="s">
        <v>967</v>
      </c>
      <c r="D210" s="16">
        <v>20320000</v>
      </c>
      <c r="E210" s="16">
        <v>3</v>
      </c>
      <c r="F210" s="16">
        <v>5</v>
      </c>
      <c r="G210" s="19" t="s">
        <v>842</v>
      </c>
      <c r="H210" s="16"/>
      <c r="I210" s="16" t="s">
        <v>968</v>
      </c>
      <c r="J210" s="16" t="s">
        <v>969</v>
      </c>
      <c r="K210" s="16" t="s">
        <v>970</v>
      </c>
    </row>
    <row r="211" spans="1:11" ht="285" hidden="1" x14ac:dyDescent="0.25">
      <c r="A211" s="22">
        <v>208</v>
      </c>
      <c r="B211" s="16" t="s">
        <v>971</v>
      </c>
      <c r="C211" s="16" t="s">
        <v>972</v>
      </c>
      <c r="D211" s="16">
        <v>12650000</v>
      </c>
      <c r="E211" s="16">
        <v>3</v>
      </c>
      <c r="F211" s="16">
        <v>5</v>
      </c>
      <c r="G211" s="19" t="s">
        <v>842</v>
      </c>
      <c r="H211" s="16"/>
      <c r="I211" s="16" t="s">
        <v>973</v>
      </c>
      <c r="J211" s="16" t="s">
        <v>974</v>
      </c>
      <c r="K211" s="16" t="s">
        <v>975</v>
      </c>
    </row>
    <row r="212" spans="1:11" ht="409.5" hidden="1" x14ac:dyDescent="0.25">
      <c r="A212" s="22">
        <v>209</v>
      </c>
      <c r="B212" s="16" t="s">
        <v>976</v>
      </c>
      <c r="C212" s="16" t="s">
        <v>977</v>
      </c>
      <c r="D212" s="16">
        <v>29490000</v>
      </c>
      <c r="E212" s="16">
        <v>3</v>
      </c>
      <c r="F212" s="16">
        <v>4</v>
      </c>
      <c r="G212" s="19" t="s">
        <v>842</v>
      </c>
      <c r="H212" s="16"/>
      <c r="I212" s="16" t="s">
        <v>978</v>
      </c>
      <c r="J212" s="16" t="s">
        <v>979</v>
      </c>
      <c r="K212" s="16" t="s">
        <v>980</v>
      </c>
    </row>
    <row r="213" spans="1:11" ht="409.5" hidden="1" x14ac:dyDescent="0.25">
      <c r="A213" s="22">
        <v>210</v>
      </c>
      <c r="B213" s="16" t="s">
        <v>981</v>
      </c>
      <c r="C213" s="16" t="s">
        <v>982</v>
      </c>
      <c r="D213" s="16">
        <v>14170000</v>
      </c>
      <c r="E213" s="16">
        <v>3</v>
      </c>
      <c r="F213" s="16">
        <v>4</v>
      </c>
      <c r="G213" s="19" t="s">
        <v>842</v>
      </c>
      <c r="H213" s="16"/>
      <c r="I213" s="16" t="s">
        <v>983</v>
      </c>
      <c r="J213" s="16" t="s">
        <v>984</v>
      </c>
      <c r="K213" s="16" t="s">
        <v>985</v>
      </c>
    </row>
    <row r="214" spans="1:11" ht="270" hidden="1" x14ac:dyDescent="0.25">
      <c r="A214" s="22">
        <v>211</v>
      </c>
      <c r="B214" s="16" t="s">
        <v>986</v>
      </c>
      <c r="C214" s="16" t="s">
        <v>987</v>
      </c>
      <c r="D214" s="16">
        <v>37625000</v>
      </c>
      <c r="E214" s="16">
        <v>4</v>
      </c>
      <c r="F214" s="16">
        <v>3</v>
      </c>
      <c r="G214" s="19" t="s">
        <v>842</v>
      </c>
      <c r="H214" s="16"/>
      <c r="I214" s="16" t="s">
        <v>988</v>
      </c>
      <c r="J214" s="16" t="s">
        <v>989</v>
      </c>
      <c r="K214" s="16" t="s">
        <v>990</v>
      </c>
    </row>
    <row r="215" spans="1:11" ht="409.5" hidden="1" x14ac:dyDescent="0.25">
      <c r="A215" s="22">
        <v>212</v>
      </c>
      <c r="B215" s="16" t="s">
        <v>991</v>
      </c>
      <c r="C215" s="16" t="s">
        <v>992</v>
      </c>
      <c r="D215" s="16">
        <v>14170000</v>
      </c>
      <c r="E215" s="16">
        <v>3</v>
      </c>
      <c r="F215" s="16">
        <v>4</v>
      </c>
      <c r="G215" s="19" t="s">
        <v>842</v>
      </c>
      <c r="H215" s="16"/>
      <c r="I215" s="16" t="s">
        <v>983</v>
      </c>
      <c r="J215" s="16" t="s">
        <v>984</v>
      </c>
      <c r="K215" s="16" t="s">
        <v>985</v>
      </c>
    </row>
    <row r="216" spans="1:11" ht="270" hidden="1" x14ac:dyDescent="0.25">
      <c r="A216" s="22">
        <v>213</v>
      </c>
      <c r="B216" s="16" t="s">
        <v>993</v>
      </c>
      <c r="C216" s="16" t="s">
        <v>994</v>
      </c>
      <c r="D216" s="16">
        <v>220470000</v>
      </c>
      <c r="E216" s="16">
        <v>3</v>
      </c>
      <c r="F216" s="16">
        <v>5</v>
      </c>
      <c r="G216" s="19" t="s">
        <v>842</v>
      </c>
      <c r="H216" s="16"/>
      <c r="I216" s="16" t="s">
        <v>909</v>
      </c>
      <c r="J216" s="16" t="s">
        <v>910</v>
      </c>
      <c r="K216" s="16" t="s">
        <v>911</v>
      </c>
    </row>
    <row r="217" spans="1:11" ht="195" hidden="1" x14ac:dyDescent="0.25">
      <c r="A217" s="22">
        <v>214</v>
      </c>
      <c r="B217" s="16" t="s">
        <v>995</v>
      </c>
      <c r="C217" s="16" t="s">
        <v>996</v>
      </c>
      <c r="D217" s="16">
        <v>7795000</v>
      </c>
      <c r="E217" s="16">
        <v>3</v>
      </c>
      <c r="F217" s="16">
        <v>5</v>
      </c>
      <c r="G217" s="19" t="s">
        <v>842</v>
      </c>
      <c r="H217" s="16"/>
      <c r="I217" s="16" t="s">
        <v>129</v>
      </c>
      <c r="J217" s="16" t="s">
        <v>997</v>
      </c>
      <c r="K217" s="16" t="s">
        <v>998</v>
      </c>
    </row>
    <row r="218" spans="1:11" ht="240" hidden="1" x14ac:dyDescent="0.25">
      <c r="A218" s="22">
        <v>215</v>
      </c>
      <c r="B218" s="16" t="s">
        <v>999</v>
      </c>
      <c r="C218" s="16" t="s">
        <v>1000</v>
      </c>
      <c r="D218" s="16">
        <v>12714000</v>
      </c>
      <c r="E218" s="16">
        <v>4</v>
      </c>
      <c r="F218" s="16">
        <v>3</v>
      </c>
      <c r="G218" s="19" t="s">
        <v>842</v>
      </c>
      <c r="H218" s="16"/>
      <c r="I218" s="16" t="s">
        <v>1001</v>
      </c>
      <c r="J218" s="16" t="s">
        <v>1002</v>
      </c>
      <c r="K218" s="16" t="s">
        <v>1003</v>
      </c>
    </row>
    <row r="219" spans="1:11" ht="225" hidden="1" x14ac:dyDescent="0.25">
      <c r="A219" s="22">
        <v>216</v>
      </c>
      <c r="B219" s="16" t="s">
        <v>1004</v>
      </c>
      <c r="C219" s="16" t="s">
        <v>1005</v>
      </c>
      <c r="D219" s="16">
        <v>9500000</v>
      </c>
      <c r="E219" s="16">
        <v>4</v>
      </c>
      <c r="F219" s="16">
        <v>3</v>
      </c>
      <c r="G219" s="19" t="s">
        <v>842</v>
      </c>
      <c r="H219" s="16"/>
      <c r="I219" s="16" t="s">
        <v>1006</v>
      </c>
      <c r="J219" s="16" t="s">
        <v>915</v>
      </c>
      <c r="K219" s="16" t="s">
        <v>916</v>
      </c>
    </row>
    <row r="220" spans="1:11" ht="255" hidden="1" x14ac:dyDescent="0.25">
      <c r="A220" s="22">
        <v>217</v>
      </c>
      <c r="B220" s="16" t="s">
        <v>1007</v>
      </c>
      <c r="C220" s="16" t="s">
        <v>1008</v>
      </c>
      <c r="D220" s="16">
        <v>11235000</v>
      </c>
      <c r="E220" s="16">
        <v>3</v>
      </c>
      <c r="F220" s="16">
        <v>4</v>
      </c>
      <c r="G220" s="19" t="s">
        <v>842</v>
      </c>
      <c r="H220" s="16"/>
      <c r="I220" s="16" t="s">
        <v>1009</v>
      </c>
      <c r="J220" s="16" t="s">
        <v>1010</v>
      </c>
      <c r="K220" s="16" t="s">
        <v>1011</v>
      </c>
    </row>
    <row r="221" spans="1:11" ht="240" hidden="1" x14ac:dyDescent="0.25">
      <c r="A221" s="22">
        <v>218</v>
      </c>
      <c r="B221" s="16" t="s">
        <v>1012</v>
      </c>
      <c r="C221" s="16" t="s">
        <v>1013</v>
      </c>
      <c r="D221" s="16">
        <v>7695000</v>
      </c>
      <c r="E221" s="16">
        <v>4</v>
      </c>
      <c r="F221" s="16">
        <v>3</v>
      </c>
      <c r="G221" s="19" t="s">
        <v>842</v>
      </c>
      <c r="H221" s="16"/>
      <c r="I221" s="16" t="s">
        <v>1014</v>
      </c>
      <c r="J221" s="16" t="s">
        <v>1015</v>
      </c>
      <c r="K221" s="16" t="s">
        <v>1016</v>
      </c>
    </row>
    <row r="222" spans="1:11" ht="240" hidden="1" x14ac:dyDescent="0.25">
      <c r="A222" s="22">
        <v>219</v>
      </c>
      <c r="B222" s="16" t="s">
        <v>1017</v>
      </c>
      <c r="C222" s="16" t="s">
        <v>1018</v>
      </c>
      <c r="D222" s="16">
        <v>41310000</v>
      </c>
      <c r="E222" s="16">
        <v>3</v>
      </c>
      <c r="F222" s="16">
        <v>4</v>
      </c>
      <c r="G222" s="19" t="s">
        <v>842</v>
      </c>
      <c r="H222" s="16"/>
      <c r="I222" s="16" t="s">
        <v>1019</v>
      </c>
      <c r="J222" s="16" t="s">
        <v>1020</v>
      </c>
      <c r="K222" s="16" t="s">
        <v>1021</v>
      </c>
    </row>
    <row r="223" spans="1:11" ht="285" hidden="1" x14ac:dyDescent="0.25">
      <c r="A223" s="22">
        <v>220</v>
      </c>
      <c r="B223" s="16" t="s">
        <v>1022</v>
      </c>
      <c r="C223" s="16" t="s">
        <v>1023</v>
      </c>
      <c r="D223" s="16">
        <v>23580000</v>
      </c>
      <c r="E223" s="16">
        <v>4</v>
      </c>
      <c r="F223" s="16">
        <v>3</v>
      </c>
      <c r="G223" s="19" t="s">
        <v>842</v>
      </c>
      <c r="H223" s="16"/>
      <c r="I223" s="16" t="s">
        <v>1024</v>
      </c>
      <c r="J223" s="16" t="s">
        <v>1025</v>
      </c>
      <c r="K223" s="16" t="s">
        <v>1026</v>
      </c>
    </row>
    <row r="224" spans="1:11" ht="255" hidden="1" x14ac:dyDescent="0.25">
      <c r="A224" s="22">
        <v>221</v>
      </c>
      <c r="B224" s="16" t="s">
        <v>1027</v>
      </c>
      <c r="C224" s="16" t="s">
        <v>1028</v>
      </c>
      <c r="D224" s="16">
        <v>10620000</v>
      </c>
      <c r="E224" s="16">
        <v>4</v>
      </c>
      <c r="F224" s="16">
        <v>3</v>
      </c>
      <c r="G224" s="19" t="s">
        <v>842</v>
      </c>
      <c r="H224" s="16"/>
      <c r="I224" s="16" t="s">
        <v>1029</v>
      </c>
      <c r="J224" s="16" t="s">
        <v>1030</v>
      </c>
      <c r="K224" s="16" t="s">
        <v>1031</v>
      </c>
    </row>
    <row r="225" spans="1:11" ht="285" hidden="1" x14ac:dyDescent="0.25">
      <c r="A225" s="22">
        <v>222</v>
      </c>
      <c r="B225" s="16" t="s">
        <v>1032</v>
      </c>
      <c r="C225" s="16" t="s">
        <v>1033</v>
      </c>
      <c r="D225" s="16">
        <v>15160000</v>
      </c>
      <c r="E225" s="16">
        <v>3</v>
      </c>
      <c r="F225" s="16">
        <v>5</v>
      </c>
      <c r="G225" s="19" t="s">
        <v>842</v>
      </c>
      <c r="H225" s="16"/>
      <c r="I225" s="16" t="s">
        <v>1034</v>
      </c>
      <c r="J225" s="16" t="s">
        <v>1035</v>
      </c>
      <c r="K225" s="16" t="s">
        <v>131</v>
      </c>
    </row>
    <row r="226" spans="1:11" ht="195" hidden="1" x14ac:dyDescent="0.25">
      <c r="A226" s="22">
        <v>223</v>
      </c>
      <c r="B226" s="16" t="s">
        <v>1036</v>
      </c>
      <c r="C226" s="16" t="s">
        <v>1037</v>
      </c>
      <c r="D226" s="16">
        <v>18080000</v>
      </c>
      <c r="E226" s="16">
        <v>3</v>
      </c>
      <c r="F226" s="16">
        <v>5</v>
      </c>
      <c r="G226" s="19" t="s">
        <v>842</v>
      </c>
      <c r="H226" s="16"/>
      <c r="I226" s="16" t="s">
        <v>129</v>
      </c>
      <c r="J226" s="16" t="s">
        <v>997</v>
      </c>
      <c r="K226" s="16" t="s">
        <v>998</v>
      </c>
    </row>
    <row r="227" spans="1:11" ht="195" hidden="1" x14ac:dyDescent="0.25">
      <c r="A227" s="22">
        <v>224</v>
      </c>
      <c r="B227" s="16" t="s">
        <v>1038</v>
      </c>
      <c r="C227" s="16" t="s">
        <v>1039</v>
      </c>
      <c r="D227" s="16">
        <v>9760000</v>
      </c>
      <c r="E227" s="16">
        <v>4</v>
      </c>
      <c r="F227" s="16">
        <v>3</v>
      </c>
      <c r="G227" s="19" t="s">
        <v>842</v>
      </c>
      <c r="H227" s="16"/>
      <c r="I227" s="16" t="s">
        <v>1034</v>
      </c>
      <c r="J227" s="16" t="s">
        <v>1040</v>
      </c>
      <c r="K227" s="16" t="s">
        <v>1041</v>
      </c>
    </row>
    <row r="228" spans="1:11" ht="240" hidden="1" x14ac:dyDescent="0.25">
      <c r="A228" s="22">
        <v>225</v>
      </c>
      <c r="B228" s="16" t="s">
        <v>1042</v>
      </c>
      <c r="C228" s="16" t="s">
        <v>1043</v>
      </c>
      <c r="D228" s="16">
        <v>46919000</v>
      </c>
      <c r="E228" s="16">
        <v>3</v>
      </c>
      <c r="F228" s="16">
        <v>4</v>
      </c>
      <c r="G228" s="19" t="s">
        <v>842</v>
      </c>
      <c r="H228" s="16"/>
      <c r="I228" s="16" t="s">
        <v>899</v>
      </c>
      <c r="J228" s="16" t="s">
        <v>900</v>
      </c>
      <c r="K228" s="16" t="s">
        <v>901</v>
      </c>
    </row>
    <row r="229" spans="1:11" ht="210" hidden="1" x14ac:dyDescent="0.25">
      <c r="A229" s="22">
        <v>226</v>
      </c>
      <c r="B229" s="16" t="s">
        <v>1044</v>
      </c>
      <c r="C229" s="16" t="s">
        <v>1045</v>
      </c>
      <c r="D229" s="16">
        <v>19320000</v>
      </c>
      <c r="E229" s="16">
        <v>3</v>
      </c>
      <c r="F229" s="16">
        <v>5</v>
      </c>
      <c r="G229" s="19" t="s">
        <v>842</v>
      </c>
      <c r="H229" s="16"/>
      <c r="I229" s="16" t="s">
        <v>124</v>
      </c>
      <c r="J229" s="16" t="s">
        <v>1046</v>
      </c>
      <c r="K229" s="16" t="s">
        <v>1047</v>
      </c>
    </row>
    <row r="230" spans="1:11" ht="270" hidden="1" x14ac:dyDescent="0.25">
      <c r="A230" s="22">
        <v>227</v>
      </c>
      <c r="B230" s="16" t="s">
        <v>1048</v>
      </c>
      <c r="C230" s="16" t="s">
        <v>1049</v>
      </c>
      <c r="D230" s="16">
        <v>16125000</v>
      </c>
      <c r="E230" s="16">
        <v>3</v>
      </c>
      <c r="F230" s="16">
        <v>5</v>
      </c>
      <c r="G230" s="19" t="s">
        <v>842</v>
      </c>
      <c r="H230" s="16"/>
      <c r="I230" s="16" t="s">
        <v>1050</v>
      </c>
      <c r="J230" s="16" t="s">
        <v>1051</v>
      </c>
      <c r="K230" s="16" t="s">
        <v>1052</v>
      </c>
    </row>
    <row r="231" spans="1:11" ht="225" hidden="1" x14ac:dyDescent="0.25">
      <c r="A231" s="22">
        <v>228</v>
      </c>
      <c r="B231" s="16" t="s">
        <v>1053</v>
      </c>
      <c r="C231" s="16" t="s">
        <v>1054</v>
      </c>
      <c r="D231" s="16">
        <v>11610000</v>
      </c>
      <c r="E231" s="16">
        <v>3</v>
      </c>
      <c r="F231" s="16">
        <v>5</v>
      </c>
      <c r="G231" s="19" t="s">
        <v>842</v>
      </c>
      <c r="H231" s="16"/>
      <c r="I231" s="16" t="s">
        <v>1055</v>
      </c>
      <c r="J231" s="16" t="s">
        <v>1056</v>
      </c>
      <c r="K231" s="16" t="s">
        <v>1057</v>
      </c>
    </row>
    <row r="232" spans="1:11" ht="225" hidden="1" x14ac:dyDescent="0.25">
      <c r="A232" s="22">
        <v>229</v>
      </c>
      <c r="B232" s="16" t="s">
        <v>1058</v>
      </c>
      <c r="C232" s="16" t="s">
        <v>1059</v>
      </c>
      <c r="D232" s="16">
        <v>3548000</v>
      </c>
      <c r="E232" s="16">
        <v>3</v>
      </c>
      <c r="F232" s="16">
        <v>5</v>
      </c>
      <c r="G232" s="19" t="s">
        <v>842</v>
      </c>
      <c r="H232" s="16"/>
      <c r="I232" s="16" t="s">
        <v>1060</v>
      </c>
      <c r="J232" s="16" t="s">
        <v>1061</v>
      </c>
      <c r="K232" s="16" t="s">
        <v>1062</v>
      </c>
    </row>
    <row r="233" spans="1:11" ht="315" hidden="1" x14ac:dyDescent="0.25">
      <c r="A233" s="22">
        <v>230</v>
      </c>
      <c r="B233" s="16" t="s">
        <v>1063</v>
      </c>
      <c r="C233" s="16" t="s">
        <v>1064</v>
      </c>
      <c r="D233" s="16">
        <v>44400000</v>
      </c>
      <c r="E233" s="16">
        <v>3</v>
      </c>
      <c r="F233" s="16">
        <v>5</v>
      </c>
      <c r="G233" s="19" t="s">
        <v>842</v>
      </c>
      <c r="H233" s="16"/>
      <c r="I233" s="16" t="s">
        <v>939</v>
      </c>
      <c r="J233" s="16" t="s">
        <v>1065</v>
      </c>
      <c r="K233" s="16" t="s">
        <v>941</v>
      </c>
    </row>
    <row r="234" spans="1:11" ht="345" hidden="1" x14ac:dyDescent="0.25">
      <c r="A234" s="22">
        <v>231</v>
      </c>
      <c r="B234" s="16" t="s">
        <v>1066</v>
      </c>
      <c r="C234" s="16" t="s">
        <v>1067</v>
      </c>
      <c r="D234" s="16">
        <v>7000000</v>
      </c>
      <c r="E234" s="16">
        <v>3</v>
      </c>
      <c r="F234" s="16">
        <v>4</v>
      </c>
      <c r="G234" s="19" t="s">
        <v>842</v>
      </c>
      <c r="H234" s="16"/>
      <c r="I234" s="16" t="s">
        <v>1068</v>
      </c>
      <c r="J234" s="16" t="s">
        <v>935</v>
      </c>
      <c r="K234" s="16" t="s">
        <v>936</v>
      </c>
    </row>
    <row r="235" spans="1:11" ht="300" hidden="1" x14ac:dyDescent="0.25">
      <c r="A235" s="22">
        <v>232</v>
      </c>
      <c r="B235" s="16" t="s">
        <v>1069</v>
      </c>
      <c r="C235" s="16" t="s">
        <v>1070</v>
      </c>
      <c r="D235" s="16">
        <v>7000000</v>
      </c>
      <c r="E235" s="16">
        <v>3</v>
      </c>
      <c r="F235" s="16">
        <v>5</v>
      </c>
      <c r="G235" s="19" t="s">
        <v>842</v>
      </c>
      <c r="H235" s="16"/>
      <c r="I235" s="16" t="s">
        <v>1071</v>
      </c>
      <c r="J235" s="16" t="s">
        <v>1072</v>
      </c>
      <c r="K235" s="16" t="s">
        <v>1073</v>
      </c>
    </row>
    <row r="236" spans="1:11" ht="315" hidden="1" x14ac:dyDescent="0.25">
      <c r="A236" s="22">
        <v>233</v>
      </c>
      <c r="B236" s="16" t="s">
        <v>1074</v>
      </c>
      <c r="C236" s="16" t="s">
        <v>1075</v>
      </c>
      <c r="D236" s="16">
        <v>10244000</v>
      </c>
      <c r="E236" s="16">
        <v>3</v>
      </c>
      <c r="F236" s="16">
        <v>4</v>
      </c>
      <c r="G236" s="19" t="s">
        <v>842</v>
      </c>
      <c r="H236" s="16"/>
      <c r="I236" s="16" t="s">
        <v>1076</v>
      </c>
      <c r="J236" s="16" t="s">
        <v>1077</v>
      </c>
      <c r="K236" s="16" t="s">
        <v>1078</v>
      </c>
    </row>
    <row r="237" spans="1:11" ht="315" hidden="1" x14ac:dyDescent="0.25">
      <c r="A237" s="22">
        <v>234</v>
      </c>
      <c r="B237" s="16" t="s">
        <v>1079</v>
      </c>
      <c r="C237" s="16" t="s">
        <v>1080</v>
      </c>
      <c r="D237" s="16">
        <v>5902000</v>
      </c>
      <c r="E237" s="16">
        <v>4</v>
      </c>
      <c r="F237" s="16">
        <v>3</v>
      </c>
      <c r="G237" s="19" t="s">
        <v>842</v>
      </c>
      <c r="H237" s="16"/>
      <c r="I237" s="16" t="s">
        <v>1081</v>
      </c>
      <c r="J237" s="16" t="s">
        <v>1082</v>
      </c>
      <c r="K237" s="16" t="s">
        <v>1083</v>
      </c>
    </row>
    <row r="238" spans="1:11" ht="315" hidden="1" x14ac:dyDescent="0.25">
      <c r="A238" s="22">
        <v>235</v>
      </c>
      <c r="B238" s="16" t="s">
        <v>1084</v>
      </c>
      <c r="C238" s="16" t="s">
        <v>1085</v>
      </c>
      <c r="D238" s="16">
        <v>4740400</v>
      </c>
      <c r="E238" s="16">
        <v>4</v>
      </c>
      <c r="F238" s="16">
        <v>3</v>
      </c>
      <c r="G238" s="19" t="s">
        <v>842</v>
      </c>
      <c r="H238" s="16"/>
      <c r="I238" s="16" t="s">
        <v>1086</v>
      </c>
      <c r="J238" s="16" t="s">
        <v>1087</v>
      </c>
      <c r="K238" s="16" t="s">
        <v>1088</v>
      </c>
    </row>
    <row r="239" spans="1:11" ht="300" hidden="1" x14ac:dyDescent="0.25">
      <c r="A239" s="22">
        <v>236</v>
      </c>
      <c r="B239" s="16" t="s">
        <v>1089</v>
      </c>
      <c r="C239" s="16" t="s">
        <v>1090</v>
      </c>
      <c r="D239" s="16">
        <v>5260000</v>
      </c>
      <c r="E239" s="16">
        <v>3</v>
      </c>
      <c r="F239" s="16">
        <v>5</v>
      </c>
      <c r="G239" s="19" t="s">
        <v>842</v>
      </c>
      <c r="H239" s="16"/>
      <c r="I239" s="16" t="s">
        <v>1091</v>
      </c>
      <c r="J239" s="16" t="s">
        <v>1092</v>
      </c>
      <c r="K239" s="16" t="s">
        <v>1093</v>
      </c>
    </row>
    <row r="240" spans="1:11" ht="409.5" x14ac:dyDescent="0.25">
      <c r="A240" s="22">
        <v>237</v>
      </c>
      <c r="B240" s="16" t="s">
        <v>1094</v>
      </c>
      <c r="C240" s="16" t="s">
        <v>1095</v>
      </c>
      <c r="D240" s="16">
        <v>37471000</v>
      </c>
      <c r="E240" s="16">
        <v>3</v>
      </c>
      <c r="F240" s="16">
        <v>4</v>
      </c>
      <c r="G240" s="19" t="s">
        <v>842</v>
      </c>
      <c r="H240" s="16"/>
      <c r="I240" s="16" t="s">
        <v>1096</v>
      </c>
      <c r="J240" s="16" t="s">
        <v>1097</v>
      </c>
      <c r="K240" s="16" t="s">
        <v>1098</v>
      </c>
    </row>
    <row r="241" spans="1:11" ht="375" hidden="1" x14ac:dyDescent="0.25">
      <c r="A241" s="22">
        <v>238</v>
      </c>
      <c r="B241" s="16" t="s">
        <v>1099</v>
      </c>
      <c r="C241" s="16" t="s">
        <v>1100</v>
      </c>
      <c r="D241" s="16">
        <v>2500000</v>
      </c>
      <c r="E241" s="16">
        <v>3</v>
      </c>
      <c r="F241" s="16">
        <v>4</v>
      </c>
      <c r="G241" s="19" t="s">
        <v>842</v>
      </c>
      <c r="H241" s="16"/>
      <c r="I241" s="16" t="s">
        <v>1101</v>
      </c>
      <c r="J241" s="16" t="s">
        <v>1102</v>
      </c>
      <c r="K241" s="16" t="s">
        <v>1103</v>
      </c>
    </row>
    <row r="242" spans="1:11" ht="375" hidden="1" x14ac:dyDescent="0.25">
      <c r="A242" s="22">
        <v>239</v>
      </c>
      <c r="B242" s="16" t="s">
        <v>1104</v>
      </c>
      <c r="C242" s="16" t="s">
        <v>1105</v>
      </c>
      <c r="D242" s="16">
        <v>2500000</v>
      </c>
      <c r="E242" s="16">
        <v>3</v>
      </c>
      <c r="F242" s="16">
        <v>4</v>
      </c>
      <c r="G242" s="19" t="s">
        <v>842</v>
      </c>
      <c r="H242" s="16"/>
      <c r="I242" s="16" t="s">
        <v>1101</v>
      </c>
      <c r="J242" s="16" t="s">
        <v>1102</v>
      </c>
      <c r="K242" s="16" t="s">
        <v>1103</v>
      </c>
    </row>
    <row r="243" spans="1:11" ht="375" hidden="1" x14ac:dyDescent="0.25">
      <c r="A243" s="22">
        <v>240</v>
      </c>
      <c r="B243" s="16" t="s">
        <v>1106</v>
      </c>
      <c r="C243" s="16" t="s">
        <v>1107</v>
      </c>
      <c r="D243" s="16">
        <v>2500000</v>
      </c>
      <c r="E243" s="16">
        <v>3</v>
      </c>
      <c r="F243" s="16">
        <v>4</v>
      </c>
      <c r="G243" s="19" t="s">
        <v>842</v>
      </c>
      <c r="H243" s="16"/>
      <c r="I243" s="16" t="s">
        <v>1101</v>
      </c>
      <c r="J243" s="16" t="s">
        <v>1102</v>
      </c>
      <c r="K243" s="16" t="s">
        <v>1103</v>
      </c>
    </row>
    <row r="244" spans="1:11" ht="195" hidden="1" x14ac:dyDescent="0.25">
      <c r="A244" s="22">
        <v>241</v>
      </c>
      <c r="B244" s="16" t="s">
        <v>1108</v>
      </c>
      <c r="C244" s="16" t="s">
        <v>1109</v>
      </c>
      <c r="D244" s="16">
        <v>25787000</v>
      </c>
      <c r="E244" s="16">
        <v>3</v>
      </c>
      <c r="F244" s="16">
        <v>4</v>
      </c>
      <c r="G244" s="19" t="s">
        <v>842</v>
      </c>
      <c r="H244" s="16"/>
      <c r="I244" s="16" t="s">
        <v>1110</v>
      </c>
      <c r="J244" s="16" t="s">
        <v>1111</v>
      </c>
      <c r="K244" s="16" t="s">
        <v>1112</v>
      </c>
    </row>
    <row r="245" spans="1:11" ht="270" hidden="1" x14ac:dyDescent="0.25">
      <c r="A245" s="22">
        <v>242</v>
      </c>
      <c r="B245" s="16" t="s">
        <v>1113</v>
      </c>
      <c r="C245" s="16" t="s">
        <v>1114</v>
      </c>
      <c r="D245" s="16">
        <v>166500000</v>
      </c>
      <c r="E245" s="16">
        <v>3</v>
      </c>
      <c r="F245" s="16">
        <v>5</v>
      </c>
      <c r="G245" s="19" t="s">
        <v>842</v>
      </c>
      <c r="H245" s="16"/>
      <c r="I245" s="16" t="s">
        <v>364</v>
      </c>
      <c r="J245" s="16" t="s">
        <v>1115</v>
      </c>
      <c r="K245" s="16" t="s">
        <v>1116</v>
      </c>
    </row>
    <row r="246" spans="1:11" ht="315" hidden="1" x14ac:dyDescent="0.25">
      <c r="A246" s="22">
        <v>243</v>
      </c>
      <c r="B246" s="16" t="s">
        <v>1117</v>
      </c>
      <c r="C246" s="16" t="s">
        <v>1118</v>
      </c>
      <c r="D246" s="16">
        <v>45000000</v>
      </c>
      <c r="E246" s="16">
        <v>3</v>
      </c>
      <c r="F246" s="16">
        <v>5</v>
      </c>
      <c r="G246" s="19" t="s">
        <v>842</v>
      </c>
      <c r="H246" s="16"/>
      <c r="I246" s="16" t="s">
        <v>1119</v>
      </c>
      <c r="J246" s="16" t="s">
        <v>1120</v>
      </c>
      <c r="K246" s="16" t="s">
        <v>1121</v>
      </c>
    </row>
    <row r="247" spans="1:11" ht="270" hidden="1" x14ac:dyDescent="0.25">
      <c r="A247" s="22">
        <v>244</v>
      </c>
      <c r="B247" s="16" t="s">
        <v>1122</v>
      </c>
      <c r="C247" s="16" t="s">
        <v>1123</v>
      </c>
      <c r="D247" s="16">
        <v>15840431</v>
      </c>
      <c r="E247" s="16">
        <v>3</v>
      </c>
      <c r="F247" s="16">
        <v>5</v>
      </c>
      <c r="G247" s="19" t="s">
        <v>842</v>
      </c>
      <c r="H247" s="16"/>
      <c r="I247" s="16" t="s">
        <v>380</v>
      </c>
      <c r="J247" s="16" t="s">
        <v>910</v>
      </c>
      <c r="K247" s="16" t="s">
        <v>1124</v>
      </c>
    </row>
    <row r="248" spans="1:11" ht="255" hidden="1" x14ac:dyDescent="0.25">
      <c r="A248" s="22">
        <v>245</v>
      </c>
      <c r="B248" s="16" t="s">
        <v>1125</v>
      </c>
      <c r="C248" s="16" t="s">
        <v>1126</v>
      </c>
      <c r="D248" s="16">
        <v>116925000</v>
      </c>
      <c r="E248" s="16">
        <v>3</v>
      </c>
      <c r="F248" s="16">
        <v>5</v>
      </c>
      <c r="G248" s="19" t="s">
        <v>842</v>
      </c>
      <c r="H248" s="16"/>
      <c r="I248" s="16" t="s">
        <v>1127</v>
      </c>
      <c r="J248" s="16" t="s">
        <v>1128</v>
      </c>
      <c r="K248" s="16" t="s">
        <v>1129</v>
      </c>
    </row>
    <row r="249" spans="1:11" ht="300" hidden="1" x14ac:dyDescent="0.25">
      <c r="A249" s="22">
        <v>246</v>
      </c>
      <c r="B249" s="16" t="s">
        <v>1130</v>
      </c>
      <c r="C249" s="16" t="s">
        <v>1131</v>
      </c>
      <c r="D249" s="16">
        <v>35251500</v>
      </c>
      <c r="E249" s="16">
        <v>4</v>
      </c>
      <c r="F249" s="16">
        <v>3</v>
      </c>
      <c r="G249" s="19" t="s">
        <v>842</v>
      </c>
      <c r="H249" s="16"/>
      <c r="I249" s="16" t="s">
        <v>1132</v>
      </c>
      <c r="J249" s="16" t="s">
        <v>1133</v>
      </c>
      <c r="K249" s="16" t="s">
        <v>1134</v>
      </c>
    </row>
    <row r="250" spans="1:11" ht="300" hidden="1" x14ac:dyDescent="0.25">
      <c r="A250" s="22">
        <v>247</v>
      </c>
      <c r="B250" s="16" t="s">
        <v>1135</v>
      </c>
      <c r="C250" s="16" t="s">
        <v>1136</v>
      </c>
      <c r="D250" s="16">
        <v>48646932</v>
      </c>
      <c r="E250" s="16">
        <v>4</v>
      </c>
      <c r="F250" s="16">
        <v>3</v>
      </c>
      <c r="G250" s="19" t="s">
        <v>842</v>
      </c>
      <c r="H250" s="16"/>
      <c r="I250" s="16" t="s">
        <v>1132</v>
      </c>
      <c r="J250" s="16" t="s">
        <v>1133</v>
      </c>
      <c r="K250" s="16" t="s">
        <v>1134</v>
      </c>
    </row>
    <row r="251" spans="1:11" ht="225" hidden="1" x14ac:dyDescent="0.25">
      <c r="A251" s="22">
        <v>248</v>
      </c>
      <c r="B251" s="16" t="s">
        <v>1137</v>
      </c>
      <c r="C251" s="16" t="s">
        <v>1138</v>
      </c>
      <c r="D251" s="16">
        <v>31210000</v>
      </c>
      <c r="E251" s="16">
        <v>3</v>
      </c>
      <c r="F251" s="16">
        <v>4</v>
      </c>
      <c r="G251" s="19" t="s">
        <v>842</v>
      </c>
      <c r="H251" s="16"/>
      <c r="I251" s="16" t="s">
        <v>1139</v>
      </c>
      <c r="J251" s="16" t="s">
        <v>1140</v>
      </c>
      <c r="K251" s="16" t="s">
        <v>1141</v>
      </c>
    </row>
    <row r="252" spans="1:11" ht="240" hidden="1" x14ac:dyDescent="0.25">
      <c r="A252" s="22">
        <v>249</v>
      </c>
      <c r="B252" s="16" t="s">
        <v>1142</v>
      </c>
      <c r="C252" s="16" t="s">
        <v>1143</v>
      </c>
      <c r="D252" s="16">
        <v>174227900</v>
      </c>
      <c r="E252" s="16">
        <v>4</v>
      </c>
      <c r="F252" s="16">
        <v>3</v>
      </c>
      <c r="G252" s="19" t="s">
        <v>842</v>
      </c>
      <c r="H252" s="16"/>
      <c r="I252" s="16" t="s">
        <v>1132</v>
      </c>
      <c r="J252" s="16" t="s">
        <v>945</v>
      </c>
      <c r="K252" s="16" t="s">
        <v>1134</v>
      </c>
    </row>
    <row r="253" spans="1:11" ht="240" hidden="1" x14ac:dyDescent="0.25">
      <c r="A253" s="22">
        <v>250</v>
      </c>
      <c r="B253" s="16" t="s">
        <v>1144</v>
      </c>
      <c r="C253" s="16" t="s">
        <v>1145</v>
      </c>
      <c r="D253" s="16">
        <v>117016100</v>
      </c>
      <c r="E253" s="16">
        <v>4</v>
      </c>
      <c r="F253" s="16">
        <v>3</v>
      </c>
      <c r="G253" s="19" t="s">
        <v>842</v>
      </c>
      <c r="H253" s="16"/>
      <c r="I253" s="16" t="s">
        <v>1132</v>
      </c>
      <c r="J253" s="16" t="s">
        <v>1146</v>
      </c>
      <c r="K253" s="16" t="s">
        <v>1134</v>
      </c>
    </row>
    <row r="254" spans="1:11" ht="240" hidden="1" x14ac:dyDescent="0.25">
      <c r="A254" s="22">
        <v>251</v>
      </c>
      <c r="B254" s="16" t="s">
        <v>1147</v>
      </c>
      <c r="C254" s="16" t="s">
        <v>1148</v>
      </c>
      <c r="D254" s="16">
        <v>180804889</v>
      </c>
      <c r="E254" s="16">
        <v>4</v>
      </c>
      <c r="F254" s="16">
        <v>3</v>
      </c>
      <c r="G254" s="19" t="s">
        <v>842</v>
      </c>
      <c r="H254" s="16"/>
      <c r="I254" s="16" t="s">
        <v>1132</v>
      </c>
      <c r="J254" s="16" t="s">
        <v>1149</v>
      </c>
      <c r="K254" s="16" t="s">
        <v>1134</v>
      </c>
    </row>
    <row r="255" spans="1:11" ht="225" hidden="1" x14ac:dyDescent="0.25">
      <c r="A255" s="22">
        <v>252</v>
      </c>
      <c r="B255" s="16" t="s">
        <v>1150</v>
      </c>
      <c r="C255" s="16" t="s">
        <v>1151</v>
      </c>
      <c r="D255" s="16">
        <v>93891740</v>
      </c>
      <c r="E255" s="16">
        <v>4</v>
      </c>
      <c r="F255" s="16">
        <v>3</v>
      </c>
      <c r="G255" s="19" t="s">
        <v>842</v>
      </c>
      <c r="H255" s="16"/>
      <c r="I255" s="16" t="s">
        <v>1132</v>
      </c>
      <c r="J255" s="16" t="s">
        <v>1152</v>
      </c>
      <c r="K255" s="16" t="s">
        <v>1134</v>
      </c>
    </row>
    <row r="256" spans="1:11" ht="225" hidden="1" x14ac:dyDescent="0.25">
      <c r="A256" s="22">
        <v>253</v>
      </c>
      <c r="B256" s="16" t="s">
        <v>1153</v>
      </c>
      <c r="C256" s="16" t="s">
        <v>1154</v>
      </c>
      <c r="D256" s="16">
        <v>95253000</v>
      </c>
      <c r="E256" s="16">
        <v>4</v>
      </c>
      <c r="F256" s="16">
        <v>3</v>
      </c>
      <c r="G256" s="19" t="s">
        <v>842</v>
      </c>
      <c r="H256" s="16"/>
      <c r="I256" s="16" t="s">
        <v>1132</v>
      </c>
      <c r="J256" s="16" t="s">
        <v>1155</v>
      </c>
      <c r="K256" s="16" t="s">
        <v>1134</v>
      </c>
    </row>
    <row r="257" spans="1:11" ht="240" hidden="1" x14ac:dyDescent="0.25">
      <c r="A257" s="22">
        <v>254</v>
      </c>
      <c r="B257" s="16" t="s">
        <v>1156</v>
      </c>
      <c r="C257" s="16" t="s">
        <v>1157</v>
      </c>
      <c r="D257" s="16">
        <v>160332000</v>
      </c>
      <c r="E257" s="16">
        <v>4</v>
      </c>
      <c r="F257" s="16">
        <v>3</v>
      </c>
      <c r="G257" s="19" t="s">
        <v>842</v>
      </c>
      <c r="H257" s="16"/>
      <c r="I257" s="16" t="s">
        <v>1132</v>
      </c>
      <c r="J257" s="16" t="s">
        <v>1158</v>
      </c>
      <c r="K257" s="16" t="s">
        <v>1134</v>
      </c>
    </row>
    <row r="258" spans="1:11" ht="210" hidden="1" x14ac:dyDescent="0.25">
      <c r="A258" s="22">
        <v>255</v>
      </c>
      <c r="B258" s="16" t="s">
        <v>1159</v>
      </c>
      <c r="C258" s="16" t="s">
        <v>1160</v>
      </c>
      <c r="D258" s="16">
        <v>29366800</v>
      </c>
      <c r="E258" s="16">
        <v>4</v>
      </c>
      <c r="F258" s="16">
        <v>3</v>
      </c>
      <c r="G258" s="19" t="s">
        <v>842</v>
      </c>
      <c r="H258" s="16"/>
      <c r="I258" s="16" t="s">
        <v>1161</v>
      </c>
      <c r="J258" s="16" t="s">
        <v>1162</v>
      </c>
      <c r="K258" s="16" t="s">
        <v>1163</v>
      </c>
    </row>
    <row r="259" spans="1:11" ht="315" hidden="1" x14ac:dyDescent="0.25">
      <c r="A259" s="22">
        <v>256</v>
      </c>
      <c r="B259" s="16" t="s">
        <v>1164</v>
      </c>
      <c r="C259" s="16" t="s">
        <v>1165</v>
      </c>
      <c r="D259" s="16">
        <v>132110000</v>
      </c>
      <c r="E259" s="16">
        <v>3</v>
      </c>
      <c r="F259" s="16">
        <v>4</v>
      </c>
      <c r="G259" s="19" t="s">
        <v>842</v>
      </c>
      <c r="H259" s="16"/>
      <c r="I259" s="16" t="s">
        <v>1166</v>
      </c>
      <c r="J259" s="16" t="s">
        <v>1167</v>
      </c>
      <c r="K259" s="16" t="s">
        <v>1168</v>
      </c>
    </row>
    <row r="260" spans="1:11" ht="180" hidden="1" x14ac:dyDescent="0.25">
      <c r="A260" s="22">
        <v>257</v>
      </c>
      <c r="B260" s="16" t="s">
        <v>1169</v>
      </c>
      <c r="C260" s="16" t="s">
        <v>1170</v>
      </c>
      <c r="D260" s="16">
        <v>55335000</v>
      </c>
      <c r="E260" s="16">
        <v>4</v>
      </c>
      <c r="F260" s="16">
        <v>3</v>
      </c>
      <c r="G260" s="19" t="s">
        <v>842</v>
      </c>
      <c r="H260" s="16"/>
      <c r="I260" s="16" t="s">
        <v>426</v>
      </c>
      <c r="J260" s="16" t="s">
        <v>1171</v>
      </c>
      <c r="K260" s="16" t="s">
        <v>1172</v>
      </c>
    </row>
    <row r="261" spans="1:11" ht="330" hidden="1" x14ac:dyDescent="0.25">
      <c r="A261" s="22">
        <v>258</v>
      </c>
      <c r="B261" s="16" t="s">
        <v>1173</v>
      </c>
      <c r="C261" s="16" t="s">
        <v>1174</v>
      </c>
      <c r="D261" s="16">
        <v>12455000</v>
      </c>
      <c r="E261" s="16">
        <v>3</v>
      </c>
      <c r="F261" s="16">
        <v>5</v>
      </c>
      <c r="G261" s="19" t="s">
        <v>842</v>
      </c>
      <c r="H261" s="16"/>
      <c r="I261" s="16" t="s">
        <v>1175</v>
      </c>
      <c r="J261" s="16" t="s">
        <v>1176</v>
      </c>
      <c r="K261" s="16" t="s">
        <v>1177</v>
      </c>
    </row>
    <row r="262" spans="1:11" ht="330" hidden="1" x14ac:dyDescent="0.25">
      <c r="A262" s="22">
        <v>259</v>
      </c>
      <c r="B262" s="16" t="s">
        <v>1178</v>
      </c>
      <c r="C262" s="16" t="s">
        <v>1179</v>
      </c>
      <c r="D262" s="16">
        <v>23715000</v>
      </c>
      <c r="E262" s="16">
        <v>3</v>
      </c>
      <c r="F262" s="16">
        <v>5</v>
      </c>
      <c r="G262" s="19" t="s">
        <v>842</v>
      </c>
      <c r="H262" s="16"/>
      <c r="I262" s="16" t="s">
        <v>1175</v>
      </c>
      <c r="J262" s="16" t="s">
        <v>1176</v>
      </c>
      <c r="K262" s="16" t="s">
        <v>1180</v>
      </c>
    </row>
    <row r="263" spans="1:11" ht="195" hidden="1" x14ac:dyDescent="0.25">
      <c r="A263" s="22">
        <v>260</v>
      </c>
      <c r="B263" s="16" t="s">
        <v>1181</v>
      </c>
      <c r="C263" s="16" t="s">
        <v>1182</v>
      </c>
      <c r="D263" s="16">
        <v>13275000</v>
      </c>
      <c r="E263" s="16">
        <v>3</v>
      </c>
      <c r="F263" s="16">
        <v>5</v>
      </c>
      <c r="G263" s="19" t="s">
        <v>842</v>
      </c>
      <c r="H263" s="16"/>
      <c r="I263" s="16" t="s">
        <v>1183</v>
      </c>
      <c r="J263" s="16" t="s">
        <v>1184</v>
      </c>
      <c r="K263" s="16" t="s">
        <v>1185</v>
      </c>
    </row>
    <row r="264" spans="1:11" ht="285" hidden="1" x14ac:dyDescent="0.25">
      <c r="A264" s="22">
        <v>261</v>
      </c>
      <c r="B264" s="16" t="s">
        <v>1186</v>
      </c>
      <c r="C264" s="16" t="s">
        <v>1187</v>
      </c>
      <c r="D264" s="16">
        <v>14000000</v>
      </c>
      <c r="E264" s="16">
        <v>3</v>
      </c>
      <c r="F264" s="16">
        <v>5</v>
      </c>
      <c r="G264" s="19" t="s">
        <v>842</v>
      </c>
      <c r="H264" s="16"/>
      <c r="I264" s="16" t="s">
        <v>1188</v>
      </c>
      <c r="J264" s="16" t="s">
        <v>1189</v>
      </c>
      <c r="K264" s="16" t="s">
        <v>1190</v>
      </c>
    </row>
    <row r="265" spans="1:11" ht="180" hidden="1" x14ac:dyDescent="0.25">
      <c r="A265" s="22">
        <v>262</v>
      </c>
      <c r="B265" s="16" t="s">
        <v>1191</v>
      </c>
      <c r="C265" s="16" t="s">
        <v>1192</v>
      </c>
      <c r="D265" s="16">
        <v>7443000</v>
      </c>
      <c r="E265" s="16">
        <v>3</v>
      </c>
      <c r="F265" s="16">
        <v>5</v>
      </c>
      <c r="G265" s="19" t="s">
        <v>842</v>
      </c>
      <c r="H265" s="16"/>
      <c r="I265" s="16" t="s">
        <v>1193</v>
      </c>
      <c r="J265" s="16" t="s">
        <v>1194</v>
      </c>
      <c r="K265" s="16" t="s">
        <v>1195</v>
      </c>
    </row>
    <row r="266" spans="1:11" ht="255" hidden="1" x14ac:dyDescent="0.25">
      <c r="A266" s="22">
        <v>263</v>
      </c>
      <c r="B266" s="16" t="s">
        <v>1196</v>
      </c>
      <c r="C266" s="16" t="s">
        <v>1197</v>
      </c>
      <c r="D266" s="16">
        <v>30870000</v>
      </c>
      <c r="E266" s="16">
        <v>4</v>
      </c>
      <c r="F266" s="16">
        <v>3</v>
      </c>
      <c r="G266" s="19" t="s">
        <v>842</v>
      </c>
      <c r="H266" s="16"/>
      <c r="I266" s="16" t="s">
        <v>1198</v>
      </c>
      <c r="J266" s="16" t="s">
        <v>1199</v>
      </c>
      <c r="K266" s="16" t="s">
        <v>1200</v>
      </c>
    </row>
    <row r="267" spans="1:11" ht="210" hidden="1" x14ac:dyDescent="0.25">
      <c r="A267" s="22">
        <v>264</v>
      </c>
      <c r="B267" s="16" t="s">
        <v>1201</v>
      </c>
      <c r="C267" s="16" t="s">
        <v>1202</v>
      </c>
      <c r="D267" s="16">
        <v>15180000</v>
      </c>
      <c r="E267" s="16">
        <v>4</v>
      </c>
      <c r="F267" s="16">
        <v>3</v>
      </c>
      <c r="G267" s="19" t="s">
        <v>842</v>
      </c>
      <c r="H267" s="16"/>
      <c r="I267" s="16" t="s">
        <v>1203</v>
      </c>
      <c r="J267" s="16" t="s">
        <v>1204</v>
      </c>
      <c r="K267" s="16" t="s">
        <v>1205</v>
      </c>
    </row>
    <row r="268" spans="1:11" ht="195" hidden="1" x14ac:dyDescent="0.25">
      <c r="A268" s="22">
        <v>265</v>
      </c>
      <c r="B268" s="16" t="s">
        <v>1206</v>
      </c>
      <c r="C268" s="16" t="s">
        <v>1207</v>
      </c>
      <c r="D268" s="16">
        <v>92195000</v>
      </c>
      <c r="E268" s="16">
        <v>4</v>
      </c>
      <c r="F268" s="16">
        <v>3</v>
      </c>
      <c r="G268" s="19" t="s">
        <v>842</v>
      </c>
      <c r="H268" s="16"/>
      <c r="I268" s="16" t="s">
        <v>1208</v>
      </c>
      <c r="J268" s="16" t="s">
        <v>1209</v>
      </c>
      <c r="K268" s="16" t="s">
        <v>1210</v>
      </c>
    </row>
    <row r="269" spans="1:11" ht="195" hidden="1" x14ac:dyDescent="0.25">
      <c r="A269" s="22">
        <v>266</v>
      </c>
      <c r="B269" s="16" t="s">
        <v>1211</v>
      </c>
      <c r="C269" s="16" t="s">
        <v>1212</v>
      </c>
      <c r="D269" s="16">
        <v>23395000</v>
      </c>
      <c r="E269" s="16">
        <v>4</v>
      </c>
      <c r="F269" s="16">
        <v>3</v>
      </c>
      <c r="G269" s="19" t="s">
        <v>842</v>
      </c>
      <c r="H269" s="16"/>
      <c r="I269" s="16" t="s">
        <v>1213</v>
      </c>
      <c r="J269" s="16" t="s">
        <v>1214</v>
      </c>
      <c r="K269" s="16" t="s">
        <v>1215</v>
      </c>
    </row>
    <row r="270" spans="1:11" ht="315" hidden="1" x14ac:dyDescent="0.25">
      <c r="A270" s="22">
        <v>267</v>
      </c>
      <c r="B270" s="16" t="s">
        <v>1216</v>
      </c>
      <c r="C270" s="16" t="s">
        <v>1217</v>
      </c>
      <c r="D270" s="16">
        <v>81516900</v>
      </c>
      <c r="E270" s="16">
        <v>5</v>
      </c>
      <c r="F270" s="16">
        <v>3</v>
      </c>
      <c r="G270" s="19" t="s">
        <v>842</v>
      </c>
      <c r="H270" s="16"/>
      <c r="I270" s="16" t="s">
        <v>1218</v>
      </c>
      <c r="J270" s="16" t="s">
        <v>1219</v>
      </c>
      <c r="K270" s="16" t="s">
        <v>1220</v>
      </c>
    </row>
    <row r="271" spans="1:11" ht="240" hidden="1" x14ac:dyDescent="0.25">
      <c r="A271" s="22">
        <v>268</v>
      </c>
      <c r="B271" s="16" t="s">
        <v>1221</v>
      </c>
      <c r="C271" s="16" t="s">
        <v>1222</v>
      </c>
      <c r="D271" s="16">
        <v>174974000</v>
      </c>
      <c r="E271" s="16">
        <v>5</v>
      </c>
      <c r="F271" s="16">
        <v>3</v>
      </c>
      <c r="G271" s="19" t="s">
        <v>842</v>
      </c>
      <c r="H271" s="16"/>
      <c r="I271" s="16" t="s">
        <v>1223</v>
      </c>
      <c r="J271" s="16" t="s">
        <v>1224</v>
      </c>
      <c r="K271" s="16" t="s">
        <v>1225</v>
      </c>
    </row>
    <row r="272" spans="1:11" ht="360" hidden="1" x14ac:dyDescent="0.25">
      <c r="A272" s="22">
        <v>269</v>
      </c>
      <c r="B272" s="16" t="s">
        <v>1226</v>
      </c>
      <c r="C272" s="16" t="s">
        <v>1227</v>
      </c>
      <c r="D272" s="16">
        <v>63157000</v>
      </c>
      <c r="E272" s="16">
        <v>5</v>
      </c>
      <c r="F272" s="16">
        <v>3</v>
      </c>
      <c r="G272" s="19" t="s">
        <v>842</v>
      </c>
      <c r="H272" s="16"/>
      <c r="I272" s="16" t="s">
        <v>1228</v>
      </c>
      <c r="J272" s="16" t="s">
        <v>1229</v>
      </c>
      <c r="K272" s="16" t="s">
        <v>1230</v>
      </c>
    </row>
    <row r="273" spans="1:11" ht="285" hidden="1" x14ac:dyDescent="0.25">
      <c r="A273" s="22">
        <v>270</v>
      </c>
      <c r="B273" s="16" t="s">
        <v>1231</v>
      </c>
      <c r="C273" s="16" t="s">
        <v>1232</v>
      </c>
      <c r="D273" s="16">
        <v>124925000</v>
      </c>
      <c r="E273" s="16">
        <v>5</v>
      </c>
      <c r="F273" s="16">
        <v>3</v>
      </c>
      <c r="G273" s="19" t="s">
        <v>842</v>
      </c>
      <c r="H273" s="16"/>
      <c r="I273" s="16" t="s">
        <v>1233</v>
      </c>
      <c r="J273" s="16" t="s">
        <v>1234</v>
      </c>
      <c r="K273" s="16" t="s">
        <v>1235</v>
      </c>
    </row>
    <row r="274" spans="1:11" ht="210" hidden="1" x14ac:dyDescent="0.25">
      <c r="A274" s="22">
        <v>271</v>
      </c>
      <c r="B274" s="16" t="s">
        <v>1236</v>
      </c>
      <c r="C274" s="16" t="s">
        <v>1237</v>
      </c>
      <c r="D274" s="16">
        <v>53885000</v>
      </c>
      <c r="E274" s="16">
        <v>4</v>
      </c>
      <c r="F274" s="16">
        <v>3</v>
      </c>
      <c r="G274" s="19" t="s">
        <v>842</v>
      </c>
      <c r="H274" s="16"/>
      <c r="I274" s="16" t="s">
        <v>1238</v>
      </c>
      <c r="J274" s="16" t="s">
        <v>1239</v>
      </c>
      <c r="K274" s="16" t="s">
        <v>1240</v>
      </c>
    </row>
    <row r="275" spans="1:11" ht="285" hidden="1" x14ac:dyDescent="0.25">
      <c r="A275" s="22">
        <v>272</v>
      </c>
      <c r="B275" s="16" t="s">
        <v>1241</v>
      </c>
      <c r="C275" s="16" t="s">
        <v>1242</v>
      </c>
      <c r="D275" s="16">
        <v>100200000</v>
      </c>
      <c r="E275" s="16">
        <v>5</v>
      </c>
      <c r="F275" s="16">
        <v>3</v>
      </c>
      <c r="G275" s="19" t="s">
        <v>842</v>
      </c>
      <c r="H275" s="16"/>
      <c r="I275" s="16" t="s">
        <v>1243</v>
      </c>
      <c r="J275" s="16" t="s">
        <v>1244</v>
      </c>
      <c r="K275" s="16" t="s">
        <v>1245</v>
      </c>
    </row>
    <row r="276" spans="1:11" ht="225" hidden="1" x14ac:dyDescent="0.25">
      <c r="A276" s="22">
        <v>273</v>
      </c>
      <c r="B276" s="16" t="s">
        <v>1246</v>
      </c>
      <c r="C276" s="16" t="s">
        <v>1247</v>
      </c>
      <c r="D276" s="16">
        <v>56545000</v>
      </c>
      <c r="E276" s="16">
        <v>4</v>
      </c>
      <c r="F276" s="16">
        <v>3</v>
      </c>
      <c r="G276" s="19" t="s">
        <v>842</v>
      </c>
      <c r="H276" s="16"/>
      <c r="I276" s="16" t="s">
        <v>1248</v>
      </c>
      <c r="J276" s="16" t="s">
        <v>1249</v>
      </c>
      <c r="K276" s="16" t="s">
        <v>1250</v>
      </c>
    </row>
    <row r="277" spans="1:11" ht="270" hidden="1" x14ac:dyDescent="0.25">
      <c r="A277" s="22">
        <v>274</v>
      </c>
      <c r="B277" s="16" t="s">
        <v>1251</v>
      </c>
      <c r="C277" s="16" t="s">
        <v>1252</v>
      </c>
      <c r="D277" s="16">
        <v>27299750</v>
      </c>
      <c r="E277" s="16">
        <v>5</v>
      </c>
      <c r="F277" s="16">
        <v>3</v>
      </c>
      <c r="G277" s="19" t="s">
        <v>842</v>
      </c>
      <c r="H277" s="16"/>
      <c r="I277" s="16" t="s">
        <v>1253</v>
      </c>
      <c r="J277" s="16" t="s">
        <v>1254</v>
      </c>
      <c r="K277" s="16" t="s">
        <v>1255</v>
      </c>
    </row>
    <row r="278" spans="1:11" ht="255" hidden="1" x14ac:dyDescent="0.25">
      <c r="A278" s="22">
        <v>275</v>
      </c>
      <c r="B278" s="16" t="s">
        <v>1256</v>
      </c>
      <c r="C278" s="16" t="s">
        <v>1257</v>
      </c>
      <c r="D278" s="16">
        <v>54300000</v>
      </c>
      <c r="E278" s="16">
        <v>5</v>
      </c>
      <c r="F278" s="16">
        <v>3</v>
      </c>
      <c r="G278" s="19" t="s">
        <v>842</v>
      </c>
      <c r="H278" s="16"/>
      <c r="I278" s="16" t="s">
        <v>1258</v>
      </c>
      <c r="J278" s="16" t="s">
        <v>1259</v>
      </c>
      <c r="K278" s="16" t="s">
        <v>1260</v>
      </c>
    </row>
    <row r="279" spans="1:11" ht="285" hidden="1" x14ac:dyDescent="0.25">
      <c r="A279" s="22">
        <v>276</v>
      </c>
      <c r="B279" s="16" t="s">
        <v>1261</v>
      </c>
      <c r="C279" s="16" t="s">
        <v>1262</v>
      </c>
      <c r="D279" s="16">
        <v>13450000</v>
      </c>
      <c r="E279" s="16">
        <v>4</v>
      </c>
      <c r="F279" s="16">
        <v>3</v>
      </c>
      <c r="G279" s="19" t="s">
        <v>842</v>
      </c>
      <c r="H279" s="16"/>
      <c r="I279" s="16" t="s">
        <v>1263</v>
      </c>
      <c r="J279" s="16" t="s">
        <v>1264</v>
      </c>
      <c r="K279" s="16" t="s">
        <v>1265</v>
      </c>
    </row>
    <row r="280" spans="1:11" ht="255" hidden="1" x14ac:dyDescent="0.25">
      <c r="A280" s="22">
        <v>277</v>
      </c>
      <c r="B280" s="16" t="s">
        <v>1266</v>
      </c>
      <c r="C280" s="16" t="s">
        <v>1267</v>
      </c>
      <c r="D280" s="16">
        <v>42483000</v>
      </c>
      <c r="E280" s="16">
        <v>3</v>
      </c>
      <c r="F280" s="16">
        <v>5</v>
      </c>
      <c r="G280" s="19" t="s">
        <v>842</v>
      </c>
      <c r="H280" s="16"/>
      <c r="I280" s="16" t="s">
        <v>1268</v>
      </c>
      <c r="J280" s="16" t="s">
        <v>1269</v>
      </c>
      <c r="K280" s="16" t="s">
        <v>1270</v>
      </c>
    </row>
    <row r="281" spans="1:11" ht="285" hidden="1" x14ac:dyDescent="0.25">
      <c r="A281" s="22">
        <v>278</v>
      </c>
      <c r="B281" s="16" t="s">
        <v>1271</v>
      </c>
      <c r="C281" s="16" t="s">
        <v>1272</v>
      </c>
      <c r="D281" s="16">
        <v>101280000</v>
      </c>
      <c r="E281" s="16">
        <v>3</v>
      </c>
      <c r="F281" s="16">
        <v>4</v>
      </c>
      <c r="G281" s="19" t="s">
        <v>842</v>
      </c>
      <c r="H281" s="16"/>
      <c r="I281" s="16" t="s">
        <v>1273</v>
      </c>
      <c r="J281" s="16" t="s">
        <v>1274</v>
      </c>
      <c r="K281" s="16" t="s">
        <v>1275</v>
      </c>
    </row>
    <row r="282" spans="1:11" ht="210" hidden="1" x14ac:dyDescent="0.25">
      <c r="A282" s="22">
        <v>279</v>
      </c>
      <c r="B282" s="16" t="s">
        <v>1276</v>
      </c>
      <c r="C282" s="16" t="s">
        <v>1277</v>
      </c>
      <c r="D282" s="16">
        <v>12227500</v>
      </c>
      <c r="E282" s="16">
        <v>4</v>
      </c>
      <c r="F282" s="16">
        <v>3</v>
      </c>
      <c r="G282" s="19" t="s">
        <v>842</v>
      </c>
      <c r="H282" s="16"/>
      <c r="I282" s="16" t="s">
        <v>1278</v>
      </c>
      <c r="J282" s="16" t="s">
        <v>1279</v>
      </c>
      <c r="K282" s="16" t="s">
        <v>1280</v>
      </c>
    </row>
    <row r="283" spans="1:11" ht="270" hidden="1" x14ac:dyDescent="0.25">
      <c r="A283" s="22">
        <v>280</v>
      </c>
      <c r="B283" s="16" t="s">
        <v>1281</v>
      </c>
      <c r="C283" s="16" t="s">
        <v>1282</v>
      </c>
      <c r="D283" s="16">
        <v>212408000</v>
      </c>
      <c r="E283" s="16">
        <v>3</v>
      </c>
      <c r="F283" s="16">
        <v>4</v>
      </c>
      <c r="G283" s="19" t="s">
        <v>842</v>
      </c>
      <c r="H283" s="16"/>
      <c r="I283" s="16" t="s">
        <v>1283</v>
      </c>
      <c r="J283" s="16" t="s">
        <v>1284</v>
      </c>
      <c r="K283" s="16" t="s">
        <v>1285</v>
      </c>
    </row>
    <row r="284" spans="1:11" ht="285" hidden="1" x14ac:dyDescent="0.25">
      <c r="A284" s="22">
        <v>281</v>
      </c>
      <c r="B284" s="16" t="s">
        <v>1286</v>
      </c>
      <c r="C284" s="16" t="s">
        <v>1287</v>
      </c>
      <c r="D284" s="16">
        <v>525260000</v>
      </c>
      <c r="E284" s="16">
        <v>3</v>
      </c>
      <c r="F284" s="16">
        <v>4</v>
      </c>
      <c r="G284" s="19" t="s">
        <v>842</v>
      </c>
      <c r="H284" s="16"/>
      <c r="I284" s="16" t="s">
        <v>1283</v>
      </c>
      <c r="J284" s="16" t="s">
        <v>1288</v>
      </c>
      <c r="K284" s="16" t="s">
        <v>1285</v>
      </c>
    </row>
    <row r="285" spans="1:11" ht="300" hidden="1" x14ac:dyDescent="0.25">
      <c r="A285" s="22">
        <v>282</v>
      </c>
      <c r="B285" s="16" t="s">
        <v>1289</v>
      </c>
      <c r="C285" s="16" t="s">
        <v>1290</v>
      </c>
      <c r="D285" s="16">
        <v>4160000</v>
      </c>
      <c r="E285" s="16">
        <v>3</v>
      </c>
      <c r="F285" s="16">
        <v>4</v>
      </c>
      <c r="G285" s="19" t="s">
        <v>842</v>
      </c>
      <c r="H285" s="16"/>
      <c r="I285" s="16" t="s">
        <v>1291</v>
      </c>
      <c r="J285" s="16" t="s">
        <v>1292</v>
      </c>
      <c r="K285" s="16" t="s">
        <v>1293</v>
      </c>
    </row>
    <row r="286" spans="1:11" ht="180" hidden="1" x14ac:dyDescent="0.25">
      <c r="A286" s="22">
        <v>283</v>
      </c>
      <c r="B286" s="16" t="s">
        <v>1294</v>
      </c>
      <c r="C286" s="16" t="s">
        <v>1295</v>
      </c>
      <c r="D286" s="16">
        <v>107595362</v>
      </c>
      <c r="E286" s="16">
        <v>3</v>
      </c>
      <c r="F286" s="16">
        <v>5</v>
      </c>
      <c r="G286" s="19" t="s">
        <v>842</v>
      </c>
      <c r="H286" s="16"/>
      <c r="I286" s="16" t="s">
        <v>1296</v>
      </c>
      <c r="J286" s="16" t="s">
        <v>1297</v>
      </c>
      <c r="K286" s="16" t="s">
        <v>1298</v>
      </c>
    </row>
    <row r="287" spans="1:11" ht="300" hidden="1" x14ac:dyDescent="0.25">
      <c r="A287" s="22">
        <v>284</v>
      </c>
      <c r="B287" s="16" t="s">
        <v>1299</v>
      </c>
      <c r="C287" s="16" t="s">
        <v>1300</v>
      </c>
      <c r="D287" s="16">
        <v>10745000</v>
      </c>
      <c r="E287" s="16">
        <v>3</v>
      </c>
      <c r="F287" s="16">
        <v>4</v>
      </c>
      <c r="G287" s="19" t="s">
        <v>842</v>
      </c>
      <c r="H287" s="16"/>
      <c r="I287" s="16" t="s">
        <v>1301</v>
      </c>
      <c r="J287" s="16" t="s">
        <v>1302</v>
      </c>
      <c r="K287" s="16" t="s">
        <v>1303</v>
      </c>
    </row>
    <row r="288" spans="1:11" ht="135" hidden="1" x14ac:dyDescent="0.25">
      <c r="A288" s="22">
        <v>285</v>
      </c>
      <c r="B288" s="16" t="s">
        <v>1304</v>
      </c>
      <c r="C288" s="16" t="s">
        <v>1305</v>
      </c>
      <c r="D288" s="16">
        <v>0</v>
      </c>
      <c r="E288" s="16">
        <v>3</v>
      </c>
      <c r="F288" s="16">
        <v>4</v>
      </c>
      <c r="G288" s="19" t="s">
        <v>842</v>
      </c>
      <c r="H288" s="16"/>
      <c r="I288" s="16" t="s">
        <v>1306</v>
      </c>
      <c r="J288" s="16" t="s">
        <v>1307</v>
      </c>
      <c r="K288" s="16" t="s">
        <v>1308</v>
      </c>
    </row>
    <row r="289" spans="1:11" ht="300" hidden="1" x14ac:dyDescent="0.25">
      <c r="A289" s="22">
        <v>286</v>
      </c>
      <c r="B289" s="16" t="s">
        <v>1309</v>
      </c>
      <c r="C289" s="16" t="s">
        <v>1310</v>
      </c>
      <c r="D289" s="16">
        <v>4820000</v>
      </c>
      <c r="E289" s="16">
        <v>3</v>
      </c>
      <c r="F289" s="16">
        <v>4</v>
      </c>
      <c r="G289" s="19" t="s">
        <v>842</v>
      </c>
      <c r="H289" s="16"/>
      <c r="I289" s="16" t="s">
        <v>1291</v>
      </c>
      <c r="J289" s="16" t="s">
        <v>1292</v>
      </c>
      <c r="K289" s="16" t="s">
        <v>1293</v>
      </c>
    </row>
    <row r="290" spans="1:11" ht="285" hidden="1" x14ac:dyDescent="0.25">
      <c r="A290" s="22">
        <v>287</v>
      </c>
      <c r="B290" s="16" t="s">
        <v>1311</v>
      </c>
      <c r="C290" s="16" t="s">
        <v>1312</v>
      </c>
      <c r="D290" s="16">
        <v>2155000</v>
      </c>
      <c r="E290" s="16">
        <v>3</v>
      </c>
      <c r="F290" s="16">
        <v>5</v>
      </c>
      <c r="G290" s="19" t="s">
        <v>842</v>
      </c>
      <c r="H290" s="16"/>
      <c r="I290" s="16" t="s">
        <v>1313</v>
      </c>
      <c r="J290" s="16" t="s">
        <v>1314</v>
      </c>
      <c r="K290" s="16" t="s">
        <v>1315</v>
      </c>
    </row>
    <row r="291" spans="1:11" ht="270" hidden="1" x14ac:dyDescent="0.25">
      <c r="A291" s="22">
        <v>288</v>
      </c>
      <c r="B291" s="16" t="s">
        <v>1316</v>
      </c>
      <c r="C291" s="16" t="s">
        <v>1317</v>
      </c>
      <c r="D291" s="16">
        <v>20000000</v>
      </c>
      <c r="E291" s="16">
        <v>3</v>
      </c>
      <c r="F291" s="16">
        <v>4</v>
      </c>
      <c r="G291" s="19" t="s">
        <v>842</v>
      </c>
      <c r="H291" s="16"/>
      <c r="I291" s="16" t="s">
        <v>1318</v>
      </c>
      <c r="J291" s="16" t="s">
        <v>1319</v>
      </c>
      <c r="K291" s="16" t="s">
        <v>1320</v>
      </c>
    </row>
    <row r="292" spans="1:11" ht="409.5" hidden="1" x14ac:dyDescent="0.25">
      <c r="A292" s="22">
        <v>289</v>
      </c>
      <c r="B292" s="16" t="s">
        <v>1321</v>
      </c>
      <c r="C292" s="16" t="s">
        <v>1322</v>
      </c>
      <c r="D292" s="16">
        <v>10335000</v>
      </c>
      <c r="E292" s="16">
        <v>3</v>
      </c>
      <c r="F292" s="16">
        <v>5</v>
      </c>
      <c r="G292" s="19" t="s">
        <v>842</v>
      </c>
      <c r="H292" s="16"/>
      <c r="I292" s="16" t="s">
        <v>1323</v>
      </c>
      <c r="J292" s="16" t="s">
        <v>1324</v>
      </c>
      <c r="K292" s="16" t="s">
        <v>1325</v>
      </c>
    </row>
    <row r="293" spans="1:11" ht="409.5" hidden="1" x14ac:dyDescent="0.25">
      <c r="A293" s="22">
        <v>290</v>
      </c>
      <c r="B293" s="16" t="s">
        <v>1326</v>
      </c>
      <c r="C293" s="16" t="s">
        <v>1327</v>
      </c>
      <c r="D293" s="16">
        <v>7463000</v>
      </c>
      <c r="E293" s="16">
        <v>3</v>
      </c>
      <c r="F293" s="16">
        <v>5</v>
      </c>
      <c r="G293" s="19" t="s">
        <v>842</v>
      </c>
      <c r="H293" s="16"/>
      <c r="I293" s="16" t="s">
        <v>1328</v>
      </c>
      <c r="J293" s="16" t="s">
        <v>1329</v>
      </c>
      <c r="K293" s="16" t="s">
        <v>1330</v>
      </c>
    </row>
    <row r="294" spans="1:11" ht="409.5" hidden="1" x14ac:dyDescent="0.25">
      <c r="A294" s="22">
        <v>291</v>
      </c>
      <c r="B294" s="16" t="s">
        <v>1331</v>
      </c>
      <c r="C294" s="16" t="s">
        <v>1332</v>
      </c>
      <c r="D294" s="16">
        <v>8757000</v>
      </c>
      <c r="E294" s="16">
        <v>3</v>
      </c>
      <c r="F294" s="16">
        <v>4</v>
      </c>
      <c r="G294" s="19" t="s">
        <v>842</v>
      </c>
      <c r="H294" s="16"/>
      <c r="I294" s="16" t="s">
        <v>1333</v>
      </c>
      <c r="J294" s="16" t="s">
        <v>1334</v>
      </c>
      <c r="K294" s="16" t="s">
        <v>1335</v>
      </c>
    </row>
    <row r="295" spans="1:11" ht="409.5" hidden="1" x14ac:dyDescent="0.25">
      <c r="A295" s="22">
        <v>292</v>
      </c>
      <c r="B295" s="16" t="s">
        <v>1336</v>
      </c>
      <c r="C295" s="16" t="s">
        <v>1337</v>
      </c>
      <c r="D295" s="16">
        <v>7297000</v>
      </c>
      <c r="E295" s="16">
        <v>3</v>
      </c>
      <c r="F295" s="16">
        <v>4</v>
      </c>
      <c r="G295" s="19" t="s">
        <v>842</v>
      </c>
      <c r="H295" s="16"/>
      <c r="I295" s="16" t="s">
        <v>1338</v>
      </c>
      <c r="J295" s="16" t="s">
        <v>1339</v>
      </c>
      <c r="K295" s="16" t="s">
        <v>1340</v>
      </c>
    </row>
    <row r="296" spans="1:11" ht="409.5" hidden="1" x14ac:dyDescent="0.25">
      <c r="A296" s="22">
        <v>293</v>
      </c>
      <c r="B296" s="16" t="s">
        <v>1341</v>
      </c>
      <c r="C296" s="16" t="s">
        <v>1342</v>
      </c>
      <c r="D296" s="16">
        <v>170000000</v>
      </c>
      <c r="E296" s="16">
        <v>3</v>
      </c>
      <c r="F296" s="16">
        <v>5</v>
      </c>
      <c r="G296" s="19" t="s">
        <v>842</v>
      </c>
      <c r="H296" s="16"/>
      <c r="I296" s="16" t="s">
        <v>1343</v>
      </c>
      <c r="J296" s="16" t="s">
        <v>1344</v>
      </c>
      <c r="K296" s="16" t="s">
        <v>1345</v>
      </c>
    </row>
    <row r="297" spans="1:11" ht="409.5" hidden="1" x14ac:dyDescent="0.25">
      <c r="A297" s="22">
        <v>294</v>
      </c>
      <c r="B297" s="16" t="s">
        <v>1346</v>
      </c>
      <c r="C297" s="16" t="s">
        <v>1347</v>
      </c>
      <c r="D297" s="16">
        <v>7259000</v>
      </c>
      <c r="E297" s="16">
        <v>3</v>
      </c>
      <c r="F297" s="16">
        <v>4</v>
      </c>
      <c r="G297" s="19" t="s">
        <v>842</v>
      </c>
      <c r="H297" s="16"/>
      <c r="I297" s="16" t="s">
        <v>629</v>
      </c>
      <c r="J297" s="16" t="s">
        <v>630</v>
      </c>
      <c r="K297" s="16" t="s">
        <v>631</v>
      </c>
    </row>
    <row r="298" spans="1:11" ht="409.5" hidden="1" x14ac:dyDescent="0.25">
      <c r="A298" s="22">
        <v>295</v>
      </c>
      <c r="B298" s="16" t="s">
        <v>1348</v>
      </c>
      <c r="C298" s="16" t="s">
        <v>1349</v>
      </c>
      <c r="D298" s="16">
        <v>8487000</v>
      </c>
      <c r="E298" s="16">
        <v>3</v>
      </c>
      <c r="F298" s="16">
        <v>4</v>
      </c>
      <c r="G298" s="19" t="s">
        <v>842</v>
      </c>
      <c r="H298" s="16"/>
      <c r="I298" s="16" t="s">
        <v>1350</v>
      </c>
      <c r="J298" s="16" t="s">
        <v>1351</v>
      </c>
      <c r="K298" s="16" t="s">
        <v>1352</v>
      </c>
    </row>
    <row r="299" spans="1:11" ht="409.5" hidden="1" x14ac:dyDescent="0.25">
      <c r="A299" s="22">
        <v>296</v>
      </c>
      <c r="B299" s="16" t="s">
        <v>1353</v>
      </c>
      <c r="C299" s="16" t="s">
        <v>1354</v>
      </c>
      <c r="D299" s="16">
        <v>8174000</v>
      </c>
      <c r="E299" s="16">
        <v>3</v>
      </c>
      <c r="F299" s="16">
        <v>4</v>
      </c>
      <c r="G299" s="19" t="s">
        <v>842</v>
      </c>
      <c r="H299" s="16"/>
      <c r="I299" s="16" t="s">
        <v>1355</v>
      </c>
      <c r="J299" s="16" t="s">
        <v>1356</v>
      </c>
      <c r="K299" s="16" t="s">
        <v>1357</v>
      </c>
    </row>
    <row r="300" spans="1:11" ht="165" hidden="1" x14ac:dyDescent="0.25">
      <c r="A300" s="22">
        <v>297</v>
      </c>
      <c r="B300" s="16" t="s">
        <v>1358</v>
      </c>
      <c r="C300" s="16" t="s">
        <v>1359</v>
      </c>
      <c r="D300" s="16">
        <v>60500000</v>
      </c>
      <c r="E300" s="16">
        <v>4</v>
      </c>
      <c r="F300" s="16">
        <v>3</v>
      </c>
      <c r="G300" s="19" t="s">
        <v>842</v>
      </c>
      <c r="H300" s="16"/>
      <c r="I300" s="16" t="s">
        <v>1360</v>
      </c>
      <c r="J300" s="16" t="s">
        <v>1361</v>
      </c>
      <c r="K300" s="16" t="s">
        <v>1362</v>
      </c>
    </row>
    <row r="301" spans="1:11" ht="195" hidden="1" x14ac:dyDescent="0.25">
      <c r="A301" s="22">
        <v>298</v>
      </c>
      <c r="B301" s="16" t="s">
        <v>1363</v>
      </c>
      <c r="C301" s="16" t="s">
        <v>1364</v>
      </c>
      <c r="D301" s="16">
        <v>16380000</v>
      </c>
      <c r="E301" s="16">
        <v>3</v>
      </c>
      <c r="F301" s="16">
        <v>4</v>
      </c>
      <c r="G301" s="19" t="s">
        <v>842</v>
      </c>
      <c r="H301" s="16"/>
      <c r="I301" s="16" t="s">
        <v>1365</v>
      </c>
      <c r="J301" s="16" t="s">
        <v>1366</v>
      </c>
      <c r="K301" s="16" t="s">
        <v>1367</v>
      </c>
    </row>
    <row r="302" spans="1:11" ht="180" hidden="1" x14ac:dyDescent="0.25">
      <c r="A302" s="22">
        <v>299</v>
      </c>
      <c r="B302" s="16" t="s">
        <v>1368</v>
      </c>
      <c r="C302" s="16" t="s">
        <v>1369</v>
      </c>
      <c r="D302" s="16">
        <v>190000000</v>
      </c>
      <c r="E302" s="16">
        <v>3</v>
      </c>
      <c r="F302" s="16">
        <v>4</v>
      </c>
      <c r="G302" s="19" t="s">
        <v>842</v>
      </c>
      <c r="H302" s="16"/>
      <c r="I302" s="16" t="s">
        <v>1370</v>
      </c>
      <c r="J302" s="16" t="s">
        <v>1371</v>
      </c>
      <c r="K302" s="16" t="s">
        <v>1372</v>
      </c>
    </row>
    <row r="303" spans="1:11" ht="210" hidden="1" x14ac:dyDescent="0.25">
      <c r="A303" s="22">
        <v>300</v>
      </c>
      <c r="B303" s="16" t="s">
        <v>1373</v>
      </c>
      <c r="C303" s="16" t="s">
        <v>1374</v>
      </c>
      <c r="D303" s="16">
        <v>79850000</v>
      </c>
      <c r="E303" s="16">
        <v>3</v>
      </c>
      <c r="F303" s="16">
        <v>4</v>
      </c>
      <c r="G303" s="19" t="s">
        <v>842</v>
      </c>
      <c r="H303" s="16"/>
      <c r="I303" s="16" t="s">
        <v>1375</v>
      </c>
      <c r="J303" s="16" t="s">
        <v>1376</v>
      </c>
      <c r="K303" s="16" t="s">
        <v>1377</v>
      </c>
    </row>
    <row r="304" spans="1:11" ht="345" hidden="1" x14ac:dyDescent="0.25">
      <c r="A304" s="22">
        <v>301</v>
      </c>
      <c r="B304" s="16" t="s">
        <v>1378</v>
      </c>
      <c r="C304" s="16" t="s">
        <v>1379</v>
      </c>
      <c r="D304" s="16">
        <v>75250000</v>
      </c>
      <c r="E304" s="16">
        <v>3</v>
      </c>
      <c r="F304" s="16">
        <v>4</v>
      </c>
      <c r="G304" s="19" t="s">
        <v>842</v>
      </c>
      <c r="H304" s="16"/>
      <c r="I304" s="16" t="s">
        <v>1380</v>
      </c>
      <c r="J304" s="16" t="s">
        <v>1381</v>
      </c>
      <c r="K304" s="16" t="s">
        <v>1382</v>
      </c>
    </row>
    <row r="305" spans="1:11" ht="75" hidden="1" x14ac:dyDescent="0.25">
      <c r="A305" s="22">
        <v>302</v>
      </c>
      <c r="B305" s="16" t="s">
        <v>1383</v>
      </c>
      <c r="C305" s="16" t="s">
        <v>1384</v>
      </c>
      <c r="D305" s="16">
        <v>45000000</v>
      </c>
      <c r="E305" s="16">
        <v>3</v>
      </c>
      <c r="F305" s="16">
        <v>5</v>
      </c>
      <c r="G305" s="19" t="s">
        <v>842</v>
      </c>
      <c r="H305" s="16"/>
      <c r="I305" s="16" t="s">
        <v>1385</v>
      </c>
      <c r="J305" s="16" t="s">
        <v>1386</v>
      </c>
      <c r="K305" s="16" t="s">
        <v>1387</v>
      </c>
    </row>
    <row r="306" spans="1:11" ht="90" hidden="1" x14ac:dyDescent="0.25">
      <c r="A306" s="22">
        <v>303</v>
      </c>
      <c r="B306" s="16" t="s">
        <v>1388</v>
      </c>
      <c r="C306" s="16" t="s">
        <v>1389</v>
      </c>
      <c r="D306" s="16">
        <v>37500000</v>
      </c>
      <c r="E306" s="16">
        <v>3</v>
      </c>
      <c r="F306" s="16">
        <v>4</v>
      </c>
      <c r="G306" s="19" t="s">
        <v>842</v>
      </c>
      <c r="H306" s="16"/>
      <c r="I306" s="16" t="s">
        <v>1390</v>
      </c>
      <c r="J306" s="16" t="s">
        <v>1391</v>
      </c>
      <c r="K306" s="16" t="s">
        <v>1392</v>
      </c>
    </row>
    <row r="307" spans="1:11" ht="225" hidden="1" x14ac:dyDescent="0.25">
      <c r="A307" s="22">
        <v>304</v>
      </c>
      <c r="B307" s="16" t="s">
        <v>1393</v>
      </c>
      <c r="C307" s="16" t="s">
        <v>1394</v>
      </c>
      <c r="D307" s="16">
        <v>1942000000</v>
      </c>
      <c r="E307" s="16">
        <v>5</v>
      </c>
      <c r="F307" s="16">
        <v>3</v>
      </c>
      <c r="G307" s="19" t="s">
        <v>842</v>
      </c>
      <c r="H307" s="16"/>
      <c r="I307" s="16" t="s">
        <v>1395</v>
      </c>
      <c r="J307" s="16" t="s">
        <v>1396</v>
      </c>
      <c r="K307" s="16" t="s">
        <v>1397</v>
      </c>
    </row>
    <row r="308" spans="1:11" ht="270" hidden="1" x14ac:dyDescent="0.25">
      <c r="A308" s="22">
        <v>305</v>
      </c>
      <c r="B308" s="16" t="s">
        <v>1398</v>
      </c>
      <c r="C308" s="16" t="s">
        <v>1399</v>
      </c>
      <c r="D308" s="16">
        <v>1500000000</v>
      </c>
      <c r="E308" s="16">
        <v>5</v>
      </c>
      <c r="F308" s="16">
        <v>3</v>
      </c>
      <c r="G308" s="19" t="s">
        <v>842</v>
      </c>
      <c r="H308" s="16"/>
      <c r="I308" s="16" t="s">
        <v>1400</v>
      </c>
      <c r="J308" s="16" t="s">
        <v>1401</v>
      </c>
      <c r="K308" s="16" t="s">
        <v>1402</v>
      </c>
    </row>
    <row r="309" spans="1:11" ht="315" hidden="1" x14ac:dyDescent="0.25">
      <c r="A309" s="22">
        <v>306</v>
      </c>
      <c r="B309" s="16" t="s">
        <v>1403</v>
      </c>
      <c r="C309" s="16" t="s">
        <v>1404</v>
      </c>
      <c r="D309" s="16">
        <v>1543230803</v>
      </c>
      <c r="E309" s="16">
        <v>4</v>
      </c>
      <c r="F309" s="16">
        <v>3</v>
      </c>
      <c r="G309" s="19" t="s">
        <v>842</v>
      </c>
      <c r="H309" s="16"/>
      <c r="I309" s="16" t="s">
        <v>1400</v>
      </c>
      <c r="J309" s="16" t="s">
        <v>1405</v>
      </c>
      <c r="K309" s="16" t="s">
        <v>1406</v>
      </c>
    </row>
    <row r="310" spans="1:11" ht="210" hidden="1" x14ac:dyDescent="0.25">
      <c r="A310" s="22">
        <v>307</v>
      </c>
      <c r="B310" s="16" t="s">
        <v>1407</v>
      </c>
      <c r="C310" s="16" t="s">
        <v>1408</v>
      </c>
      <c r="D310" s="16">
        <v>500000000</v>
      </c>
      <c r="E310" s="16">
        <v>3</v>
      </c>
      <c r="F310" s="16">
        <v>4</v>
      </c>
      <c r="G310" s="19" t="s">
        <v>842</v>
      </c>
      <c r="H310" s="16"/>
      <c r="I310" s="16" t="s">
        <v>1409</v>
      </c>
      <c r="J310" s="16" t="s">
        <v>1410</v>
      </c>
      <c r="K310" s="16" t="s">
        <v>1411</v>
      </c>
    </row>
    <row r="311" spans="1:11" ht="195" hidden="1" x14ac:dyDescent="0.25">
      <c r="A311" s="22">
        <v>308</v>
      </c>
      <c r="B311" s="16" t="s">
        <v>1412</v>
      </c>
      <c r="C311" s="16" t="s">
        <v>1413</v>
      </c>
      <c r="D311" s="16">
        <v>5054030000</v>
      </c>
      <c r="E311" s="16">
        <v>3</v>
      </c>
      <c r="F311" s="16">
        <v>5</v>
      </c>
      <c r="G311" s="19" t="s">
        <v>842</v>
      </c>
      <c r="H311" s="16"/>
      <c r="I311" s="16" t="s">
        <v>791</v>
      </c>
      <c r="J311" s="16" t="s">
        <v>1414</v>
      </c>
      <c r="K311" s="16" t="s">
        <v>1415</v>
      </c>
    </row>
    <row r="312" spans="1:11" ht="210" hidden="1" x14ac:dyDescent="0.25">
      <c r="A312" s="22">
        <v>309</v>
      </c>
      <c r="B312" s="16" t="s">
        <v>1416</v>
      </c>
      <c r="C312" s="16" t="s">
        <v>1417</v>
      </c>
      <c r="D312" s="16">
        <v>300000000</v>
      </c>
      <c r="E312" s="16">
        <v>3</v>
      </c>
      <c r="F312" s="16">
        <v>4</v>
      </c>
      <c r="G312" s="19" t="s">
        <v>842</v>
      </c>
      <c r="H312" s="16"/>
      <c r="I312" s="16" t="s">
        <v>791</v>
      </c>
      <c r="J312" s="16" t="s">
        <v>1418</v>
      </c>
      <c r="K312" s="16" t="s">
        <v>1419</v>
      </c>
    </row>
    <row r="313" spans="1:11" ht="285" hidden="1" x14ac:dyDescent="0.25">
      <c r="A313" s="22">
        <v>310</v>
      </c>
      <c r="B313" s="16" t="s">
        <v>1420</v>
      </c>
      <c r="C313" s="16" t="s">
        <v>1421</v>
      </c>
      <c r="D313" s="16">
        <v>660000000</v>
      </c>
      <c r="E313" s="16">
        <v>3</v>
      </c>
      <c r="F313" s="16">
        <v>4</v>
      </c>
      <c r="G313" s="19" t="s">
        <v>842</v>
      </c>
      <c r="H313" s="16"/>
      <c r="I313" s="16" t="s">
        <v>1422</v>
      </c>
      <c r="J313" s="16" t="s">
        <v>1423</v>
      </c>
      <c r="K313" s="16" t="s">
        <v>1424</v>
      </c>
    </row>
    <row r="314" spans="1:11" ht="315" hidden="1" x14ac:dyDescent="0.25">
      <c r="A314" s="22">
        <v>311</v>
      </c>
      <c r="B314" s="16" t="s">
        <v>1425</v>
      </c>
      <c r="C314" s="16" t="s">
        <v>1426</v>
      </c>
      <c r="D314" s="16">
        <v>2581827000</v>
      </c>
      <c r="E314" s="16">
        <v>4</v>
      </c>
      <c r="F314" s="16">
        <v>3</v>
      </c>
      <c r="G314" s="19" t="s">
        <v>842</v>
      </c>
      <c r="H314" s="16"/>
      <c r="I314" s="16" t="s">
        <v>1427</v>
      </c>
      <c r="J314" s="16" t="s">
        <v>1428</v>
      </c>
      <c r="K314" s="16" t="s">
        <v>1429</v>
      </c>
    </row>
    <row r="315" spans="1:11" ht="390" hidden="1" x14ac:dyDescent="0.25">
      <c r="A315" s="22">
        <v>312</v>
      </c>
      <c r="B315" s="16" t="s">
        <v>1430</v>
      </c>
      <c r="C315" s="16" t="s">
        <v>1431</v>
      </c>
      <c r="D315" s="16">
        <v>224410500</v>
      </c>
      <c r="E315" s="16">
        <v>5</v>
      </c>
      <c r="F315" s="16">
        <v>3</v>
      </c>
      <c r="G315" s="19" t="s">
        <v>842</v>
      </c>
      <c r="H315" s="16"/>
      <c r="I315" s="16" t="s">
        <v>1432</v>
      </c>
      <c r="J315" s="16" t="s">
        <v>1433</v>
      </c>
      <c r="K315" s="16" t="s">
        <v>1434</v>
      </c>
    </row>
    <row r="316" spans="1:11" ht="390" hidden="1" x14ac:dyDescent="0.25">
      <c r="A316" s="22">
        <v>313</v>
      </c>
      <c r="B316" s="16" t="s">
        <v>1435</v>
      </c>
      <c r="C316" s="16" t="s">
        <v>1436</v>
      </c>
      <c r="D316" s="16">
        <v>63625000</v>
      </c>
      <c r="E316" s="16">
        <v>4</v>
      </c>
      <c r="F316" s="16">
        <v>3</v>
      </c>
      <c r="G316" s="19" t="s">
        <v>842</v>
      </c>
      <c r="H316" s="16"/>
      <c r="I316" s="16" t="s">
        <v>1432</v>
      </c>
      <c r="J316" s="16" t="s">
        <v>1437</v>
      </c>
      <c r="K316" s="16" t="s">
        <v>1434</v>
      </c>
    </row>
    <row r="317" spans="1:11" ht="390" hidden="1" x14ac:dyDescent="0.25">
      <c r="A317" s="22">
        <v>314</v>
      </c>
      <c r="B317" s="16" t="s">
        <v>1438</v>
      </c>
      <c r="C317" s="16" t="s">
        <v>1439</v>
      </c>
      <c r="D317" s="16">
        <v>269100000</v>
      </c>
      <c r="E317" s="16">
        <v>4</v>
      </c>
      <c r="F317" s="16">
        <v>3</v>
      </c>
      <c r="G317" s="19" t="s">
        <v>842</v>
      </c>
      <c r="H317" s="16"/>
      <c r="I317" s="16" t="s">
        <v>1432</v>
      </c>
      <c r="J317" s="16" t="s">
        <v>1440</v>
      </c>
      <c r="K317" s="16" t="s">
        <v>1434</v>
      </c>
    </row>
    <row r="318" spans="1:11" ht="285" hidden="1" x14ac:dyDescent="0.25">
      <c r="A318" s="22">
        <v>315</v>
      </c>
      <c r="B318" s="16" t="s">
        <v>1441</v>
      </c>
      <c r="C318" s="16" t="s">
        <v>1442</v>
      </c>
      <c r="D318" s="16">
        <v>6051000</v>
      </c>
      <c r="E318" s="16">
        <v>2</v>
      </c>
      <c r="F318" s="16">
        <v>4</v>
      </c>
      <c r="G318" s="20" t="s">
        <v>1443</v>
      </c>
      <c r="H318" s="16"/>
      <c r="I318" s="16" t="s">
        <v>1444</v>
      </c>
      <c r="J318" s="16" t="s">
        <v>1445</v>
      </c>
      <c r="K318" s="16" t="s">
        <v>1446</v>
      </c>
    </row>
    <row r="319" spans="1:11" ht="240" hidden="1" x14ac:dyDescent="0.25">
      <c r="A319" s="22">
        <v>316</v>
      </c>
      <c r="B319" s="16" t="s">
        <v>1447</v>
      </c>
      <c r="C319" s="16" t="s">
        <v>1448</v>
      </c>
      <c r="D319" s="16">
        <v>16815000</v>
      </c>
      <c r="E319" s="16">
        <v>2</v>
      </c>
      <c r="F319" s="16">
        <v>5</v>
      </c>
      <c r="G319" s="20" t="s">
        <v>1443</v>
      </c>
      <c r="H319" s="16"/>
      <c r="I319" s="16" t="s">
        <v>1449</v>
      </c>
      <c r="J319" s="16" t="s">
        <v>1450</v>
      </c>
      <c r="K319" s="16" t="s">
        <v>1451</v>
      </c>
    </row>
    <row r="320" spans="1:11" ht="270" hidden="1" x14ac:dyDescent="0.25">
      <c r="A320" s="22">
        <v>317</v>
      </c>
      <c r="B320" s="16" t="s">
        <v>1452</v>
      </c>
      <c r="C320" s="16" t="s">
        <v>1453</v>
      </c>
      <c r="D320" s="16">
        <v>11897000</v>
      </c>
      <c r="E320" s="16">
        <v>2</v>
      </c>
      <c r="F320" s="16">
        <v>4</v>
      </c>
      <c r="G320" s="20" t="s">
        <v>1443</v>
      </c>
      <c r="H320" s="16"/>
      <c r="I320" s="16" t="s">
        <v>1454</v>
      </c>
      <c r="J320" s="16" t="s">
        <v>1455</v>
      </c>
      <c r="K320" s="16" t="s">
        <v>1456</v>
      </c>
    </row>
    <row r="321" spans="1:11" ht="285" hidden="1" x14ac:dyDescent="0.25">
      <c r="A321" s="22">
        <v>318</v>
      </c>
      <c r="B321" s="16" t="s">
        <v>1457</v>
      </c>
      <c r="C321" s="16" t="s">
        <v>1458</v>
      </c>
      <c r="D321" s="16">
        <v>21245000</v>
      </c>
      <c r="E321" s="16">
        <v>2</v>
      </c>
      <c r="F321" s="16">
        <v>4</v>
      </c>
      <c r="G321" s="20" t="s">
        <v>1443</v>
      </c>
      <c r="H321" s="16"/>
      <c r="I321" s="16" t="s">
        <v>1459</v>
      </c>
      <c r="J321" s="16" t="s">
        <v>1460</v>
      </c>
      <c r="K321" s="16" t="s">
        <v>1461</v>
      </c>
    </row>
    <row r="322" spans="1:11" ht="345" hidden="1" x14ac:dyDescent="0.25">
      <c r="A322" s="22">
        <v>319</v>
      </c>
      <c r="B322" s="16" t="s">
        <v>1462</v>
      </c>
      <c r="C322" s="16" t="s">
        <v>1463</v>
      </c>
      <c r="D322" s="16">
        <v>73705000</v>
      </c>
      <c r="E322" s="16">
        <v>2</v>
      </c>
      <c r="F322" s="16">
        <v>5</v>
      </c>
      <c r="G322" s="20" t="s">
        <v>1443</v>
      </c>
      <c r="H322" s="16"/>
      <c r="I322" s="16" t="s">
        <v>1464</v>
      </c>
      <c r="J322" s="16" t="s">
        <v>1465</v>
      </c>
      <c r="K322" s="16" t="s">
        <v>1466</v>
      </c>
    </row>
    <row r="323" spans="1:11" ht="345" hidden="1" x14ac:dyDescent="0.25">
      <c r="A323" s="22">
        <v>320</v>
      </c>
      <c r="B323" s="16" t="s">
        <v>1467</v>
      </c>
      <c r="C323" s="16" t="s">
        <v>1468</v>
      </c>
      <c r="D323" s="16">
        <v>41434000</v>
      </c>
      <c r="E323" s="16">
        <v>2</v>
      </c>
      <c r="F323" s="16">
        <v>5</v>
      </c>
      <c r="G323" s="20" t="s">
        <v>1443</v>
      </c>
      <c r="H323" s="16"/>
      <c r="I323" s="16" t="s">
        <v>1464</v>
      </c>
      <c r="J323" s="16" t="s">
        <v>1465</v>
      </c>
      <c r="K323" s="16" t="s">
        <v>1466</v>
      </c>
    </row>
    <row r="324" spans="1:11" ht="270" hidden="1" x14ac:dyDescent="0.25">
      <c r="A324" s="22">
        <v>321</v>
      </c>
      <c r="B324" s="16" t="s">
        <v>1469</v>
      </c>
      <c r="C324" s="16" t="s">
        <v>1470</v>
      </c>
      <c r="D324" s="16">
        <v>65000000</v>
      </c>
      <c r="E324" s="16">
        <v>2</v>
      </c>
      <c r="F324" s="16">
        <v>4</v>
      </c>
      <c r="G324" s="20" t="s">
        <v>1443</v>
      </c>
      <c r="H324" s="16"/>
      <c r="I324" s="16" t="s">
        <v>1471</v>
      </c>
      <c r="J324" s="16" t="s">
        <v>1472</v>
      </c>
      <c r="K324" s="16" t="s">
        <v>1473</v>
      </c>
    </row>
    <row r="325" spans="1:11" ht="210" hidden="1" x14ac:dyDescent="0.25">
      <c r="A325" s="22">
        <v>322</v>
      </c>
      <c r="B325" s="16" t="s">
        <v>1474</v>
      </c>
      <c r="C325" s="16" t="s">
        <v>1475</v>
      </c>
      <c r="D325" s="16">
        <v>15800000</v>
      </c>
      <c r="E325" s="16">
        <v>2</v>
      </c>
      <c r="F325" s="16">
        <v>5</v>
      </c>
      <c r="G325" s="20" t="s">
        <v>1443</v>
      </c>
      <c r="H325" s="16"/>
      <c r="I325" s="16" t="s">
        <v>1476</v>
      </c>
      <c r="J325" s="16" t="s">
        <v>1477</v>
      </c>
      <c r="K325" s="16" t="s">
        <v>1478</v>
      </c>
    </row>
    <row r="326" spans="1:11" ht="409.5" hidden="1" x14ac:dyDescent="0.25">
      <c r="A326" s="22">
        <v>323</v>
      </c>
      <c r="B326" s="16" t="s">
        <v>1479</v>
      </c>
      <c r="C326" s="16" t="s">
        <v>1480</v>
      </c>
      <c r="D326" s="16">
        <v>29997000</v>
      </c>
      <c r="E326" s="16">
        <v>3</v>
      </c>
      <c r="F326" s="16">
        <v>3</v>
      </c>
      <c r="G326" s="20" t="s">
        <v>1443</v>
      </c>
      <c r="H326" s="16"/>
      <c r="I326" s="16" t="s">
        <v>1481</v>
      </c>
      <c r="J326" s="16" t="s">
        <v>1482</v>
      </c>
      <c r="K326" s="16" t="s">
        <v>1483</v>
      </c>
    </row>
    <row r="327" spans="1:11" ht="210" hidden="1" x14ac:dyDescent="0.25">
      <c r="A327" s="22">
        <v>324</v>
      </c>
      <c r="B327" s="16" t="s">
        <v>1484</v>
      </c>
      <c r="C327" s="16" t="s">
        <v>1485</v>
      </c>
      <c r="D327" s="16">
        <v>24500000</v>
      </c>
      <c r="E327" s="16">
        <v>2</v>
      </c>
      <c r="F327" s="16">
        <v>5</v>
      </c>
      <c r="G327" s="20" t="s">
        <v>1443</v>
      </c>
      <c r="H327" s="16"/>
      <c r="I327" s="16" t="s">
        <v>1486</v>
      </c>
      <c r="J327" s="16" t="s">
        <v>1487</v>
      </c>
      <c r="K327" s="16" t="s">
        <v>1488</v>
      </c>
    </row>
    <row r="328" spans="1:11" ht="210" hidden="1" x14ac:dyDescent="0.25">
      <c r="A328" s="22">
        <v>325</v>
      </c>
      <c r="B328" s="16" t="s">
        <v>1489</v>
      </c>
      <c r="C328" s="16" t="s">
        <v>1490</v>
      </c>
      <c r="D328" s="16">
        <v>23831000</v>
      </c>
      <c r="E328" s="16">
        <v>2</v>
      </c>
      <c r="F328" s="16">
        <v>5</v>
      </c>
      <c r="G328" s="20" t="s">
        <v>1443</v>
      </c>
      <c r="H328" s="16"/>
      <c r="I328" s="16" t="s">
        <v>1491</v>
      </c>
      <c r="J328" s="16" t="s">
        <v>1492</v>
      </c>
      <c r="K328" s="16" t="s">
        <v>1493</v>
      </c>
    </row>
    <row r="329" spans="1:11" ht="195" hidden="1" x14ac:dyDescent="0.25">
      <c r="A329" s="22">
        <v>326</v>
      </c>
      <c r="B329" s="16" t="s">
        <v>1494</v>
      </c>
      <c r="C329" s="16" t="s">
        <v>1495</v>
      </c>
      <c r="D329" s="16">
        <v>15000000</v>
      </c>
      <c r="E329" s="16">
        <v>2</v>
      </c>
      <c r="F329" s="16">
        <v>5</v>
      </c>
      <c r="G329" s="20" t="s">
        <v>1443</v>
      </c>
      <c r="H329" s="16"/>
      <c r="I329" s="16" t="s">
        <v>1496</v>
      </c>
      <c r="J329" s="16" t="s">
        <v>1497</v>
      </c>
      <c r="K329" s="16" t="s">
        <v>1498</v>
      </c>
    </row>
    <row r="330" spans="1:11" ht="210" hidden="1" x14ac:dyDescent="0.25">
      <c r="A330" s="22">
        <v>327</v>
      </c>
      <c r="B330" s="16" t="s">
        <v>1499</v>
      </c>
      <c r="C330" s="16" t="s">
        <v>1500</v>
      </c>
      <c r="D330" s="16">
        <v>150000000</v>
      </c>
      <c r="E330" s="16">
        <v>2</v>
      </c>
      <c r="F330" s="16">
        <v>5</v>
      </c>
      <c r="G330" s="20" t="s">
        <v>1443</v>
      </c>
      <c r="H330" s="16"/>
      <c r="I330" s="16" t="s">
        <v>1501</v>
      </c>
      <c r="J330" s="16" t="s">
        <v>1502</v>
      </c>
      <c r="K330" s="16" t="s">
        <v>1503</v>
      </c>
    </row>
    <row r="331" spans="1:11" ht="210" hidden="1" x14ac:dyDescent="0.25">
      <c r="A331" s="22">
        <v>328</v>
      </c>
      <c r="B331" s="16" t="s">
        <v>1504</v>
      </c>
      <c r="C331" s="16" t="s">
        <v>1505</v>
      </c>
      <c r="D331" s="16">
        <v>267300000</v>
      </c>
      <c r="E331" s="16">
        <v>2</v>
      </c>
      <c r="F331" s="16">
        <v>3</v>
      </c>
      <c r="G331" s="20" t="s">
        <v>1443</v>
      </c>
      <c r="H331" s="16"/>
      <c r="I331" s="16" t="s">
        <v>1501</v>
      </c>
      <c r="J331" s="16" t="s">
        <v>1506</v>
      </c>
      <c r="K331" s="16" t="s">
        <v>1503</v>
      </c>
    </row>
    <row r="332" spans="1:11" ht="375" hidden="1" x14ac:dyDescent="0.25">
      <c r="A332" s="22">
        <v>329</v>
      </c>
      <c r="B332" s="16" t="s">
        <v>1507</v>
      </c>
      <c r="C332" s="16" t="s">
        <v>1508</v>
      </c>
      <c r="D332" s="16">
        <v>40085000</v>
      </c>
      <c r="E332" s="16">
        <v>5</v>
      </c>
      <c r="F332" s="16">
        <v>2</v>
      </c>
      <c r="G332" s="20" t="s">
        <v>1443</v>
      </c>
      <c r="H332" s="16"/>
      <c r="I332" s="16" t="s">
        <v>1509</v>
      </c>
      <c r="J332" s="16" t="s">
        <v>1510</v>
      </c>
      <c r="K332" s="16" t="s">
        <v>1511</v>
      </c>
    </row>
    <row r="333" spans="1:11" ht="210" hidden="1" x14ac:dyDescent="0.25">
      <c r="A333" s="22">
        <v>330</v>
      </c>
      <c r="B333" s="16" t="s">
        <v>1512</v>
      </c>
      <c r="C333" s="16" t="s">
        <v>1513</v>
      </c>
      <c r="D333" s="16">
        <v>13654000</v>
      </c>
      <c r="E333" s="16">
        <v>2</v>
      </c>
      <c r="F333" s="16">
        <v>5</v>
      </c>
      <c r="G333" s="20" t="s">
        <v>1443</v>
      </c>
      <c r="H333" s="16"/>
      <c r="I333" s="16" t="s">
        <v>1514</v>
      </c>
      <c r="J333" s="16" t="s">
        <v>1515</v>
      </c>
      <c r="K333" s="16" t="s">
        <v>1493</v>
      </c>
    </row>
    <row r="334" spans="1:11" ht="270" hidden="1" x14ac:dyDescent="0.25">
      <c r="A334" s="22">
        <v>331</v>
      </c>
      <c r="B334" s="16" t="s">
        <v>1516</v>
      </c>
      <c r="C334" s="16" t="s">
        <v>1517</v>
      </c>
      <c r="D334" s="16">
        <v>9375000</v>
      </c>
      <c r="E334" s="16">
        <v>2</v>
      </c>
      <c r="F334" s="16">
        <v>5</v>
      </c>
      <c r="G334" s="20" t="s">
        <v>1443</v>
      </c>
      <c r="H334" s="16"/>
      <c r="I334" s="16" t="s">
        <v>1518</v>
      </c>
      <c r="J334" s="16" t="s">
        <v>1519</v>
      </c>
      <c r="K334" s="16" t="s">
        <v>1520</v>
      </c>
    </row>
    <row r="335" spans="1:11" ht="210" hidden="1" x14ac:dyDescent="0.25">
      <c r="A335" s="22">
        <v>332</v>
      </c>
      <c r="B335" s="16" t="s">
        <v>1521</v>
      </c>
      <c r="C335" s="16" t="s">
        <v>1522</v>
      </c>
      <c r="D335" s="16">
        <v>11850000</v>
      </c>
      <c r="E335" s="16">
        <v>2</v>
      </c>
      <c r="F335" s="16">
        <v>5</v>
      </c>
      <c r="G335" s="20" t="s">
        <v>1443</v>
      </c>
      <c r="H335" s="16"/>
      <c r="I335" s="16" t="s">
        <v>1523</v>
      </c>
      <c r="J335" s="16" t="s">
        <v>1524</v>
      </c>
      <c r="K335" s="16" t="s">
        <v>1525</v>
      </c>
    </row>
    <row r="336" spans="1:11" ht="195" hidden="1" x14ac:dyDescent="0.25">
      <c r="A336" s="22">
        <v>333</v>
      </c>
      <c r="B336" s="16" t="s">
        <v>1526</v>
      </c>
      <c r="C336" s="16" t="s">
        <v>1527</v>
      </c>
      <c r="D336" s="16">
        <v>15000000</v>
      </c>
      <c r="E336" s="16">
        <v>2</v>
      </c>
      <c r="F336" s="16">
        <v>3</v>
      </c>
      <c r="G336" s="20" t="s">
        <v>1443</v>
      </c>
      <c r="H336" s="16"/>
      <c r="I336" s="16" t="s">
        <v>1528</v>
      </c>
      <c r="J336" s="16" t="s">
        <v>1529</v>
      </c>
      <c r="K336" s="16" t="s">
        <v>1503</v>
      </c>
    </row>
    <row r="337" spans="1:11" ht="255" hidden="1" x14ac:dyDescent="0.25">
      <c r="A337" s="22">
        <v>334</v>
      </c>
      <c r="B337" s="16" t="s">
        <v>1530</v>
      </c>
      <c r="C337" s="16" t="s">
        <v>1531</v>
      </c>
      <c r="D337" s="16">
        <v>20375000</v>
      </c>
      <c r="E337" s="16">
        <v>2</v>
      </c>
      <c r="F337" s="16">
        <v>4</v>
      </c>
      <c r="G337" s="20" t="s">
        <v>1443</v>
      </c>
      <c r="H337" s="16"/>
      <c r="I337" s="16" t="s">
        <v>1532</v>
      </c>
      <c r="J337" s="16" t="s">
        <v>1533</v>
      </c>
      <c r="K337" s="16" t="s">
        <v>1534</v>
      </c>
    </row>
    <row r="338" spans="1:11" ht="210" hidden="1" x14ac:dyDescent="0.25">
      <c r="A338" s="22">
        <v>335</v>
      </c>
      <c r="B338" s="16" t="s">
        <v>1535</v>
      </c>
      <c r="C338" s="16" t="s">
        <v>1536</v>
      </c>
      <c r="D338" s="16">
        <v>110200000</v>
      </c>
      <c r="E338" s="16">
        <v>3</v>
      </c>
      <c r="F338" s="16">
        <v>3</v>
      </c>
      <c r="G338" s="20" t="s">
        <v>1443</v>
      </c>
      <c r="H338" s="16"/>
      <c r="I338" s="16" t="s">
        <v>1537</v>
      </c>
      <c r="J338" s="16" t="s">
        <v>1538</v>
      </c>
      <c r="K338" s="16" t="s">
        <v>1539</v>
      </c>
    </row>
    <row r="339" spans="1:11" ht="270" hidden="1" x14ac:dyDescent="0.25">
      <c r="A339" s="22">
        <v>336</v>
      </c>
      <c r="B339" s="16" t="s">
        <v>1540</v>
      </c>
      <c r="C339" s="16" t="s">
        <v>1541</v>
      </c>
      <c r="D339" s="16">
        <v>9386000</v>
      </c>
      <c r="E339" s="16">
        <v>2</v>
      </c>
      <c r="F339" s="16">
        <v>4</v>
      </c>
      <c r="G339" s="20" t="s">
        <v>1443</v>
      </c>
      <c r="H339" s="16"/>
      <c r="I339" s="16" t="s">
        <v>1542</v>
      </c>
      <c r="J339" s="16" t="s">
        <v>1543</v>
      </c>
      <c r="K339" s="16" t="s">
        <v>1544</v>
      </c>
    </row>
    <row r="340" spans="1:11" ht="345" hidden="1" x14ac:dyDescent="0.25">
      <c r="A340" s="22">
        <v>337</v>
      </c>
      <c r="B340" s="16" t="s">
        <v>1545</v>
      </c>
      <c r="C340" s="16" t="s">
        <v>1546</v>
      </c>
      <c r="D340" s="16">
        <v>35080000</v>
      </c>
      <c r="E340" s="16">
        <v>3</v>
      </c>
      <c r="F340" s="16">
        <v>3</v>
      </c>
      <c r="G340" s="20" t="s">
        <v>1443</v>
      </c>
      <c r="H340" s="16"/>
      <c r="I340" s="16" t="s">
        <v>1547</v>
      </c>
      <c r="J340" s="16" t="s">
        <v>1548</v>
      </c>
      <c r="K340" s="16" t="s">
        <v>1549</v>
      </c>
    </row>
    <row r="341" spans="1:11" ht="240" hidden="1" x14ac:dyDescent="0.25">
      <c r="A341" s="22">
        <v>338</v>
      </c>
      <c r="B341" s="16" t="s">
        <v>1550</v>
      </c>
      <c r="C341" s="16" t="s">
        <v>1551</v>
      </c>
      <c r="D341" s="16">
        <v>22845000</v>
      </c>
      <c r="E341" s="16">
        <v>3</v>
      </c>
      <c r="F341" s="16">
        <v>3</v>
      </c>
      <c r="G341" s="20" t="s">
        <v>1443</v>
      </c>
      <c r="H341" s="16"/>
      <c r="I341" s="16" t="s">
        <v>1552</v>
      </c>
      <c r="J341" s="16" t="s">
        <v>1553</v>
      </c>
      <c r="K341" s="16" t="s">
        <v>1554</v>
      </c>
    </row>
    <row r="342" spans="1:11" ht="195" hidden="1" x14ac:dyDescent="0.25">
      <c r="A342" s="22">
        <v>339</v>
      </c>
      <c r="B342" s="16" t="s">
        <v>1555</v>
      </c>
      <c r="C342" s="16" t="s">
        <v>1556</v>
      </c>
      <c r="D342" s="16">
        <v>10220000</v>
      </c>
      <c r="E342" s="16">
        <v>2</v>
      </c>
      <c r="F342" s="16">
        <v>5</v>
      </c>
      <c r="G342" s="20" t="s">
        <v>1443</v>
      </c>
      <c r="H342" s="16"/>
      <c r="I342" s="16" t="s">
        <v>1034</v>
      </c>
      <c r="J342" s="16" t="s">
        <v>1040</v>
      </c>
      <c r="K342" s="16" t="s">
        <v>1041</v>
      </c>
    </row>
    <row r="343" spans="1:11" ht="225" hidden="1" x14ac:dyDescent="0.25">
      <c r="A343" s="22">
        <v>340</v>
      </c>
      <c r="B343" s="16" t="s">
        <v>1557</v>
      </c>
      <c r="C343" s="16" t="s">
        <v>1558</v>
      </c>
      <c r="D343" s="16">
        <v>11420000</v>
      </c>
      <c r="E343" s="16">
        <v>2</v>
      </c>
      <c r="F343" s="16">
        <v>3</v>
      </c>
      <c r="G343" s="20" t="s">
        <v>1443</v>
      </c>
      <c r="H343" s="16"/>
      <c r="I343" s="16" t="s">
        <v>124</v>
      </c>
      <c r="J343" s="16" t="s">
        <v>1046</v>
      </c>
      <c r="K343" s="16" t="s">
        <v>1559</v>
      </c>
    </row>
    <row r="344" spans="1:11" ht="225" hidden="1" x14ac:dyDescent="0.25">
      <c r="A344" s="22">
        <v>341</v>
      </c>
      <c r="B344" s="16" t="s">
        <v>1560</v>
      </c>
      <c r="C344" s="16" t="s">
        <v>1561</v>
      </c>
      <c r="D344" s="16">
        <v>49500000</v>
      </c>
      <c r="E344" s="16">
        <v>2</v>
      </c>
      <c r="F344" s="16">
        <v>3</v>
      </c>
      <c r="G344" s="20" t="s">
        <v>1443</v>
      </c>
      <c r="H344" s="16"/>
      <c r="I344" s="16" t="s">
        <v>380</v>
      </c>
      <c r="J344" s="16" t="s">
        <v>1562</v>
      </c>
      <c r="K344" s="16" t="s">
        <v>1563</v>
      </c>
    </row>
    <row r="345" spans="1:11" ht="195" hidden="1" x14ac:dyDescent="0.25">
      <c r="A345" s="22">
        <v>342</v>
      </c>
      <c r="B345" s="16" t="s">
        <v>1564</v>
      </c>
      <c r="C345" s="16" t="s">
        <v>1565</v>
      </c>
      <c r="D345" s="16">
        <v>25000000</v>
      </c>
      <c r="E345" s="16">
        <v>2</v>
      </c>
      <c r="F345" s="16">
        <v>3</v>
      </c>
      <c r="G345" s="20" t="s">
        <v>1443</v>
      </c>
      <c r="H345" s="16"/>
      <c r="I345" s="16" t="s">
        <v>1566</v>
      </c>
      <c r="J345" s="16" t="s">
        <v>1567</v>
      </c>
      <c r="K345" s="16" t="s">
        <v>1568</v>
      </c>
    </row>
    <row r="346" spans="1:11" ht="409.5" hidden="1" x14ac:dyDescent="0.25">
      <c r="A346" s="22">
        <v>343</v>
      </c>
      <c r="B346" s="16" t="s">
        <v>1569</v>
      </c>
      <c r="C346" s="16" t="s">
        <v>1570</v>
      </c>
      <c r="D346" s="16">
        <v>33405000</v>
      </c>
      <c r="E346" s="16">
        <v>3</v>
      </c>
      <c r="F346" s="16">
        <v>3</v>
      </c>
      <c r="G346" s="20" t="s">
        <v>1443</v>
      </c>
      <c r="H346" s="16"/>
      <c r="I346" s="16" t="s">
        <v>1571</v>
      </c>
      <c r="J346" s="16" t="s">
        <v>1572</v>
      </c>
      <c r="K346" s="16" t="s">
        <v>1573</v>
      </c>
    </row>
    <row r="347" spans="1:11" ht="240" hidden="1" x14ac:dyDescent="0.25">
      <c r="A347" s="22">
        <v>344</v>
      </c>
      <c r="B347" s="16" t="s">
        <v>1574</v>
      </c>
      <c r="C347" s="16" t="s">
        <v>1575</v>
      </c>
      <c r="D347" s="16">
        <v>10595000</v>
      </c>
      <c r="E347" s="16">
        <v>2</v>
      </c>
      <c r="F347" s="16">
        <v>3</v>
      </c>
      <c r="G347" s="20" t="s">
        <v>1443</v>
      </c>
      <c r="H347" s="16"/>
      <c r="I347" s="16" t="s">
        <v>1576</v>
      </c>
      <c r="J347" s="16" t="s">
        <v>1577</v>
      </c>
      <c r="K347" s="16" t="s">
        <v>1578</v>
      </c>
    </row>
    <row r="348" spans="1:11" ht="375" hidden="1" x14ac:dyDescent="0.25">
      <c r="A348" s="22">
        <v>345</v>
      </c>
      <c r="B348" s="16" t="s">
        <v>1579</v>
      </c>
      <c r="C348" s="16" t="s">
        <v>1580</v>
      </c>
      <c r="D348" s="16">
        <v>21190000</v>
      </c>
      <c r="E348" s="16">
        <v>3</v>
      </c>
      <c r="F348" s="16">
        <v>3</v>
      </c>
      <c r="G348" s="20" t="s">
        <v>1443</v>
      </c>
      <c r="H348" s="16"/>
      <c r="I348" s="16" t="s">
        <v>1581</v>
      </c>
      <c r="J348" s="16" t="s">
        <v>1582</v>
      </c>
      <c r="K348" s="16" t="s">
        <v>1583</v>
      </c>
    </row>
    <row r="349" spans="1:11" ht="409.5" hidden="1" x14ac:dyDescent="0.25">
      <c r="A349" s="22">
        <v>346</v>
      </c>
      <c r="B349" s="16" t="s">
        <v>1584</v>
      </c>
      <c r="C349" s="16" t="s">
        <v>1585</v>
      </c>
      <c r="D349" s="16">
        <v>16590000</v>
      </c>
      <c r="E349" s="16">
        <v>2</v>
      </c>
      <c r="F349" s="16">
        <v>3</v>
      </c>
      <c r="G349" s="20" t="s">
        <v>1443</v>
      </c>
      <c r="H349" s="16"/>
      <c r="I349" s="16" t="s">
        <v>1586</v>
      </c>
      <c r="J349" s="16" t="s">
        <v>1587</v>
      </c>
      <c r="K349" s="16" t="s">
        <v>1588</v>
      </c>
    </row>
    <row r="350" spans="1:11" ht="300" hidden="1" x14ac:dyDescent="0.25">
      <c r="A350" s="22">
        <v>347</v>
      </c>
      <c r="B350" s="16" t="s">
        <v>1589</v>
      </c>
      <c r="C350" s="16" t="s">
        <v>1590</v>
      </c>
      <c r="D350" s="16">
        <v>23800000</v>
      </c>
      <c r="E350" s="16">
        <v>2</v>
      </c>
      <c r="F350" s="16">
        <v>5</v>
      </c>
      <c r="G350" s="20" t="s">
        <v>1443</v>
      </c>
      <c r="H350" s="16"/>
      <c r="I350" s="16" t="s">
        <v>140</v>
      </c>
      <c r="J350" s="16" t="s">
        <v>1591</v>
      </c>
      <c r="K350" s="16" t="s">
        <v>142</v>
      </c>
    </row>
    <row r="351" spans="1:11" ht="409.5" hidden="1" x14ac:dyDescent="0.25">
      <c r="A351" s="22">
        <v>348</v>
      </c>
      <c r="B351" s="16" t="s">
        <v>1592</v>
      </c>
      <c r="C351" s="16" t="s">
        <v>1593</v>
      </c>
      <c r="D351" s="16">
        <v>26885000</v>
      </c>
      <c r="E351" s="16">
        <v>3</v>
      </c>
      <c r="F351" s="16">
        <v>2</v>
      </c>
      <c r="G351" s="20" t="s">
        <v>1443</v>
      </c>
      <c r="H351" s="16"/>
      <c r="I351" s="16" t="s">
        <v>1594</v>
      </c>
      <c r="J351" s="16" t="s">
        <v>1595</v>
      </c>
      <c r="K351" s="16" t="s">
        <v>1596</v>
      </c>
    </row>
    <row r="352" spans="1:11" ht="165" hidden="1" x14ac:dyDescent="0.25">
      <c r="A352" s="22">
        <v>349</v>
      </c>
      <c r="B352" s="16" t="s">
        <v>1597</v>
      </c>
      <c r="C352" s="16" t="s">
        <v>1598</v>
      </c>
      <c r="D352" s="16">
        <v>3655000</v>
      </c>
      <c r="E352" s="16">
        <v>2</v>
      </c>
      <c r="F352" s="16">
        <v>3</v>
      </c>
      <c r="G352" s="20" t="s">
        <v>1443</v>
      </c>
      <c r="H352" s="16"/>
      <c r="I352" s="16" t="s">
        <v>1599</v>
      </c>
      <c r="J352" s="16" t="s">
        <v>1600</v>
      </c>
      <c r="K352" s="16" t="s">
        <v>1601</v>
      </c>
    </row>
    <row r="353" spans="1:11" ht="360" hidden="1" x14ac:dyDescent="0.25">
      <c r="A353" s="22">
        <v>350</v>
      </c>
      <c r="B353" s="16" t="s">
        <v>1602</v>
      </c>
      <c r="C353" s="16" t="s">
        <v>1603</v>
      </c>
      <c r="D353" s="16">
        <v>8289000</v>
      </c>
      <c r="E353" s="16">
        <v>3</v>
      </c>
      <c r="F353" s="16">
        <v>2</v>
      </c>
      <c r="G353" s="20" t="s">
        <v>1443</v>
      </c>
      <c r="H353" s="16"/>
      <c r="I353" s="16" t="s">
        <v>714</v>
      </c>
      <c r="J353" s="16" t="s">
        <v>1604</v>
      </c>
      <c r="K353" s="16" t="s">
        <v>1605</v>
      </c>
    </row>
    <row r="354" spans="1:11" ht="180" hidden="1" x14ac:dyDescent="0.25">
      <c r="A354" s="22">
        <v>351</v>
      </c>
      <c r="B354" s="16" t="s">
        <v>1606</v>
      </c>
      <c r="C354" s="16" t="s">
        <v>1607</v>
      </c>
      <c r="D354" s="16">
        <v>13299000</v>
      </c>
      <c r="E354" s="16">
        <v>2</v>
      </c>
      <c r="F354" s="16">
        <v>3</v>
      </c>
      <c r="G354" s="20" t="s">
        <v>1443</v>
      </c>
      <c r="H354" s="16"/>
      <c r="I354" s="16" t="s">
        <v>1608</v>
      </c>
      <c r="J354" s="16" t="s">
        <v>1609</v>
      </c>
      <c r="K354" s="16" t="s">
        <v>1610</v>
      </c>
    </row>
    <row r="355" spans="1:11" ht="240" hidden="1" x14ac:dyDescent="0.25">
      <c r="A355" s="22">
        <v>352</v>
      </c>
      <c r="B355" s="16" t="s">
        <v>1611</v>
      </c>
      <c r="C355" s="16" t="s">
        <v>1612</v>
      </c>
      <c r="D355" s="16">
        <v>36975000</v>
      </c>
      <c r="E355" s="16">
        <v>2</v>
      </c>
      <c r="F355" s="16">
        <v>3</v>
      </c>
      <c r="G355" s="20" t="s">
        <v>1443</v>
      </c>
      <c r="H355" s="16"/>
      <c r="I355" s="16" t="s">
        <v>1613</v>
      </c>
      <c r="J355" s="16" t="s">
        <v>1614</v>
      </c>
      <c r="K355" s="16" t="s">
        <v>1615</v>
      </c>
    </row>
    <row r="356" spans="1:11" ht="225" hidden="1" x14ac:dyDescent="0.25">
      <c r="A356" s="22">
        <v>353</v>
      </c>
      <c r="B356" s="16" t="s">
        <v>1616</v>
      </c>
      <c r="C356" s="16" t="s">
        <v>1617</v>
      </c>
      <c r="D356" s="16">
        <v>7932500</v>
      </c>
      <c r="E356" s="16">
        <v>3</v>
      </c>
      <c r="F356" s="16">
        <v>3</v>
      </c>
      <c r="G356" s="20" t="s">
        <v>1443</v>
      </c>
      <c r="H356" s="16"/>
      <c r="I356" s="16" t="s">
        <v>1618</v>
      </c>
      <c r="J356" s="16" t="s">
        <v>1619</v>
      </c>
      <c r="K356" s="16" t="s">
        <v>1620</v>
      </c>
    </row>
    <row r="357" spans="1:11" ht="225" hidden="1" x14ac:dyDescent="0.25">
      <c r="A357" s="22">
        <v>354</v>
      </c>
      <c r="B357" s="16" t="s">
        <v>1621</v>
      </c>
      <c r="C357" s="16" t="s">
        <v>1622</v>
      </c>
      <c r="D357" s="16">
        <v>10415000</v>
      </c>
      <c r="E357" s="16">
        <v>3</v>
      </c>
      <c r="F357" s="16">
        <v>2</v>
      </c>
      <c r="G357" s="20" t="s">
        <v>1443</v>
      </c>
      <c r="H357" s="16"/>
      <c r="I357" s="16" t="s">
        <v>1623</v>
      </c>
      <c r="J357" s="16" t="s">
        <v>1624</v>
      </c>
      <c r="K357" s="16" t="s">
        <v>1625</v>
      </c>
    </row>
    <row r="358" spans="1:11" ht="270" hidden="1" x14ac:dyDescent="0.25">
      <c r="A358" s="22">
        <v>355</v>
      </c>
      <c r="B358" s="16" t="s">
        <v>1626</v>
      </c>
      <c r="C358" s="16" t="s">
        <v>1627</v>
      </c>
      <c r="D358" s="16">
        <v>35224000</v>
      </c>
      <c r="E358" s="16">
        <v>2</v>
      </c>
      <c r="F358" s="16">
        <v>4</v>
      </c>
      <c r="G358" s="20" t="s">
        <v>1443</v>
      </c>
      <c r="H358" s="16"/>
      <c r="I358" s="16" t="s">
        <v>1628</v>
      </c>
      <c r="J358" s="16" t="s">
        <v>1629</v>
      </c>
      <c r="K358" s="16" t="s">
        <v>1630</v>
      </c>
    </row>
    <row r="359" spans="1:11" ht="315" hidden="1" x14ac:dyDescent="0.25">
      <c r="A359" s="22">
        <v>356</v>
      </c>
      <c r="B359" s="16" t="s">
        <v>1631</v>
      </c>
      <c r="C359" s="16" t="s">
        <v>1632</v>
      </c>
      <c r="D359" s="16">
        <v>13400000</v>
      </c>
      <c r="E359" s="16">
        <v>2</v>
      </c>
      <c r="F359" s="16">
        <v>3</v>
      </c>
      <c r="G359" s="20" t="s">
        <v>1443</v>
      </c>
      <c r="H359" s="16"/>
      <c r="I359" s="16" t="s">
        <v>1633</v>
      </c>
      <c r="J359" s="16" t="s">
        <v>1634</v>
      </c>
      <c r="K359" s="16" t="s">
        <v>1635</v>
      </c>
    </row>
    <row r="360" spans="1:11" ht="255" hidden="1" x14ac:dyDescent="0.25">
      <c r="A360" s="22">
        <v>357</v>
      </c>
      <c r="B360" s="16" t="s">
        <v>1636</v>
      </c>
      <c r="C360" s="16" t="s">
        <v>1637</v>
      </c>
      <c r="D360" s="16">
        <v>13400000</v>
      </c>
      <c r="E360" s="16">
        <v>3</v>
      </c>
      <c r="F360" s="16">
        <v>3</v>
      </c>
      <c r="G360" s="20" t="s">
        <v>1443</v>
      </c>
      <c r="H360" s="16"/>
      <c r="I360" s="16" t="s">
        <v>1638</v>
      </c>
      <c r="J360" s="16" t="s">
        <v>1639</v>
      </c>
      <c r="K360" s="16" t="s">
        <v>1640</v>
      </c>
    </row>
    <row r="361" spans="1:11" ht="330" hidden="1" x14ac:dyDescent="0.25">
      <c r="A361" s="22">
        <v>358</v>
      </c>
      <c r="B361" s="16" t="s">
        <v>1641</v>
      </c>
      <c r="C361" s="16" t="s">
        <v>1642</v>
      </c>
      <c r="D361" s="16">
        <v>26289000</v>
      </c>
      <c r="E361" s="16">
        <v>4</v>
      </c>
      <c r="F361" s="16">
        <v>2</v>
      </c>
      <c r="G361" s="20" t="s">
        <v>1443</v>
      </c>
      <c r="H361" s="16"/>
      <c r="I361" s="16" t="s">
        <v>1643</v>
      </c>
      <c r="J361" s="16" t="s">
        <v>1644</v>
      </c>
      <c r="K361" s="16" t="s">
        <v>1645</v>
      </c>
    </row>
    <row r="362" spans="1:11" ht="240" hidden="1" x14ac:dyDescent="0.25">
      <c r="A362" s="22">
        <v>359</v>
      </c>
      <c r="B362" s="16" t="s">
        <v>1646</v>
      </c>
      <c r="C362" s="16" t="s">
        <v>1647</v>
      </c>
      <c r="D362" s="16">
        <v>49518484</v>
      </c>
      <c r="E362" s="16">
        <v>3</v>
      </c>
      <c r="F362" s="16">
        <v>3</v>
      </c>
      <c r="G362" s="20" t="s">
        <v>1443</v>
      </c>
      <c r="H362" s="16"/>
      <c r="I362" s="16" t="s">
        <v>1648</v>
      </c>
      <c r="J362" s="16" t="s">
        <v>1649</v>
      </c>
      <c r="K362" s="16" t="s">
        <v>1650</v>
      </c>
    </row>
    <row r="363" spans="1:11" ht="285" hidden="1" x14ac:dyDescent="0.25">
      <c r="A363" s="22">
        <v>360</v>
      </c>
      <c r="B363" s="16" t="s">
        <v>1651</v>
      </c>
      <c r="C363" s="16" t="s">
        <v>1652</v>
      </c>
      <c r="D363" s="16">
        <v>10684000</v>
      </c>
      <c r="E363" s="16">
        <v>3</v>
      </c>
      <c r="F363" s="16">
        <v>2</v>
      </c>
      <c r="G363" s="20" t="s">
        <v>1443</v>
      </c>
      <c r="H363" s="16"/>
      <c r="I363" s="16" t="s">
        <v>1653</v>
      </c>
      <c r="J363" s="16" t="s">
        <v>1654</v>
      </c>
      <c r="K363" s="16" t="s">
        <v>1655</v>
      </c>
    </row>
    <row r="364" spans="1:11" ht="409.5" hidden="1" x14ac:dyDescent="0.25">
      <c r="A364" s="22">
        <v>361</v>
      </c>
      <c r="B364" s="16" t="s">
        <v>1656</v>
      </c>
      <c r="C364" s="16" t="s">
        <v>1657</v>
      </c>
      <c r="D364" s="16">
        <v>16265000</v>
      </c>
      <c r="E364" s="16">
        <v>2</v>
      </c>
      <c r="F364" s="16">
        <v>3</v>
      </c>
      <c r="G364" s="20" t="s">
        <v>1443</v>
      </c>
      <c r="H364" s="16"/>
      <c r="I364" s="16" t="s">
        <v>1658</v>
      </c>
      <c r="J364" s="16" t="s">
        <v>1659</v>
      </c>
      <c r="K364" s="16" t="s">
        <v>1660</v>
      </c>
    </row>
    <row r="365" spans="1:11" ht="375" hidden="1" x14ac:dyDescent="0.25">
      <c r="A365" s="22">
        <v>362</v>
      </c>
      <c r="B365" s="16" t="s">
        <v>1661</v>
      </c>
      <c r="C365" s="16" t="s">
        <v>1662</v>
      </c>
      <c r="D365" s="16">
        <v>7686000</v>
      </c>
      <c r="E365" s="16">
        <v>4</v>
      </c>
      <c r="F365" s="16">
        <v>2</v>
      </c>
      <c r="G365" s="20" t="s">
        <v>1443</v>
      </c>
      <c r="H365" s="16"/>
      <c r="I365" s="16" t="s">
        <v>1663</v>
      </c>
      <c r="J365" s="16" t="s">
        <v>1664</v>
      </c>
      <c r="K365" s="16" t="s">
        <v>1665</v>
      </c>
    </row>
    <row r="366" spans="1:11" ht="375" hidden="1" x14ac:dyDescent="0.25">
      <c r="A366" s="22">
        <v>363</v>
      </c>
      <c r="B366" s="16" t="s">
        <v>1666</v>
      </c>
      <c r="C366" s="16" t="s">
        <v>1667</v>
      </c>
      <c r="D366" s="16">
        <v>10365000</v>
      </c>
      <c r="E366" s="16">
        <v>4</v>
      </c>
      <c r="F366" s="16">
        <v>2</v>
      </c>
      <c r="G366" s="20" t="s">
        <v>1443</v>
      </c>
      <c r="H366" s="16"/>
      <c r="I366" s="16" t="s">
        <v>1663</v>
      </c>
      <c r="J366" s="16" t="s">
        <v>1668</v>
      </c>
      <c r="K366" s="16" t="s">
        <v>1665</v>
      </c>
    </row>
    <row r="367" spans="1:11" ht="330" hidden="1" x14ac:dyDescent="0.25">
      <c r="A367" s="22">
        <v>364</v>
      </c>
      <c r="B367" s="16" t="s">
        <v>1669</v>
      </c>
      <c r="C367" s="16" t="s">
        <v>1670</v>
      </c>
      <c r="D367" s="16">
        <v>17553000</v>
      </c>
      <c r="E367" s="16">
        <v>2</v>
      </c>
      <c r="F367" s="16">
        <v>3</v>
      </c>
      <c r="G367" s="20" t="s">
        <v>1443</v>
      </c>
      <c r="H367" s="16"/>
      <c r="I367" s="16" t="s">
        <v>1671</v>
      </c>
      <c r="J367" s="16" t="s">
        <v>1672</v>
      </c>
      <c r="K367" s="16" t="s">
        <v>1673</v>
      </c>
    </row>
    <row r="368" spans="1:11" ht="240" hidden="1" x14ac:dyDescent="0.25">
      <c r="A368" s="22">
        <v>365</v>
      </c>
      <c r="B368" s="16" t="s">
        <v>1674</v>
      </c>
      <c r="C368" s="16" t="s">
        <v>1675</v>
      </c>
      <c r="D368" s="16">
        <v>50000000</v>
      </c>
      <c r="E368" s="16">
        <v>2</v>
      </c>
      <c r="F368" s="16">
        <v>4</v>
      </c>
      <c r="G368" s="20" t="s">
        <v>1443</v>
      </c>
      <c r="H368" s="16"/>
      <c r="I368" s="16" t="s">
        <v>1676</v>
      </c>
      <c r="J368" s="16" t="s">
        <v>1677</v>
      </c>
      <c r="K368" s="16" t="s">
        <v>1678</v>
      </c>
    </row>
    <row r="369" spans="1:11" ht="255" hidden="1" x14ac:dyDescent="0.25">
      <c r="A369" s="22">
        <v>366</v>
      </c>
      <c r="B369" s="16" t="s">
        <v>1679</v>
      </c>
      <c r="C369" s="16" t="s">
        <v>1680</v>
      </c>
      <c r="D369" s="16">
        <v>45000000</v>
      </c>
      <c r="E369" s="16">
        <v>2</v>
      </c>
      <c r="F369" s="16">
        <v>4</v>
      </c>
      <c r="G369" s="20" t="s">
        <v>1443</v>
      </c>
      <c r="H369" s="16"/>
      <c r="I369" s="16" t="s">
        <v>1681</v>
      </c>
      <c r="J369" s="16" t="s">
        <v>1682</v>
      </c>
      <c r="K369" s="16" t="s">
        <v>1683</v>
      </c>
    </row>
    <row r="370" spans="1:11" ht="225" hidden="1" x14ac:dyDescent="0.25">
      <c r="A370" s="22">
        <v>367</v>
      </c>
      <c r="B370" s="16" t="s">
        <v>1684</v>
      </c>
      <c r="C370" s="16" t="s">
        <v>1685</v>
      </c>
      <c r="D370" s="16">
        <v>16400000</v>
      </c>
      <c r="E370" s="16">
        <v>2</v>
      </c>
      <c r="F370" s="16">
        <v>4</v>
      </c>
      <c r="G370" s="20" t="s">
        <v>1443</v>
      </c>
      <c r="H370" s="16"/>
      <c r="I370" s="16" t="s">
        <v>1686</v>
      </c>
      <c r="J370" s="16" t="s">
        <v>1687</v>
      </c>
      <c r="K370" s="16" t="s">
        <v>1688</v>
      </c>
    </row>
    <row r="371" spans="1:11" ht="225" hidden="1" x14ac:dyDescent="0.25">
      <c r="A371" s="22">
        <v>368</v>
      </c>
      <c r="B371" s="16" t="s">
        <v>1689</v>
      </c>
      <c r="C371" s="16" t="s">
        <v>1690</v>
      </c>
      <c r="D371" s="16">
        <v>8740000</v>
      </c>
      <c r="E371" s="16">
        <v>2</v>
      </c>
      <c r="F371" s="16">
        <v>4</v>
      </c>
      <c r="G371" s="20" t="s">
        <v>1443</v>
      </c>
      <c r="H371" s="16"/>
      <c r="I371" s="16" t="s">
        <v>1691</v>
      </c>
      <c r="J371" s="16" t="s">
        <v>1692</v>
      </c>
      <c r="K371" s="16" t="s">
        <v>1693</v>
      </c>
    </row>
    <row r="372" spans="1:11" ht="240" hidden="1" x14ac:dyDescent="0.25">
      <c r="A372" s="22">
        <v>369</v>
      </c>
      <c r="B372" s="16" t="s">
        <v>1694</v>
      </c>
      <c r="C372" s="16" t="s">
        <v>1695</v>
      </c>
      <c r="D372" s="16">
        <v>16010000</v>
      </c>
      <c r="E372" s="16">
        <v>2</v>
      </c>
      <c r="F372" s="16">
        <v>4</v>
      </c>
      <c r="G372" s="20" t="s">
        <v>1443</v>
      </c>
      <c r="H372" s="16"/>
      <c r="I372" s="16" t="s">
        <v>1696</v>
      </c>
      <c r="J372" s="16" t="s">
        <v>130</v>
      </c>
      <c r="K372" s="16" t="s">
        <v>1697</v>
      </c>
    </row>
    <row r="373" spans="1:11" ht="240" hidden="1" x14ac:dyDescent="0.25">
      <c r="A373" s="22">
        <v>370</v>
      </c>
      <c r="B373" s="16" t="s">
        <v>1698</v>
      </c>
      <c r="C373" s="16" t="s">
        <v>1699</v>
      </c>
      <c r="D373" s="16">
        <v>13146000</v>
      </c>
      <c r="E373" s="16">
        <v>2</v>
      </c>
      <c r="F373" s="16">
        <v>4</v>
      </c>
      <c r="G373" s="20" t="s">
        <v>1443</v>
      </c>
      <c r="H373" s="16"/>
      <c r="I373" s="16" t="s">
        <v>1696</v>
      </c>
      <c r="J373" s="16" t="s">
        <v>130</v>
      </c>
      <c r="K373" s="16" t="s">
        <v>1700</v>
      </c>
    </row>
    <row r="374" spans="1:11" ht="285" hidden="1" x14ac:dyDescent="0.25">
      <c r="A374" s="22">
        <v>371</v>
      </c>
      <c r="B374" s="16" t="s">
        <v>1701</v>
      </c>
      <c r="C374" s="16" t="s">
        <v>1702</v>
      </c>
      <c r="D374" s="16">
        <v>50000000</v>
      </c>
      <c r="E374" s="16">
        <v>2</v>
      </c>
      <c r="F374" s="16">
        <v>4</v>
      </c>
      <c r="G374" s="20" t="s">
        <v>1443</v>
      </c>
      <c r="H374" s="16"/>
      <c r="I374" s="16" t="s">
        <v>1676</v>
      </c>
      <c r="J374" s="16" t="s">
        <v>1703</v>
      </c>
      <c r="K374" s="16" t="s">
        <v>1678</v>
      </c>
    </row>
    <row r="375" spans="1:11" ht="255" hidden="1" x14ac:dyDescent="0.25">
      <c r="A375" s="22">
        <v>372</v>
      </c>
      <c r="B375" s="16" t="s">
        <v>1704</v>
      </c>
      <c r="C375" s="16" t="s">
        <v>1705</v>
      </c>
      <c r="D375" s="16">
        <v>50000000</v>
      </c>
      <c r="E375" s="16">
        <v>2</v>
      </c>
      <c r="F375" s="16">
        <v>4</v>
      </c>
      <c r="G375" s="20" t="s">
        <v>1443</v>
      </c>
      <c r="H375" s="16"/>
      <c r="I375" s="16" t="s">
        <v>1681</v>
      </c>
      <c r="J375" s="16" t="s">
        <v>1682</v>
      </c>
      <c r="K375" s="16" t="s">
        <v>1683</v>
      </c>
    </row>
    <row r="376" spans="1:11" ht="240" hidden="1" x14ac:dyDescent="0.25">
      <c r="A376" s="22">
        <v>373</v>
      </c>
      <c r="B376" s="16" t="s">
        <v>1706</v>
      </c>
      <c r="C376" s="16" t="s">
        <v>1707</v>
      </c>
      <c r="D376" s="16">
        <v>8130000</v>
      </c>
      <c r="E376" s="16">
        <v>2</v>
      </c>
      <c r="F376" s="16">
        <v>4</v>
      </c>
      <c r="G376" s="20" t="s">
        <v>1443</v>
      </c>
      <c r="H376" s="16"/>
      <c r="I376" s="16" t="s">
        <v>1708</v>
      </c>
      <c r="J376" s="16" t="s">
        <v>1046</v>
      </c>
      <c r="K376" s="16" t="s">
        <v>1709</v>
      </c>
    </row>
    <row r="377" spans="1:11" ht="225" hidden="1" x14ac:dyDescent="0.25">
      <c r="A377" s="22">
        <v>374</v>
      </c>
      <c r="B377" s="16" t="s">
        <v>1710</v>
      </c>
      <c r="C377" s="16" t="s">
        <v>1711</v>
      </c>
      <c r="D377" s="16">
        <v>9920000</v>
      </c>
      <c r="E377" s="16">
        <v>2</v>
      </c>
      <c r="F377" s="16">
        <v>4</v>
      </c>
      <c r="G377" s="20" t="s">
        <v>1443</v>
      </c>
      <c r="H377" s="16"/>
      <c r="I377" s="16" t="s">
        <v>1686</v>
      </c>
      <c r="J377" s="16" t="s">
        <v>1687</v>
      </c>
      <c r="K377" s="16" t="s">
        <v>1688</v>
      </c>
    </row>
    <row r="378" spans="1:11" ht="270" hidden="1" x14ac:dyDescent="0.25">
      <c r="A378" s="22">
        <v>375</v>
      </c>
      <c r="B378" s="16" t="s">
        <v>1712</v>
      </c>
      <c r="C378" s="16" t="s">
        <v>1713</v>
      </c>
      <c r="D378" s="16">
        <v>6660000</v>
      </c>
      <c r="E378" s="16">
        <v>2</v>
      </c>
      <c r="F378" s="16">
        <v>4</v>
      </c>
      <c r="G378" s="20" t="s">
        <v>1443</v>
      </c>
      <c r="H378" s="16"/>
      <c r="I378" s="16" t="s">
        <v>1691</v>
      </c>
      <c r="J378" s="16" t="s">
        <v>1714</v>
      </c>
      <c r="K378" s="16" t="s">
        <v>1693</v>
      </c>
    </row>
    <row r="379" spans="1:11" ht="285" hidden="1" x14ac:dyDescent="0.25">
      <c r="A379" s="22">
        <v>376</v>
      </c>
      <c r="B379" s="16" t="s">
        <v>1715</v>
      </c>
      <c r="C379" s="16" t="s">
        <v>1716</v>
      </c>
      <c r="D379" s="16">
        <v>21600000</v>
      </c>
      <c r="E379" s="16">
        <v>2</v>
      </c>
      <c r="F379" s="16">
        <v>4</v>
      </c>
      <c r="G379" s="20" t="s">
        <v>1443</v>
      </c>
      <c r="H379" s="16"/>
      <c r="I379" s="16" t="s">
        <v>1717</v>
      </c>
      <c r="J379" s="16" t="s">
        <v>1718</v>
      </c>
      <c r="K379" s="16" t="s">
        <v>1719</v>
      </c>
    </row>
    <row r="380" spans="1:11" ht="240" hidden="1" x14ac:dyDescent="0.25">
      <c r="A380" s="22">
        <v>377</v>
      </c>
      <c r="B380" s="16" t="s">
        <v>1720</v>
      </c>
      <c r="C380" s="16" t="s">
        <v>1721</v>
      </c>
      <c r="D380" s="16">
        <v>35000000</v>
      </c>
      <c r="E380" s="16">
        <v>2</v>
      </c>
      <c r="F380" s="16">
        <v>4</v>
      </c>
      <c r="G380" s="20" t="s">
        <v>1443</v>
      </c>
      <c r="H380" s="16"/>
      <c r="I380" s="16" t="s">
        <v>1676</v>
      </c>
      <c r="J380" s="16" t="s">
        <v>1722</v>
      </c>
      <c r="K380" s="16" t="s">
        <v>1723</v>
      </c>
    </row>
    <row r="381" spans="1:11" ht="255" hidden="1" x14ac:dyDescent="0.25">
      <c r="A381" s="22">
        <v>378</v>
      </c>
      <c r="B381" s="16" t="s">
        <v>1724</v>
      </c>
      <c r="C381" s="16" t="s">
        <v>1725</v>
      </c>
      <c r="D381" s="16">
        <v>33159100</v>
      </c>
      <c r="E381" s="16">
        <v>2</v>
      </c>
      <c r="F381" s="16">
        <v>4</v>
      </c>
      <c r="G381" s="20" t="s">
        <v>1443</v>
      </c>
      <c r="H381" s="16"/>
      <c r="I381" s="16" t="s">
        <v>1681</v>
      </c>
      <c r="J381" s="16" t="s">
        <v>1682</v>
      </c>
      <c r="K381" s="16" t="s">
        <v>1683</v>
      </c>
    </row>
    <row r="382" spans="1:11" ht="225" hidden="1" x14ac:dyDescent="0.25">
      <c r="A382" s="22">
        <v>379</v>
      </c>
      <c r="B382" s="16" t="s">
        <v>1726</v>
      </c>
      <c r="C382" s="16" t="s">
        <v>1727</v>
      </c>
      <c r="D382" s="16">
        <v>6680000</v>
      </c>
      <c r="E382" s="16">
        <v>2</v>
      </c>
      <c r="F382" s="16">
        <v>4</v>
      </c>
      <c r="G382" s="20" t="s">
        <v>1443</v>
      </c>
      <c r="H382" s="16"/>
      <c r="I382" s="16" t="s">
        <v>1686</v>
      </c>
      <c r="J382" s="16" t="s">
        <v>1687</v>
      </c>
      <c r="K382" s="16" t="s">
        <v>1688</v>
      </c>
    </row>
    <row r="383" spans="1:11" ht="240" hidden="1" x14ac:dyDescent="0.25">
      <c r="A383" s="22">
        <v>380</v>
      </c>
      <c r="B383" s="16" t="s">
        <v>1728</v>
      </c>
      <c r="C383" s="16" t="s">
        <v>1729</v>
      </c>
      <c r="D383" s="16">
        <v>10371000</v>
      </c>
      <c r="E383" s="16">
        <v>2</v>
      </c>
      <c r="F383" s="16">
        <v>4</v>
      </c>
      <c r="G383" s="20" t="s">
        <v>1443</v>
      </c>
      <c r="H383" s="16"/>
      <c r="I383" s="16" t="s">
        <v>1730</v>
      </c>
      <c r="J383" s="16" t="s">
        <v>130</v>
      </c>
      <c r="K383" s="16" t="s">
        <v>1731</v>
      </c>
    </row>
    <row r="384" spans="1:11" ht="285" hidden="1" x14ac:dyDescent="0.25">
      <c r="A384" s="22">
        <v>381</v>
      </c>
      <c r="B384" s="16" t="s">
        <v>1732</v>
      </c>
      <c r="C384" s="16" t="s">
        <v>1733</v>
      </c>
      <c r="D384" s="16">
        <v>20052000</v>
      </c>
      <c r="E384" s="16">
        <v>2</v>
      </c>
      <c r="F384" s="16">
        <v>4</v>
      </c>
      <c r="G384" s="20" t="s">
        <v>1443</v>
      </c>
      <c r="H384" s="16"/>
      <c r="I384" s="16" t="s">
        <v>1734</v>
      </c>
      <c r="J384" s="16" t="s">
        <v>1735</v>
      </c>
      <c r="K384" s="16" t="s">
        <v>1736</v>
      </c>
    </row>
    <row r="385" spans="1:11" ht="240" hidden="1" x14ac:dyDescent="0.25">
      <c r="A385" s="22">
        <v>382</v>
      </c>
      <c r="B385" s="16" t="s">
        <v>1737</v>
      </c>
      <c r="C385" s="16" t="s">
        <v>1738</v>
      </c>
      <c r="D385" s="16">
        <v>7360000</v>
      </c>
      <c r="E385" s="16">
        <v>2</v>
      </c>
      <c r="F385" s="16">
        <v>4</v>
      </c>
      <c r="G385" s="20" t="s">
        <v>1443</v>
      </c>
      <c r="H385" s="16"/>
      <c r="I385" s="16" t="s">
        <v>1691</v>
      </c>
      <c r="J385" s="16" t="s">
        <v>1739</v>
      </c>
      <c r="K385" s="16" t="s">
        <v>1740</v>
      </c>
    </row>
    <row r="386" spans="1:11" ht="300" hidden="1" x14ac:dyDescent="0.25">
      <c r="A386" s="22">
        <v>383</v>
      </c>
      <c r="B386" s="16" t="s">
        <v>1741</v>
      </c>
      <c r="C386" s="16" t="s">
        <v>1742</v>
      </c>
      <c r="D386" s="16">
        <v>24267000</v>
      </c>
      <c r="E386" s="16">
        <v>2</v>
      </c>
      <c r="F386" s="16">
        <v>3</v>
      </c>
      <c r="G386" s="20" t="s">
        <v>1443</v>
      </c>
      <c r="H386" s="16"/>
      <c r="I386" s="16" t="s">
        <v>1663</v>
      </c>
      <c r="J386" s="16" t="s">
        <v>1743</v>
      </c>
      <c r="K386" s="16" t="s">
        <v>1744</v>
      </c>
    </row>
    <row r="387" spans="1:11" ht="360" hidden="1" x14ac:dyDescent="0.25">
      <c r="A387" s="22">
        <v>384</v>
      </c>
      <c r="B387" s="16" t="s">
        <v>1745</v>
      </c>
      <c r="C387" s="16" t="s">
        <v>1746</v>
      </c>
      <c r="D387" s="16">
        <v>12219000</v>
      </c>
      <c r="E387" s="16">
        <v>2</v>
      </c>
      <c r="F387" s="16">
        <v>3</v>
      </c>
      <c r="G387" s="20" t="s">
        <v>1443</v>
      </c>
      <c r="H387" s="16"/>
      <c r="I387" s="16" t="s">
        <v>714</v>
      </c>
      <c r="J387" s="16" t="s">
        <v>1604</v>
      </c>
      <c r="K387" s="16" t="s">
        <v>1747</v>
      </c>
    </row>
    <row r="388" spans="1:11" ht="409.5" hidden="1" x14ac:dyDescent="0.25">
      <c r="A388" s="22">
        <v>385</v>
      </c>
      <c r="B388" s="16" t="s">
        <v>1748</v>
      </c>
      <c r="C388" s="16" t="s">
        <v>1749</v>
      </c>
      <c r="D388" s="16">
        <v>23959000</v>
      </c>
      <c r="E388" s="16">
        <v>2</v>
      </c>
      <c r="F388" s="16">
        <v>4</v>
      </c>
      <c r="G388" s="20" t="s">
        <v>1443</v>
      </c>
      <c r="H388" s="16"/>
      <c r="I388" s="16" t="s">
        <v>1750</v>
      </c>
      <c r="J388" s="16" t="s">
        <v>1751</v>
      </c>
      <c r="K388" s="16" t="s">
        <v>1752</v>
      </c>
    </row>
    <row r="389" spans="1:11" ht="405" hidden="1" x14ac:dyDescent="0.25">
      <c r="A389" s="22">
        <v>386</v>
      </c>
      <c r="B389" s="16" t="s">
        <v>1753</v>
      </c>
      <c r="C389" s="16" t="s">
        <v>1754</v>
      </c>
      <c r="D389" s="16">
        <v>19200000</v>
      </c>
      <c r="E389" s="16">
        <v>3</v>
      </c>
      <c r="F389" s="16">
        <v>3</v>
      </c>
      <c r="G389" s="20" t="s">
        <v>1443</v>
      </c>
      <c r="H389" s="16"/>
      <c r="I389" s="16" t="s">
        <v>1663</v>
      </c>
      <c r="J389" s="16" t="s">
        <v>1755</v>
      </c>
      <c r="K389" s="16" t="s">
        <v>1756</v>
      </c>
    </row>
    <row r="390" spans="1:11" ht="285" hidden="1" x14ac:dyDescent="0.25">
      <c r="A390" s="22">
        <v>387</v>
      </c>
      <c r="B390" s="16" t="s">
        <v>1757</v>
      </c>
      <c r="C390" s="16" t="s">
        <v>1758</v>
      </c>
      <c r="D390" s="16">
        <v>18120000</v>
      </c>
      <c r="E390" s="16">
        <v>2</v>
      </c>
      <c r="F390" s="16">
        <v>5</v>
      </c>
      <c r="G390" s="20" t="s">
        <v>1443</v>
      </c>
      <c r="H390" s="16"/>
      <c r="I390" s="16" t="s">
        <v>1759</v>
      </c>
      <c r="J390" s="16" t="s">
        <v>1760</v>
      </c>
      <c r="K390" s="16" t="s">
        <v>1761</v>
      </c>
    </row>
    <row r="391" spans="1:11" ht="300" hidden="1" x14ac:dyDescent="0.25">
      <c r="A391" s="22">
        <v>388</v>
      </c>
      <c r="B391" s="16" t="s">
        <v>1762</v>
      </c>
      <c r="C391" s="16" t="s">
        <v>1763</v>
      </c>
      <c r="D391" s="16">
        <v>18990000</v>
      </c>
      <c r="E391" s="16">
        <v>3</v>
      </c>
      <c r="F391" s="16">
        <v>3</v>
      </c>
      <c r="G391" s="20" t="s">
        <v>1443</v>
      </c>
      <c r="H391" s="16"/>
      <c r="I391" s="16" t="s">
        <v>1764</v>
      </c>
      <c r="J391" s="16" t="s">
        <v>1765</v>
      </c>
      <c r="K391" s="16" t="s">
        <v>1766</v>
      </c>
    </row>
    <row r="392" spans="1:11" ht="409.5" hidden="1" x14ac:dyDescent="0.25">
      <c r="A392" s="22">
        <v>389</v>
      </c>
      <c r="B392" s="16" t="s">
        <v>1767</v>
      </c>
      <c r="C392" s="16" t="s">
        <v>1768</v>
      </c>
      <c r="D392" s="16">
        <v>17475000</v>
      </c>
      <c r="E392" s="16">
        <v>3</v>
      </c>
      <c r="F392" s="16">
        <v>3</v>
      </c>
      <c r="G392" s="20" t="s">
        <v>1443</v>
      </c>
      <c r="H392" s="16"/>
      <c r="I392" s="16" t="s">
        <v>1769</v>
      </c>
      <c r="J392" s="16" t="s">
        <v>1770</v>
      </c>
      <c r="K392" s="16" t="s">
        <v>1771</v>
      </c>
    </row>
    <row r="393" spans="1:11" ht="409.5" hidden="1" x14ac:dyDescent="0.25">
      <c r="A393" s="22">
        <v>390</v>
      </c>
      <c r="B393" s="16" t="s">
        <v>1772</v>
      </c>
      <c r="C393" s="16" t="s">
        <v>1773</v>
      </c>
      <c r="D393" s="16">
        <v>15150000</v>
      </c>
      <c r="E393" s="16">
        <v>3</v>
      </c>
      <c r="F393" s="16">
        <v>3</v>
      </c>
      <c r="G393" s="20" t="s">
        <v>1443</v>
      </c>
      <c r="H393" s="16"/>
      <c r="I393" s="16" t="s">
        <v>1774</v>
      </c>
      <c r="J393" s="16" t="s">
        <v>1775</v>
      </c>
      <c r="K393" s="16" t="s">
        <v>1776</v>
      </c>
    </row>
    <row r="394" spans="1:11" ht="409.5" hidden="1" x14ac:dyDescent="0.25">
      <c r="A394" s="22">
        <v>391</v>
      </c>
      <c r="B394" s="16" t="s">
        <v>1777</v>
      </c>
      <c r="C394" s="16" t="s">
        <v>1778</v>
      </c>
      <c r="D394" s="16">
        <v>32010000</v>
      </c>
      <c r="E394" s="16">
        <v>3</v>
      </c>
      <c r="F394" s="16">
        <v>3</v>
      </c>
      <c r="G394" s="20" t="s">
        <v>1443</v>
      </c>
      <c r="H394" s="16"/>
      <c r="I394" s="16" t="s">
        <v>1779</v>
      </c>
      <c r="J394" s="16" t="s">
        <v>1780</v>
      </c>
      <c r="K394" s="16" t="s">
        <v>1781</v>
      </c>
    </row>
    <row r="395" spans="1:11" ht="330" hidden="1" x14ac:dyDescent="0.25">
      <c r="A395" s="22">
        <v>392</v>
      </c>
      <c r="B395" s="16" t="s">
        <v>1782</v>
      </c>
      <c r="C395" s="16" t="s">
        <v>1783</v>
      </c>
      <c r="D395" s="16">
        <v>92687645</v>
      </c>
      <c r="E395" s="16">
        <v>2</v>
      </c>
      <c r="F395" s="16">
        <v>5</v>
      </c>
      <c r="G395" s="20" t="s">
        <v>1443</v>
      </c>
      <c r="H395" s="16"/>
      <c r="I395" s="16" t="s">
        <v>140</v>
      </c>
      <c r="J395" s="16" t="s">
        <v>1784</v>
      </c>
      <c r="K395" s="16" t="s">
        <v>142</v>
      </c>
    </row>
    <row r="396" spans="1:11" ht="360" hidden="1" x14ac:dyDescent="0.25">
      <c r="A396" s="22">
        <v>393</v>
      </c>
      <c r="B396" s="16" t="s">
        <v>1785</v>
      </c>
      <c r="C396" s="16" t="s">
        <v>1786</v>
      </c>
      <c r="D396" s="16">
        <v>17455000</v>
      </c>
      <c r="E396" s="16">
        <v>2</v>
      </c>
      <c r="F396" s="16">
        <v>5</v>
      </c>
      <c r="G396" s="20" t="s">
        <v>1443</v>
      </c>
      <c r="H396" s="16"/>
      <c r="I396" s="16" t="s">
        <v>1787</v>
      </c>
      <c r="J396" s="16" t="s">
        <v>1788</v>
      </c>
      <c r="K396" s="16" t="s">
        <v>1789</v>
      </c>
    </row>
    <row r="397" spans="1:11" ht="300" hidden="1" x14ac:dyDescent="0.25">
      <c r="A397" s="22">
        <v>394</v>
      </c>
      <c r="B397" s="16" t="s">
        <v>1790</v>
      </c>
      <c r="C397" s="16" t="s">
        <v>1791</v>
      </c>
      <c r="D397" s="16">
        <v>10652000</v>
      </c>
      <c r="E397" s="16">
        <v>2</v>
      </c>
      <c r="F397" s="16">
        <v>3</v>
      </c>
      <c r="G397" s="20" t="s">
        <v>1443</v>
      </c>
      <c r="H397" s="16"/>
      <c r="I397" s="16" t="s">
        <v>1663</v>
      </c>
      <c r="J397" s="16" t="s">
        <v>1792</v>
      </c>
      <c r="K397" s="16" t="s">
        <v>1793</v>
      </c>
    </row>
    <row r="398" spans="1:11" ht="409.5" hidden="1" x14ac:dyDescent="0.25">
      <c r="A398" s="22">
        <v>395</v>
      </c>
      <c r="B398" s="16" t="s">
        <v>1794</v>
      </c>
      <c r="C398" s="16" t="s">
        <v>1795</v>
      </c>
      <c r="D398" s="16">
        <v>11158500</v>
      </c>
      <c r="E398" s="16">
        <v>2</v>
      </c>
      <c r="F398" s="16">
        <v>5</v>
      </c>
      <c r="G398" s="20" t="s">
        <v>1443</v>
      </c>
      <c r="H398" s="16"/>
      <c r="I398" s="16" t="s">
        <v>1594</v>
      </c>
      <c r="J398" s="16" t="s">
        <v>1796</v>
      </c>
      <c r="K398" s="16" t="s">
        <v>1797</v>
      </c>
    </row>
    <row r="399" spans="1:11" ht="405" hidden="1" x14ac:dyDescent="0.25">
      <c r="A399" s="22">
        <v>396</v>
      </c>
      <c r="B399" s="16" t="s">
        <v>1798</v>
      </c>
      <c r="C399" s="16" t="s">
        <v>1799</v>
      </c>
      <c r="D399" s="16">
        <v>13147000</v>
      </c>
      <c r="E399" s="16">
        <v>2</v>
      </c>
      <c r="F399" s="16">
        <v>3</v>
      </c>
      <c r="G399" s="20" t="s">
        <v>1443</v>
      </c>
      <c r="H399" s="16"/>
      <c r="I399" s="16" t="s">
        <v>1800</v>
      </c>
      <c r="J399" s="16" t="s">
        <v>1801</v>
      </c>
      <c r="K399" s="16" t="s">
        <v>1802</v>
      </c>
    </row>
    <row r="400" spans="1:11" ht="270" hidden="1" x14ac:dyDescent="0.25">
      <c r="A400" s="22">
        <v>397</v>
      </c>
      <c r="B400" s="16" t="s">
        <v>1803</v>
      </c>
      <c r="C400" s="16" t="s">
        <v>1804</v>
      </c>
      <c r="D400" s="16">
        <v>18106000</v>
      </c>
      <c r="E400" s="16">
        <v>2</v>
      </c>
      <c r="F400" s="16">
        <v>5</v>
      </c>
      <c r="G400" s="20" t="s">
        <v>1443</v>
      </c>
      <c r="H400" s="16"/>
      <c r="I400" s="16" t="s">
        <v>1805</v>
      </c>
      <c r="J400" s="16" t="s">
        <v>1806</v>
      </c>
      <c r="K400" s="16" t="s">
        <v>1807</v>
      </c>
    </row>
    <row r="401" spans="1:11" ht="300" hidden="1" x14ac:dyDescent="0.25">
      <c r="A401" s="22">
        <v>398</v>
      </c>
      <c r="B401" s="16" t="s">
        <v>1808</v>
      </c>
      <c r="C401" s="16" t="s">
        <v>1809</v>
      </c>
      <c r="D401" s="16">
        <v>21700089</v>
      </c>
      <c r="E401" s="16">
        <v>2</v>
      </c>
      <c r="F401" s="16">
        <v>5</v>
      </c>
      <c r="G401" s="20" t="s">
        <v>1443</v>
      </c>
      <c r="H401" s="16"/>
      <c r="I401" s="16" t="s">
        <v>1810</v>
      </c>
      <c r="J401" s="16" t="s">
        <v>1811</v>
      </c>
      <c r="K401" s="16" t="s">
        <v>1812</v>
      </c>
    </row>
    <row r="402" spans="1:11" ht="90" hidden="1" x14ac:dyDescent="0.25">
      <c r="A402" s="22">
        <v>399</v>
      </c>
      <c r="B402" s="16" t="s">
        <v>1813</v>
      </c>
      <c r="C402" s="16" t="s">
        <v>1814</v>
      </c>
      <c r="D402" s="16">
        <v>1965000</v>
      </c>
      <c r="E402" s="16">
        <v>2</v>
      </c>
      <c r="F402" s="16">
        <v>3</v>
      </c>
      <c r="G402" s="20" t="s">
        <v>1443</v>
      </c>
      <c r="H402" s="16"/>
      <c r="I402" s="16" t="s">
        <v>1815</v>
      </c>
      <c r="J402" s="16" t="s">
        <v>1816</v>
      </c>
      <c r="K402" s="16" t="s">
        <v>1817</v>
      </c>
    </row>
    <row r="403" spans="1:11" ht="240" hidden="1" x14ac:dyDescent="0.25">
      <c r="A403" s="22">
        <v>400</v>
      </c>
      <c r="B403" s="16" t="s">
        <v>1818</v>
      </c>
      <c r="C403" s="16" t="s">
        <v>1819</v>
      </c>
      <c r="D403" s="16">
        <v>5715000</v>
      </c>
      <c r="E403" s="16">
        <v>2</v>
      </c>
      <c r="F403" s="16">
        <v>3</v>
      </c>
      <c r="G403" s="20" t="s">
        <v>1443</v>
      </c>
      <c r="H403" s="16"/>
      <c r="I403" s="16" t="s">
        <v>1820</v>
      </c>
      <c r="J403" s="16" t="s">
        <v>1821</v>
      </c>
      <c r="K403" s="16" t="s">
        <v>1822</v>
      </c>
    </row>
    <row r="404" spans="1:11" ht="255" hidden="1" x14ac:dyDescent="0.25">
      <c r="A404" s="22">
        <v>401</v>
      </c>
      <c r="B404" s="16" t="s">
        <v>1823</v>
      </c>
      <c r="C404" s="16" t="s">
        <v>1824</v>
      </c>
      <c r="D404" s="16">
        <v>11340000</v>
      </c>
      <c r="E404" s="16">
        <v>3</v>
      </c>
      <c r="F404" s="16">
        <v>3</v>
      </c>
      <c r="G404" s="20" t="s">
        <v>1443</v>
      </c>
      <c r="H404" s="16"/>
      <c r="I404" s="16" t="s">
        <v>1825</v>
      </c>
      <c r="J404" s="16" t="s">
        <v>1826</v>
      </c>
      <c r="K404" s="16" t="s">
        <v>1827</v>
      </c>
    </row>
    <row r="405" spans="1:11" ht="300" hidden="1" x14ac:dyDescent="0.25">
      <c r="A405" s="22">
        <v>402</v>
      </c>
      <c r="B405" s="16" t="s">
        <v>1828</v>
      </c>
      <c r="C405" s="16" t="s">
        <v>1829</v>
      </c>
      <c r="D405" s="16">
        <v>38395000</v>
      </c>
      <c r="E405" s="16">
        <v>2</v>
      </c>
      <c r="F405" s="16">
        <v>4</v>
      </c>
      <c r="G405" s="20" t="s">
        <v>1443</v>
      </c>
      <c r="H405" s="16"/>
      <c r="I405" s="16" t="s">
        <v>1830</v>
      </c>
      <c r="J405" s="16" t="s">
        <v>1831</v>
      </c>
      <c r="K405" s="16" t="s">
        <v>1832</v>
      </c>
    </row>
    <row r="406" spans="1:11" ht="270" hidden="1" x14ac:dyDescent="0.25">
      <c r="A406" s="22">
        <v>403</v>
      </c>
      <c r="B406" s="16" t="s">
        <v>1833</v>
      </c>
      <c r="C406" s="16" t="s">
        <v>1834</v>
      </c>
      <c r="D406" s="16">
        <v>105864510</v>
      </c>
      <c r="E406" s="16">
        <v>2</v>
      </c>
      <c r="F406" s="16">
        <v>4</v>
      </c>
      <c r="G406" s="20" t="s">
        <v>1443</v>
      </c>
      <c r="H406" s="16"/>
      <c r="I406" s="16" t="s">
        <v>1676</v>
      </c>
      <c r="J406" s="16" t="s">
        <v>1835</v>
      </c>
      <c r="K406" s="16" t="s">
        <v>1678</v>
      </c>
    </row>
    <row r="407" spans="1:11" ht="225" hidden="1" x14ac:dyDescent="0.25">
      <c r="A407" s="22">
        <v>404</v>
      </c>
      <c r="B407" s="16" t="s">
        <v>1836</v>
      </c>
      <c r="C407" s="16" t="s">
        <v>1837</v>
      </c>
      <c r="D407" s="16">
        <v>11360000</v>
      </c>
      <c r="E407" s="16">
        <v>2</v>
      </c>
      <c r="F407" s="16">
        <v>4</v>
      </c>
      <c r="G407" s="20" t="s">
        <v>1443</v>
      </c>
      <c r="H407" s="16"/>
      <c r="I407" s="16" t="s">
        <v>1691</v>
      </c>
      <c r="J407" s="16" t="s">
        <v>1838</v>
      </c>
      <c r="K407" s="16" t="s">
        <v>1839</v>
      </c>
    </row>
    <row r="408" spans="1:11" ht="255" hidden="1" x14ac:dyDescent="0.25">
      <c r="A408" s="22">
        <v>405</v>
      </c>
      <c r="B408" s="16" t="s">
        <v>1840</v>
      </c>
      <c r="C408" s="16" t="s">
        <v>1841</v>
      </c>
      <c r="D408" s="16">
        <v>22710900</v>
      </c>
      <c r="E408" s="16">
        <v>2</v>
      </c>
      <c r="F408" s="16">
        <v>4</v>
      </c>
      <c r="G408" s="20" t="s">
        <v>1443</v>
      </c>
      <c r="H408" s="16"/>
      <c r="I408" s="16" t="s">
        <v>1681</v>
      </c>
      <c r="J408" s="16" t="s">
        <v>1682</v>
      </c>
      <c r="K408" s="16" t="s">
        <v>1683</v>
      </c>
    </row>
    <row r="409" spans="1:11" ht="240" hidden="1" x14ac:dyDescent="0.25">
      <c r="A409" s="22">
        <v>406</v>
      </c>
      <c r="B409" s="16" t="s">
        <v>1842</v>
      </c>
      <c r="C409" s="16" t="s">
        <v>1843</v>
      </c>
      <c r="D409" s="16">
        <v>9115000</v>
      </c>
      <c r="E409" s="16">
        <v>2</v>
      </c>
      <c r="F409" s="16">
        <v>4</v>
      </c>
      <c r="G409" s="20" t="s">
        <v>1443</v>
      </c>
      <c r="H409" s="16"/>
      <c r="I409" s="16" t="s">
        <v>1844</v>
      </c>
      <c r="J409" s="16" t="s">
        <v>1845</v>
      </c>
      <c r="K409" s="16" t="s">
        <v>1846</v>
      </c>
    </row>
    <row r="410" spans="1:11" ht="300" hidden="1" x14ac:dyDescent="0.25">
      <c r="A410" s="22">
        <v>407</v>
      </c>
      <c r="B410" s="16" t="s">
        <v>1847</v>
      </c>
      <c r="C410" s="16" t="s">
        <v>1848</v>
      </c>
      <c r="D410" s="16">
        <v>28940000</v>
      </c>
      <c r="E410" s="16">
        <v>2</v>
      </c>
      <c r="F410" s="16">
        <v>4</v>
      </c>
      <c r="G410" s="20" t="s">
        <v>1443</v>
      </c>
      <c r="H410" s="16"/>
      <c r="I410" s="16" t="s">
        <v>1849</v>
      </c>
      <c r="J410" s="16" t="s">
        <v>1850</v>
      </c>
      <c r="K410" s="16" t="s">
        <v>1851</v>
      </c>
    </row>
    <row r="411" spans="1:11" ht="225" hidden="1" x14ac:dyDescent="0.25">
      <c r="A411" s="22">
        <v>408</v>
      </c>
      <c r="B411" s="16" t="s">
        <v>1852</v>
      </c>
      <c r="C411" s="16" t="s">
        <v>1853</v>
      </c>
      <c r="D411" s="16">
        <v>8300000</v>
      </c>
      <c r="E411" s="16">
        <v>2</v>
      </c>
      <c r="F411" s="16">
        <v>4</v>
      </c>
      <c r="G411" s="20" t="s">
        <v>1443</v>
      </c>
      <c r="H411" s="16"/>
      <c r="I411" s="16" t="s">
        <v>1686</v>
      </c>
      <c r="J411" s="16" t="s">
        <v>1687</v>
      </c>
      <c r="K411" s="16" t="s">
        <v>1688</v>
      </c>
    </row>
    <row r="412" spans="1:11" ht="165" hidden="1" x14ac:dyDescent="0.25">
      <c r="A412" s="22">
        <v>409</v>
      </c>
      <c r="B412" s="16" t="s">
        <v>1854</v>
      </c>
      <c r="C412" s="16" t="s">
        <v>1855</v>
      </c>
      <c r="D412" s="16">
        <v>10625000</v>
      </c>
      <c r="E412" s="16">
        <v>3</v>
      </c>
      <c r="F412" s="16">
        <v>3</v>
      </c>
      <c r="G412" s="20" t="s">
        <v>1443</v>
      </c>
      <c r="H412" s="16"/>
      <c r="I412" s="16" t="s">
        <v>1856</v>
      </c>
      <c r="J412" s="16" t="s">
        <v>1857</v>
      </c>
      <c r="K412" s="16" t="s">
        <v>1858</v>
      </c>
    </row>
    <row r="413" spans="1:11" ht="225" hidden="1" x14ac:dyDescent="0.25">
      <c r="A413" s="22">
        <v>410</v>
      </c>
      <c r="B413" s="16" t="s">
        <v>1859</v>
      </c>
      <c r="C413" s="16" t="s">
        <v>1860</v>
      </c>
      <c r="D413" s="16">
        <v>12259000</v>
      </c>
      <c r="E413" s="16">
        <v>2</v>
      </c>
      <c r="F413" s="16">
        <v>3</v>
      </c>
      <c r="G413" s="20" t="s">
        <v>1443</v>
      </c>
      <c r="H413" s="16"/>
      <c r="I413" s="16" t="s">
        <v>1861</v>
      </c>
      <c r="J413" s="16" t="s">
        <v>1862</v>
      </c>
      <c r="K413" s="16" t="s">
        <v>1863</v>
      </c>
    </row>
    <row r="414" spans="1:11" ht="240" hidden="1" x14ac:dyDescent="0.25">
      <c r="A414" s="22">
        <v>411</v>
      </c>
      <c r="B414" s="16" t="s">
        <v>1864</v>
      </c>
      <c r="C414" s="16" t="s">
        <v>1865</v>
      </c>
      <c r="D414" s="16">
        <v>46800000</v>
      </c>
      <c r="E414" s="16">
        <v>2</v>
      </c>
      <c r="F414" s="16">
        <v>3</v>
      </c>
      <c r="G414" s="20" t="s">
        <v>1443</v>
      </c>
      <c r="H414" s="16"/>
      <c r="I414" s="16" t="s">
        <v>1866</v>
      </c>
      <c r="J414" s="16" t="s">
        <v>1867</v>
      </c>
      <c r="K414" s="16" t="s">
        <v>142</v>
      </c>
    </row>
    <row r="415" spans="1:11" ht="270" hidden="1" x14ac:dyDescent="0.25">
      <c r="A415" s="22">
        <v>412</v>
      </c>
      <c r="B415" s="16" t="s">
        <v>1868</v>
      </c>
      <c r="C415" s="16" t="s">
        <v>1869</v>
      </c>
      <c r="D415" s="16">
        <v>285248955</v>
      </c>
      <c r="E415" s="16">
        <v>2</v>
      </c>
      <c r="F415" s="16">
        <v>5</v>
      </c>
      <c r="G415" s="20" t="s">
        <v>1443</v>
      </c>
      <c r="H415" s="16"/>
      <c r="I415" s="16" t="s">
        <v>140</v>
      </c>
      <c r="J415" s="16" t="s">
        <v>1870</v>
      </c>
      <c r="K415" s="16" t="s">
        <v>142</v>
      </c>
    </row>
    <row r="416" spans="1:11" ht="225" hidden="1" x14ac:dyDescent="0.25">
      <c r="A416" s="22">
        <v>413</v>
      </c>
      <c r="B416" s="16" t="s">
        <v>1871</v>
      </c>
      <c r="C416" s="16" t="s">
        <v>1872</v>
      </c>
      <c r="D416" s="16">
        <v>49835457</v>
      </c>
      <c r="E416" s="16">
        <v>2</v>
      </c>
      <c r="F416" s="16">
        <v>3</v>
      </c>
      <c r="G416" s="20" t="s">
        <v>1443</v>
      </c>
      <c r="H416" s="16"/>
      <c r="I416" s="16" t="s">
        <v>380</v>
      </c>
      <c r="J416" s="16" t="s">
        <v>1873</v>
      </c>
      <c r="K416" s="16" t="s">
        <v>1563</v>
      </c>
    </row>
    <row r="417" spans="1:11" ht="195" hidden="1" x14ac:dyDescent="0.25">
      <c r="A417" s="22">
        <v>414</v>
      </c>
      <c r="B417" s="16" t="s">
        <v>1874</v>
      </c>
      <c r="C417" s="16" t="s">
        <v>1875</v>
      </c>
      <c r="D417" s="16">
        <v>7485000</v>
      </c>
      <c r="E417" s="16">
        <v>2</v>
      </c>
      <c r="F417" s="16">
        <v>5</v>
      </c>
      <c r="G417" s="20" t="s">
        <v>1443</v>
      </c>
      <c r="H417" s="16"/>
      <c r="I417" s="16" t="s">
        <v>1876</v>
      </c>
      <c r="J417" s="16" t="s">
        <v>1877</v>
      </c>
      <c r="K417" s="16" t="s">
        <v>1878</v>
      </c>
    </row>
    <row r="418" spans="1:11" ht="240" hidden="1" x14ac:dyDescent="0.25">
      <c r="A418" s="22">
        <v>415</v>
      </c>
      <c r="B418" s="16" t="s">
        <v>1879</v>
      </c>
      <c r="C418" s="16" t="s">
        <v>1880</v>
      </c>
      <c r="D418" s="16">
        <v>24208000</v>
      </c>
      <c r="E418" s="16">
        <v>2</v>
      </c>
      <c r="F418" s="16">
        <v>5</v>
      </c>
      <c r="G418" s="20" t="s">
        <v>1443</v>
      </c>
      <c r="H418" s="16"/>
      <c r="I418" s="16" t="s">
        <v>1881</v>
      </c>
      <c r="J418" s="16" t="s">
        <v>130</v>
      </c>
      <c r="K418" s="16" t="s">
        <v>131</v>
      </c>
    </row>
    <row r="419" spans="1:11" ht="360" hidden="1" x14ac:dyDescent="0.25">
      <c r="A419" s="22">
        <v>416</v>
      </c>
      <c r="B419" s="16" t="s">
        <v>1882</v>
      </c>
      <c r="C419" s="16" t="s">
        <v>1883</v>
      </c>
      <c r="D419" s="16">
        <v>157950910</v>
      </c>
      <c r="E419" s="16">
        <v>2</v>
      </c>
      <c r="F419" s="16">
        <v>5</v>
      </c>
      <c r="G419" s="20" t="s">
        <v>1443</v>
      </c>
      <c r="H419" s="16"/>
      <c r="I419" s="16" t="s">
        <v>1884</v>
      </c>
      <c r="J419" s="16" t="s">
        <v>1885</v>
      </c>
      <c r="K419" s="16" t="s">
        <v>1886</v>
      </c>
    </row>
    <row r="420" spans="1:11" ht="360" hidden="1" x14ac:dyDescent="0.25">
      <c r="A420" s="22">
        <v>417</v>
      </c>
      <c r="B420" s="16" t="s">
        <v>1887</v>
      </c>
      <c r="C420" s="16" t="s">
        <v>1888</v>
      </c>
      <c r="D420" s="16">
        <v>98527444</v>
      </c>
      <c r="E420" s="16">
        <v>2</v>
      </c>
      <c r="F420" s="16">
        <v>5</v>
      </c>
      <c r="G420" s="20" t="s">
        <v>1443</v>
      </c>
      <c r="H420" s="16"/>
      <c r="I420" s="16" t="s">
        <v>1884</v>
      </c>
      <c r="J420" s="16" t="s">
        <v>1885</v>
      </c>
      <c r="K420" s="16" t="s">
        <v>1886</v>
      </c>
    </row>
    <row r="421" spans="1:11" ht="285" hidden="1" x14ac:dyDescent="0.25">
      <c r="A421" s="22">
        <v>418</v>
      </c>
      <c r="B421" s="16" t="s">
        <v>1889</v>
      </c>
      <c r="C421" s="16" t="s">
        <v>1890</v>
      </c>
      <c r="D421" s="16">
        <v>199898830</v>
      </c>
      <c r="E421" s="16">
        <v>3</v>
      </c>
      <c r="F421" s="16">
        <v>3</v>
      </c>
      <c r="G421" s="20" t="s">
        <v>1443</v>
      </c>
      <c r="H421" s="16"/>
      <c r="I421" s="16" t="s">
        <v>1891</v>
      </c>
      <c r="J421" s="16" t="s">
        <v>1892</v>
      </c>
      <c r="K421" s="16" t="s">
        <v>142</v>
      </c>
    </row>
    <row r="422" spans="1:11" ht="210" hidden="1" x14ac:dyDescent="0.25">
      <c r="A422" s="22">
        <v>419</v>
      </c>
      <c r="B422" s="16" t="s">
        <v>1893</v>
      </c>
      <c r="C422" s="16" t="s">
        <v>1894</v>
      </c>
      <c r="D422" s="16">
        <v>3320000</v>
      </c>
      <c r="E422" s="16">
        <v>2</v>
      </c>
      <c r="F422" s="16">
        <v>5</v>
      </c>
      <c r="G422" s="20" t="s">
        <v>1443</v>
      </c>
      <c r="H422" s="16"/>
      <c r="I422" s="16" t="s">
        <v>1895</v>
      </c>
      <c r="J422" s="16" t="s">
        <v>1896</v>
      </c>
      <c r="K422" s="16" t="s">
        <v>1897</v>
      </c>
    </row>
    <row r="423" spans="1:11" ht="225" hidden="1" x14ac:dyDescent="0.25">
      <c r="A423" s="22">
        <v>420</v>
      </c>
      <c r="B423" s="16" t="s">
        <v>1898</v>
      </c>
      <c r="C423" s="16" t="s">
        <v>1899</v>
      </c>
      <c r="D423" s="16">
        <v>49950000</v>
      </c>
      <c r="E423" s="16">
        <v>2</v>
      </c>
      <c r="F423" s="16">
        <v>3</v>
      </c>
      <c r="G423" s="20" t="s">
        <v>1443</v>
      </c>
      <c r="H423" s="16"/>
      <c r="I423" s="16" t="s">
        <v>380</v>
      </c>
      <c r="J423" s="16" t="s">
        <v>1900</v>
      </c>
      <c r="K423" s="16" t="s">
        <v>1563</v>
      </c>
    </row>
    <row r="424" spans="1:11" ht="240" hidden="1" x14ac:dyDescent="0.25">
      <c r="A424" s="22">
        <v>421</v>
      </c>
      <c r="B424" s="16" t="s">
        <v>1901</v>
      </c>
      <c r="C424" s="16" t="s">
        <v>1902</v>
      </c>
      <c r="D424" s="16">
        <v>3300000</v>
      </c>
      <c r="E424" s="16">
        <v>3</v>
      </c>
      <c r="F424" s="16">
        <v>3</v>
      </c>
      <c r="G424" s="20" t="s">
        <v>1443</v>
      </c>
      <c r="H424" s="16"/>
      <c r="I424" s="16" t="s">
        <v>1903</v>
      </c>
      <c r="J424" s="16" t="s">
        <v>1904</v>
      </c>
      <c r="K424" s="16" t="s">
        <v>1905</v>
      </c>
    </row>
    <row r="425" spans="1:11" ht="210" hidden="1" x14ac:dyDescent="0.25">
      <c r="A425" s="22">
        <v>422</v>
      </c>
      <c r="B425" s="16" t="s">
        <v>1906</v>
      </c>
      <c r="C425" s="16" t="s">
        <v>1907</v>
      </c>
      <c r="D425" s="16">
        <v>4073000</v>
      </c>
      <c r="E425" s="16">
        <v>3</v>
      </c>
      <c r="F425" s="16">
        <v>3</v>
      </c>
      <c r="G425" s="20" t="s">
        <v>1443</v>
      </c>
      <c r="H425" s="16"/>
      <c r="I425" s="16" t="s">
        <v>1908</v>
      </c>
      <c r="J425" s="16" t="s">
        <v>1909</v>
      </c>
      <c r="K425" s="16" t="s">
        <v>1910</v>
      </c>
    </row>
    <row r="426" spans="1:11" ht="210" hidden="1" x14ac:dyDescent="0.25">
      <c r="A426" s="22">
        <v>423</v>
      </c>
      <c r="B426" s="16" t="s">
        <v>1911</v>
      </c>
      <c r="C426" s="16" t="s">
        <v>1912</v>
      </c>
      <c r="D426" s="16">
        <v>4592000</v>
      </c>
      <c r="E426" s="16">
        <v>3</v>
      </c>
      <c r="F426" s="16">
        <v>3</v>
      </c>
      <c r="G426" s="20" t="s">
        <v>1443</v>
      </c>
      <c r="H426" s="16"/>
      <c r="I426" s="16" t="s">
        <v>1913</v>
      </c>
      <c r="J426" s="16" t="s">
        <v>1914</v>
      </c>
      <c r="K426" s="16" t="s">
        <v>1915</v>
      </c>
    </row>
    <row r="427" spans="1:11" ht="225" hidden="1" x14ac:dyDescent="0.25">
      <c r="A427" s="22">
        <v>424</v>
      </c>
      <c r="B427" s="16" t="s">
        <v>1916</v>
      </c>
      <c r="C427" s="16" t="s">
        <v>1917</v>
      </c>
      <c r="D427" s="16">
        <v>6523000</v>
      </c>
      <c r="E427" s="16">
        <v>2</v>
      </c>
      <c r="F427" s="16">
        <v>4</v>
      </c>
      <c r="G427" s="20" t="s">
        <v>1443</v>
      </c>
      <c r="H427" s="16"/>
      <c r="I427" s="16" t="s">
        <v>1918</v>
      </c>
      <c r="J427" s="16" t="s">
        <v>1919</v>
      </c>
      <c r="K427" s="16" t="s">
        <v>1920</v>
      </c>
    </row>
    <row r="428" spans="1:11" ht="210" hidden="1" x14ac:dyDescent="0.25">
      <c r="A428" s="22">
        <v>425</v>
      </c>
      <c r="B428" s="16" t="s">
        <v>1921</v>
      </c>
      <c r="C428" s="16" t="s">
        <v>1922</v>
      </c>
      <c r="D428" s="16">
        <v>75211600</v>
      </c>
      <c r="E428" s="16">
        <v>3</v>
      </c>
      <c r="F428" s="16">
        <v>3</v>
      </c>
      <c r="G428" s="20" t="s">
        <v>1443</v>
      </c>
      <c r="H428" s="16"/>
      <c r="I428" s="16" t="s">
        <v>1923</v>
      </c>
      <c r="J428" s="16" t="s">
        <v>1924</v>
      </c>
      <c r="K428" s="16" t="s">
        <v>1925</v>
      </c>
    </row>
    <row r="429" spans="1:11" ht="285" hidden="1" x14ac:dyDescent="0.25">
      <c r="A429" s="22">
        <v>426</v>
      </c>
      <c r="B429" s="16" t="s">
        <v>1926</v>
      </c>
      <c r="C429" s="16" t="s">
        <v>1927</v>
      </c>
      <c r="D429" s="16">
        <v>11200000</v>
      </c>
      <c r="E429" s="16">
        <v>3</v>
      </c>
      <c r="F429" s="16">
        <v>3</v>
      </c>
      <c r="G429" s="20" t="s">
        <v>1443</v>
      </c>
      <c r="H429" s="16"/>
      <c r="I429" s="16" t="s">
        <v>1928</v>
      </c>
      <c r="J429" s="16" t="s">
        <v>1929</v>
      </c>
      <c r="K429" s="16" t="s">
        <v>1930</v>
      </c>
    </row>
    <row r="430" spans="1:11" ht="195" hidden="1" x14ac:dyDescent="0.25">
      <c r="A430" s="22">
        <v>427</v>
      </c>
      <c r="B430" s="16" t="s">
        <v>1931</v>
      </c>
      <c r="C430" s="16" t="s">
        <v>1932</v>
      </c>
      <c r="D430" s="16">
        <v>4965000</v>
      </c>
      <c r="E430" s="16">
        <v>2</v>
      </c>
      <c r="F430" s="16">
        <v>3</v>
      </c>
      <c r="G430" s="20" t="s">
        <v>1443</v>
      </c>
      <c r="H430" s="16"/>
      <c r="I430" s="16" t="s">
        <v>1613</v>
      </c>
      <c r="J430" s="16" t="s">
        <v>1933</v>
      </c>
      <c r="K430" s="16" t="s">
        <v>1615</v>
      </c>
    </row>
    <row r="431" spans="1:11" ht="210" hidden="1" x14ac:dyDescent="0.25">
      <c r="A431" s="22">
        <v>428</v>
      </c>
      <c r="B431" s="16" t="s">
        <v>1934</v>
      </c>
      <c r="C431" s="16" t="s">
        <v>1935</v>
      </c>
      <c r="D431" s="16">
        <v>6965000</v>
      </c>
      <c r="E431" s="16">
        <v>3</v>
      </c>
      <c r="F431" s="16">
        <v>3</v>
      </c>
      <c r="G431" s="20" t="s">
        <v>1443</v>
      </c>
      <c r="H431" s="16"/>
      <c r="I431" s="16" t="s">
        <v>1936</v>
      </c>
      <c r="J431" s="16" t="s">
        <v>1937</v>
      </c>
      <c r="K431" s="16" t="s">
        <v>1938</v>
      </c>
    </row>
    <row r="432" spans="1:11" ht="360" hidden="1" x14ac:dyDescent="0.25">
      <c r="A432" s="22">
        <v>429</v>
      </c>
      <c r="B432" s="16" t="s">
        <v>1939</v>
      </c>
      <c r="C432" s="16" t="s">
        <v>1940</v>
      </c>
      <c r="D432" s="16">
        <v>144902000</v>
      </c>
      <c r="E432" s="16">
        <v>3</v>
      </c>
      <c r="F432" s="16">
        <v>2</v>
      </c>
      <c r="G432" s="20" t="s">
        <v>1443</v>
      </c>
      <c r="H432" s="16"/>
      <c r="I432" s="16" t="s">
        <v>1941</v>
      </c>
      <c r="J432" s="16" t="s">
        <v>1942</v>
      </c>
      <c r="K432" s="16" t="s">
        <v>1943</v>
      </c>
    </row>
    <row r="433" spans="1:11" ht="210" hidden="1" x14ac:dyDescent="0.25">
      <c r="A433" s="22">
        <v>430</v>
      </c>
      <c r="B433" s="16" t="s">
        <v>1944</v>
      </c>
      <c r="C433" s="16" t="s">
        <v>1945</v>
      </c>
      <c r="D433" s="16">
        <v>12907000</v>
      </c>
      <c r="E433" s="16">
        <v>2</v>
      </c>
      <c r="F433" s="16">
        <v>3</v>
      </c>
      <c r="G433" s="20" t="s">
        <v>1443</v>
      </c>
      <c r="H433" s="16"/>
      <c r="I433" s="16" t="s">
        <v>1946</v>
      </c>
      <c r="J433" s="16" t="s">
        <v>1947</v>
      </c>
      <c r="K433" s="16" t="s">
        <v>1948</v>
      </c>
    </row>
    <row r="434" spans="1:11" ht="330" hidden="1" x14ac:dyDescent="0.25">
      <c r="A434" s="22">
        <v>431</v>
      </c>
      <c r="B434" s="16" t="s">
        <v>1949</v>
      </c>
      <c r="C434" s="16" t="s">
        <v>1950</v>
      </c>
      <c r="D434" s="16">
        <v>14975000</v>
      </c>
      <c r="E434" s="16">
        <v>3</v>
      </c>
      <c r="F434" s="16">
        <v>3</v>
      </c>
      <c r="G434" s="20" t="s">
        <v>1443</v>
      </c>
      <c r="H434" s="16"/>
      <c r="I434" s="16" t="s">
        <v>642</v>
      </c>
      <c r="J434" s="16" t="s">
        <v>1951</v>
      </c>
      <c r="K434" s="16" t="s">
        <v>1952</v>
      </c>
    </row>
    <row r="435" spans="1:11" ht="375" hidden="1" x14ac:dyDescent="0.25">
      <c r="A435" s="22">
        <v>432</v>
      </c>
      <c r="B435" s="16" t="s">
        <v>1953</v>
      </c>
      <c r="C435" s="16" t="s">
        <v>1954</v>
      </c>
      <c r="D435" s="16">
        <v>47870000</v>
      </c>
      <c r="E435" s="16">
        <v>3</v>
      </c>
      <c r="F435" s="16">
        <v>3</v>
      </c>
      <c r="G435" s="20" t="s">
        <v>1443</v>
      </c>
      <c r="H435" s="16"/>
      <c r="I435" s="16" t="s">
        <v>1581</v>
      </c>
      <c r="J435" s="16" t="s">
        <v>1582</v>
      </c>
      <c r="K435" s="16" t="s">
        <v>1955</v>
      </c>
    </row>
    <row r="436" spans="1:11" ht="390" hidden="1" x14ac:dyDescent="0.25">
      <c r="A436" s="22">
        <v>433</v>
      </c>
      <c r="B436" s="16" t="s">
        <v>1956</v>
      </c>
      <c r="C436" s="16" t="s">
        <v>1957</v>
      </c>
      <c r="D436" s="16">
        <v>27085000</v>
      </c>
      <c r="E436" s="16">
        <v>3</v>
      </c>
      <c r="F436" s="16">
        <v>3</v>
      </c>
      <c r="G436" s="20" t="s">
        <v>1443</v>
      </c>
      <c r="H436" s="16"/>
      <c r="I436" s="16" t="s">
        <v>642</v>
      </c>
      <c r="J436" s="16" t="s">
        <v>1958</v>
      </c>
      <c r="K436" s="16" t="s">
        <v>1959</v>
      </c>
    </row>
    <row r="437" spans="1:11" ht="375" hidden="1" x14ac:dyDescent="0.25">
      <c r="A437" s="22">
        <v>434</v>
      </c>
      <c r="B437" s="16" t="s">
        <v>1960</v>
      </c>
      <c r="C437" s="16" t="s">
        <v>1961</v>
      </c>
      <c r="D437" s="16">
        <v>8665000</v>
      </c>
      <c r="E437" s="16">
        <v>3</v>
      </c>
      <c r="F437" s="16">
        <v>3</v>
      </c>
      <c r="G437" s="20" t="s">
        <v>1443</v>
      </c>
      <c r="H437" s="16"/>
      <c r="I437" s="16" t="s">
        <v>1962</v>
      </c>
      <c r="J437" s="16" t="s">
        <v>1963</v>
      </c>
      <c r="K437" s="16" t="s">
        <v>1964</v>
      </c>
    </row>
    <row r="438" spans="1:11" ht="390" hidden="1" x14ac:dyDescent="0.25">
      <c r="A438" s="22">
        <v>435</v>
      </c>
      <c r="B438" s="16" t="s">
        <v>1965</v>
      </c>
      <c r="C438" s="16" t="s">
        <v>1966</v>
      </c>
      <c r="D438" s="16">
        <v>18790000</v>
      </c>
      <c r="E438" s="16">
        <v>3</v>
      </c>
      <c r="F438" s="16">
        <v>3</v>
      </c>
      <c r="G438" s="20" t="s">
        <v>1443</v>
      </c>
      <c r="H438" s="16"/>
      <c r="I438" s="16" t="s">
        <v>1663</v>
      </c>
      <c r="J438" s="16" t="s">
        <v>1967</v>
      </c>
      <c r="K438" s="16" t="s">
        <v>1968</v>
      </c>
    </row>
    <row r="439" spans="1:11" ht="255" hidden="1" x14ac:dyDescent="0.25">
      <c r="A439" s="22">
        <v>436</v>
      </c>
      <c r="B439" s="16" t="s">
        <v>1969</v>
      </c>
      <c r="C439" s="16" t="s">
        <v>1970</v>
      </c>
      <c r="D439" s="16">
        <v>6980000</v>
      </c>
      <c r="E439" s="16">
        <v>3</v>
      </c>
      <c r="F439" s="16">
        <v>3</v>
      </c>
      <c r="G439" s="20" t="s">
        <v>1443</v>
      </c>
      <c r="H439" s="16"/>
      <c r="I439" s="16" t="s">
        <v>1663</v>
      </c>
      <c r="J439" s="16" t="s">
        <v>1971</v>
      </c>
      <c r="K439" s="16" t="s">
        <v>1971</v>
      </c>
    </row>
    <row r="440" spans="1:11" ht="270" hidden="1" x14ac:dyDescent="0.25">
      <c r="A440" s="22">
        <v>437</v>
      </c>
      <c r="B440" s="16" t="s">
        <v>1972</v>
      </c>
      <c r="C440" s="16" t="s">
        <v>1973</v>
      </c>
      <c r="D440" s="16">
        <v>7690000</v>
      </c>
      <c r="E440" s="16">
        <v>3</v>
      </c>
      <c r="F440" s="16">
        <v>3</v>
      </c>
      <c r="G440" s="20" t="s">
        <v>1443</v>
      </c>
      <c r="H440" s="16"/>
      <c r="I440" s="16" t="s">
        <v>1663</v>
      </c>
      <c r="J440" s="16" t="s">
        <v>1974</v>
      </c>
      <c r="K440" s="16" t="s">
        <v>1975</v>
      </c>
    </row>
    <row r="441" spans="1:11" ht="409.5" hidden="1" x14ac:dyDescent="0.25">
      <c r="A441" s="22">
        <v>438</v>
      </c>
      <c r="B441" s="16" t="s">
        <v>1976</v>
      </c>
      <c r="C441" s="16" t="s">
        <v>1977</v>
      </c>
      <c r="D441" s="16">
        <v>21545000</v>
      </c>
      <c r="E441" s="16">
        <v>3</v>
      </c>
      <c r="F441" s="16">
        <v>3</v>
      </c>
      <c r="G441" s="20" t="s">
        <v>1443</v>
      </c>
      <c r="H441" s="16"/>
      <c r="I441" s="16" t="s">
        <v>1663</v>
      </c>
      <c r="J441" s="16" t="s">
        <v>1978</v>
      </c>
      <c r="K441" s="16" t="s">
        <v>1979</v>
      </c>
    </row>
    <row r="442" spans="1:11" ht="255" hidden="1" x14ac:dyDescent="0.25">
      <c r="A442" s="22">
        <v>439</v>
      </c>
      <c r="B442" s="16" t="s">
        <v>1980</v>
      </c>
      <c r="C442" s="16" t="s">
        <v>1981</v>
      </c>
      <c r="D442" s="16">
        <v>36820200</v>
      </c>
      <c r="E442" s="16">
        <v>2</v>
      </c>
      <c r="F442" s="16">
        <v>4</v>
      </c>
      <c r="G442" s="20" t="s">
        <v>1443</v>
      </c>
      <c r="H442" s="16"/>
      <c r="I442" s="16" t="s">
        <v>1982</v>
      </c>
      <c r="J442" s="16" t="s">
        <v>1682</v>
      </c>
      <c r="K442" s="16" t="s">
        <v>1683</v>
      </c>
    </row>
    <row r="443" spans="1:11" ht="225" hidden="1" x14ac:dyDescent="0.25">
      <c r="A443" s="22">
        <v>440</v>
      </c>
      <c r="B443" s="16" t="s">
        <v>1983</v>
      </c>
      <c r="C443" s="16" t="s">
        <v>1984</v>
      </c>
      <c r="D443" s="16">
        <v>20385000</v>
      </c>
      <c r="E443" s="16">
        <v>2</v>
      </c>
      <c r="F443" s="16">
        <v>4</v>
      </c>
      <c r="G443" s="20" t="s">
        <v>1443</v>
      </c>
      <c r="H443" s="16"/>
      <c r="I443" s="16" t="s">
        <v>1985</v>
      </c>
      <c r="J443" s="16" t="s">
        <v>1687</v>
      </c>
      <c r="K443" s="16" t="s">
        <v>1688</v>
      </c>
    </row>
    <row r="444" spans="1:11" ht="255" hidden="1" x14ac:dyDescent="0.25">
      <c r="A444" s="22">
        <v>441</v>
      </c>
      <c r="B444" s="16" t="s">
        <v>1986</v>
      </c>
      <c r="C444" s="16" t="s">
        <v>1987</v>
      </c>
      <c r="D444" s="16">
        <v>7020000</v>
      </c>
      <c r="E444" s="16">
        <v>2</v>
      </c>
      <c r="F444" s="16">
        <v>4</v>
      </c>
      <c r="G444" s="20" t="s">
        <v>1443</v>
      </c>
      <c r="H444" s="16"/>
      <c r="I444" s="16" t="s">
        <v>1691</v>
      </c>
      <c r="J444" s="16" t="s">
        <v>1988</v>
      </c>
      <c r="K444" s="16" t="s">
        <v>1693</v>
      </c>
    </row>
    <row r="445" spans="1:11" ht="240" hidden="1" x14ac:dyDescent="0.25">
      <c r="A445" s="22">
        <v>442</v>
      </c>
      <c r="B445" s="16" t="s">
        <v>1989</v>
      </c>
      <c r="C445" s="16" t="s">
        <v>1990</v>
      </c>
      <c r="D445" s="16">
        <v>15155000</v>
      </c>
      <c r="E445" s="16">
        <v>2</v>
      </c>
      <c r="F445" s="16">
        <v>4</v>
      </c>
      <c r="G445" s="20" t="s">
        <v>1443</v>
      </c>
      <c r="H445" s="16"/>
      <c r="I445" s="16" t="s">
        <v>1991</v>
      </c>
      <c r="J445" s="16" t="s">
        <v>130</v>
      </c>
      <c r="K445" s="16" t="s">
        <v>1992</v>
      </c>
    </row>
    <row r="446" spans="1:11" ht="270" hidden="1" x14ac:dyDescent="0.25">
      <c r="A446" s="22">
        <v>443</v>
      </c>
      <c r="B446" s="16" t="s">
        <v>1993</v>
      </c>
      <c r="C446" s="16" t="s">
        <v>1994</v>
      </c>
      <c r="D446" s="16">
        <v>15150000</v>
      </c>
      <c r="E446" s="16">
        <v>2</v>
      </c>
      <c r="F446" s="16">
        <v>4</v>
      </c>
      <c r="G446" s="20" t="s">
        <v>1443</v>
      </c>
      <c r="H446" s="16"/>
      <c r="I446" s="16" t="s">
        <v>1995</v>
      </c>
      <c r="J446" s="16" t="s">
        <v>1996</v>
      </c>
      <c r="K446" s="16" t="s">
        <v>137</v>
      </c>
    </row>
    <row r="447" spans="1:11" ht="270" hidden="1" x14ac:dyDescent="0.25">
      <c r="A447" s="22">
        <v>444</v>
      </c>
      <c r="B447" s="16" t="s">
        <v>1997</v>
      </c>
      <c r="C447" s="16" t="s">
        <v>1998</v>
      </c>
      <c r="D447" s="16">
        <v>50000000</v>
      </c>
      <c r="E447" s="16">
        <v>2</v>
      </c>
      <c r="F447" s="16">
        <v>4</v>
      </c>
      <c r="G447" s="20" t="s">
        <v>1443</v>
      </c>
      <c r="H447" s="16"/>
      <c r="I447" s="16" t="s">
        <v>1999</v>
      </c>
      <c r="J447" s="16" t="s">
        <v>2000</v>
      </c>
      <c r="K447" s="16" t="s">
        <v>1678</v>
      </c>
    </row>
    <row r="448" spans="1:11" ht="360" hidden="1" x14ac:dyDescent="0.25">
      <c r="A448" s="22">
        <v>445</v>
      </c>
      <c r="B448" s="16" t="s">
        <v>2001</v>
      </c>
      <c r="C448" s="16" t="s">
        <v>2002</v>
      </c>
      <c r="D448" s="16">
        <v>36595000</v>
      </c>
      <c r="E448" s="16">
        <v>3</v>
      </c>
      <c r="F448" s="16">
        <v>3</v>
      </c>
      <c r="G448" s="20" t="s">
        <v>1443</v>
      </c>
      <c r="H448" s="16"/>
      <c r="I448" s="16" t="s">
        <v>2003</v>
      </c>
      <c r="J448" s="16" t="s">
        <v>2004</v>
      </c>
      <c r="K448" s="16" t="s">
        <v>2005</v>
      </c>
    </row>
    <row r="449" spans="1:11" ht="409.5" hidden="1" x14ac:dyDescent="0.25">
      <c r="A449" s="22">
        <v>446</v>
      </c>
      <c r="B449" s="16" t="s">
        <v>2006</v>
      </c>
      <c r="C449" s="16" t="s">
        <v>2007</v>
      </c>
      <c r="D449" s="16">
        <v>39919000</v>
      </c>
      <c r="E449" s="16">
        <v>2</v>
      </c>
      <c r="F449" s="16">
        <v>5</v>
      </c>
      <c r="G449" s="20" t="s">
        <v>1443</v>
      </c>
      <c r="H449" s="16"/>
      <c r="I449" s="16" t="s">
        <v>2008</v>
      </c>
      <c r="J449" s="16" t="s">
        <v>1097</v>
      </c>
      <c r="K449" s="16" t="s">
        <v>1098</v>
      </c>
    </row>
    <row r="450" spans="1:11" ht="409.5" hidden="1" x14ac:dyDescent="0.25">
      <c r="A450" s="22">
        <v>447</v>
      </c>
      <c r="B450" s="16" t="s">
        <v>2009</v>
      </c>
      <c r="C450" s="16" t="s">
        <v>2010</v>
      </c>
      <c r="D450" s="16">
        <v>39919000</v>
      </c>
      <c r="E450" s="16">
        <v>2</v>
      </c>
      <c r="F450" s="16">
        <v>4</v>
      </c>
      <c r="G450" s="20" t="s">
        <v>1443</v>
      </c>
      <c r="H450" s="16"/>
      <c r="I450" s="16" t="s">
        <v>2008</v>
      </c>
      <c r="J450" s="16" t="s">
        <v>1097</v>
      </c>
      <c r="K450" s="16" t="s">
        <v>1098</v>
      </c>
    </row>
    <row r="451" spans="1:11" ht="375" hidden="1" x14ac:dyDescent="0.25">
      <c r="A451" s="22">
        <v>448</v>
      </c>
      <c r="B451" s="16" t="s">
        <v>2011</v>
      </c>
      <c r="C451" s="16" t="s">
        <v>2012</v>
      </c>
      <c r="D451" s="16">
        <v>2500000</v>
      </c>
      <c r="E451" s="16">
        <v>2</v>
      </c>
      <c r="F451" s="16">
        <v>5</v>
      </c>
      <c r="G451" s="20" t="s">
        <v>1443</v>
      </c>
      <c r="H451" s="16"/>
      <c r="I451" s="16" t="s">
        <v>1101</v>
      </c>
      <c r="J451" s="16" t="s">
        <v>1102</v>
      </c>
      <c r="K451" s="16" t="s">
        <v>1103</v>
      </c>
    </row>
    <row r="452" spans="1:11" ht="375" hidden="1" x14ac:dyDescent="0.25">
      <c r="A452" s="22">
        <v>449</v>
      </c>
      <c r="B452" s="16" t="s">
        <v>2013</v>
      </c>
      <c r="C452" s="16" t="s">
        <v>2014</v>
      </c>
      <c r="D452" s="16">
        <v>2500000</v>
      </c>
      <c r="E452" s="16">
        <v>2</v>
      </c>
      <c r="F452" s="16">
        <v>4</v>
      </c>
      <c r="G452" s="20" t="s">
        <v>1443</v>
      </c>
      <c r="H452" s="16"/>
      <c r="I452" s="16" t="s">
        <v>1101</v>
      </c>
      <c r="J452" s="16" t="s">
        <v>1102</v>
      </c>
      <c r="K452" s="16" t="s">
        <v>1103</v>
      </c>
    </row>
    <row r="453" spans="1:11" ht="375" hidden="1" x14ac:dyDescent="0.25">
      <c r="A453" s="22">
        <v>450</v>
      </c>
      <c r="B453" s="16" t="s">
        <v>2015</v>
      </c>
      <c r="C453" s="16" t="s">
        <v>2016</v>
      </c>
      <c r="D453" s="16">
        <v>2500000</v>
      </c>
      <c r="E453" s="16">
        <v>2</v>
      </c>
      <c r="F453" s="16">
        <v>4</v>
      </c>
      <c r="G453" s="20" t="s">
        <v>1443</v>
      </c>
      <c r="H453" s="16"/>
      <c r="I453" s="16" t="s">
        <v>1101</v>
      </c>
      <c r="J453" s="16" t="s">
        <v>1102</v>
      </c>
      <c r="K453" s="16" t="s">
        <v>1103</v>
      </c>
    </row>
    <row r="454" spans="1:11" ht="375" hidden="1" x14ac:dyDescent="0.25">
      <c r="A454" s="22">
        <v>451</v>
      </c>
      <c r="B454" s="16" t="s">
        <v>2017</v>
      </c>
      <c r="C454" s="16" t="s">
        <v>2018</v>
      </c>
      <c r="D454" s="16">
        <v>2500000</v>
      </c>
      <c r="E454" s="16">
        <v>2</v>
      </c>
      <c r="F454" s="16">
        <v>4</v>
      </c>
      <c r="G454" s="20" t="s">
        <v>1443</v>
      </c>
      <c r="H454" s="16"/>
      <c r="I454" s="16" t="s">
        <v>1101</v>
      </c>
      <c r="J454" s="16" t="s">
        <v>1102</v>
      </c>
      <c r="K454" s="16" t="s">
        <v>1103</v>
      </c>
    </row>
    <row r="455" spans="1:11" ht="375" hidden="1" x14ac:dyDescent="0.25">
      <c r="A455" s="22">
        <v>452</v>
      </c>
      <c r="B455" s="16" t="s">
        <v>2019</v>
      </c>
      <c r="C455" s="16" t="s">
        <v>2020</v>
      </c>
      <c r="D455" s="16">
        <v>2500000</v>
      </c>
      <c r="E455" s="16">
        <v>2</v>
      </c>
      <c r="F455" s="16">
        <v>4</v>
      </c>
      <c r="G455" s="20" t="s">
        <v>1443</v>
      </c>
      <c r="H455" s="16"/>
      <c r="I455" s="16" t="s">
        <v>1101</v>
      </c>
      <c r="J455" s="16" t="s">
        <v>1102</v>
      </c>
      <c r="K455" s="16" t="s">
        <v>1103</v>
      </c>
    </row>
    <row r="456" spans="1:11" ht="375" hidden="1" x14ac:dyDescent="0.25">
      <c r="A456" s="22">
        <v>453</v>
      </c>
      <c r="B456" s="16" t="s">
        <v>2021</v>
      </c>
      <c r="C456" s="16" t="s">
        <v>2022</v>
      </c>
      <c r="D456" s="16">
        <v>2500000</v>
      </c>
      <c r="E456" s="16">
        <v>2</v>
      </c>
      <c r="F456" s="16">
        <v>4</v>
      </c>
      <c r="G456" s="20" t="s">
        <v>1443</v>
      </c>
      <c r="H456" s="16"/>
      <c r="I456" s="16" t="s">
        <v>1101</v>
      </c>
      <c r="J456" s="16" t="s">
        <v>1102</v>
      </c>
      <c r="K456" s="16" t="s">
        <v>1103</v>
      </c>
    </row>
    <row r="457" spans="1:11" ht="375" hidden="1" x14ac:dyDescent="0.25">
      <c r="A457" s="22">
        <v>454</v>
      </c>
      <c r="B457" s="16" t="s">
        <v>2023</v>
      </c>
      <c r="C457" s="16" t="s">
        <v>2024</v>
      </c>
      <c r="D457" s="16">
        <v>74782500</v>
      </c>
      <c r="E457" s="16">
        <v>2</v>
      </c>
      <c r="F457" s="16">
        <v>4</v>
      </c>
      <c r="G457" s="20" t="s">
        <v>1443</v>
      </c>
      <c r="H457" s="16"/>
      <c r="I457" s="16" t="s">
        <v>1101</v>
      </c>
      <c r="J457" s="16" t="s">
        <v>1102</v>
      </c>
      <c r="K457" s="16" t="s">
        <v>1103</v>
      </c>
    </row>
    <row r="458" spans="1:11" ht="375" hidden="1" x14ac:dyDescent="0.25">
      <c r="A458" s="22">
        <v>455</v>
      </c>
      <c r="B458" s="16" t="s">
        <v>2025</v>
      </c>
      <c r="C458" s="16" t="s">
        <v>2026</v>
      </c>
      <c r="D458" s="16">
        <v>79814200</v>
      </c>
      <c r="E458" s="16">
        <v>2</v>
      </c>
      <c r="F458" s="16">
        <v>4</v>
      </c>
      <c r="G458" s="20" t="s">
        <v>1443</v>
      </c>
      <c r="H458" s="16"/>
      <c r="I458" s="16" t="s">
        <v>1101</v>
      </c>
      <c r="J458" s="16" t="s">
        <v>1102</v>
      </c>
      <c r="K458" s="16" t="s">
        <v>1103</v>
      </c>
    </row>
    <row r="459" spans="1:11" ht="375" hidden="1" x14ac:dyDescent="0.25">
      <c r="A459" s="22">
        <v>456</v>
      </c>
      <c r="B459" s="16" t="s">
        <v>2027</v>
      </c>
      <c r="C459" s="16" t="s">
        <v>2028</v>
      </c>
      <c r="D459" s="16">
        <v>22757300</v>
      </c>
      <c r="E459" s="16">
        <v>2</v>
      </c>
      <c r="F459" s="16">
        <v>4</v>
      </c>
      <c r="G459" s="20" t="s">
        <v>1443</v>
      </c>
      <c r="H459" s="16"/>
      <c r="I459" s="16" t="s">
        <v>1101</v>
      </c>
      <c r="J459" s="16" t="s">
        <v>2029</v>
      </c>
      <c r="K459" s="16" t="s">
        <v>1103</v>
      </c>
    </row>
    <row r="460" spans="1:11" ht="180" hidden="1" x14ac:dyDescent="0.25">
      <c r="A460" s="22">
        <v>457</v>
      </c>
      <c r="B460" s="16" t="s">
        <v>2030</v>
      </c>
      <c r="C460" s="16" t="s">
        <v>2031</v>
      </c>
      <c r="D460" s="16">
        <v>43854550</v>
      </c>
      <c r="E460" s="16">
        <v>3</v>
      </c>
      <c r="F460" s="16">
        <v>3</v>
      </c>
      <c r="G460" s="20" t="s">
        <v>1443</v>
      </c>
      <c r="H460" s="16"/>
      <c r="I460" s="16" t="s">
        <v>2032</v>
      </c>
      <c r="J460" s="16" t="s">
        <v>2033</v>
      </c>
      <c r="K460" s="16" t="s">
        <v>2034</v>
      </c>
    </row>
    <row r="461" spans="1:11" ht="315" hidden="1" x14ac:dyDescent="0.25">
      <c r="A461" s="22">
        <v>458</v>
      </c>
      <c r="B461" s="16" t="s">
        <v>2035</v>
      </c>
      <c r="C461" s="16" t="s">
        <v>2036</v>
      </c>
      <c r="D461" s="16">
        <v>63100000</v>
      </c>
      <c r="E461" s="16">
        <v>3</v>
      </c>
      <c r="F461" s="16">
        <v>2</v>
      </c>
      <c r="G461" s="20" t="s">
        <v>1443</v>
      </c>
      <c r="H461" s="16"/>
      <c r="I461" s="16" t="s">
        <v>2037</v>
      </c>
      <c r="J461" s="16" t="s">
        <v>2038</v>
      </c>
      <c r="K461" s="16" t="s">
        <v>2039</v>
      </c>
    </row>
    <row r="462" spans="1:11" ht="300" hidden="1" x14ac:dyDescent="0.25">
      <c r="A462" s="22">
        <v>459</v>
      </c>
      <c r="B462" s="16" t="s">
        <v>2040</v>
      </c>
      <c r="C462" s="16" t="s">
        <v>2041</v>
      </c>
      <c r="D462" s="16">
        <v>57100000</v>
      </c>
      <c r="E462" s="16">
        <v>3</v>
      </c>
      <c r="F462" s="16">
        <v>2</v>
      </c>
      <c r="G462" s="20" t="s">
        <v>1443</v>
      </c>
      <c r="H462" s="16"/>
      <c r="I462" s="16" t="s">
        <v>2042</v>
      </c>
      <c r="J462" s="16" t="s">
        <v>2043</v>
      </c>
      <c r="K462" s="16" t="s">
        <v>2044</v>
      </c>
    </row>
    <row r="463" spans="1:11" ht="240" hidden="1" x14ac:dyDescent="0.25">
      <c r="A463" s="22">
        <v>460</v>
      </c>
      <c r="B463" s="16" t="s">
        <v>2045</v>
      </c>
      <c r="C463" s="16" t="s">
        <v>2046</v>
      </c>
      <c r="D463" s="16">
        <v>44225000</v>
      </c>
      <c r="E463" s="16">
        <v>3</v>
      </c>
      <c r="F463" s="16">
        <v>3</v>
      </c>
      <c r="G463" s="20" t="s">
        <v>1443</v>
      </c>
      <c r="H463" s="16"/>
      <c r="I463" s="16" t="s">
        <v>2047</v>
      </c>
      <c r="J463" s="16" t="s">
        <v>2048</v>
      </c>
      <c r="K463" s="16" t="s">
        <v>2049</v>
      </c>
    </row>
    <row r="464" spans="1:11" ht="300" hidden="1" x14ac:dyDescent="0.25">
      <c r="A464" s="22">
        <v>461</v>
      </c>
      <c r="B464" s="16" t="s">
        <v>2050</v>
      </c>
      <c r="C464" s="16" t="s">
        <v>2051</v>
      </c>
      <c r="D464" s="16">
        <v>45000000</v>
      </c>
      <c r="E464" s="16">
        <v>3</v>
      </c>
      <c r="F464" s="16">
        <v>3</v>
      </c>
      <c r="G464" s="20" t="s">
        <v>1443</v>
      </c>
      <c r="H464" s="16"/>
      <c r="I464" s="16" t="s">
        <v>1663</v>
      </c>
      <c r="J464" s="16" t="s">
        <v>2052</v>
      </c>
      <c r="K464" s="16" t="s">
        <v>2053</v>
      </c>
    </row>
    <row r="465" spans="1:11" ht="409.5" hidden="1" x14ac:dyDescent="0.25">
      <c r="A465" s="22">
        <v>462</v>
      </c>
      <c r="B465" s="16" t="s">
        <v>2054</v>
      </c>
      <c r="C465" s="16" t="s">
        <v>2055</v>
      </c>
      <c r="D465" s="16">
        <v>9358790</v>
      </c>
      <c r="E465" s="16">
        <v>3</v>
      </c>
      <c r="F465" s="16">
        <v>3</v>
      </c>
      <c r="G465" s="20" t="s">
        <v>1443</v>
      </c>
      <c r="H465" s="16"/>
      <c r="I465" s="16" t="s">
        <v>2056</v>
      </c>
      <c r="J465" s="16" t="s">
        <v>2057</v>
      </c>
      <c r="K465" s="16" t="s">
        <v>2058</v>
      </c>
    </row>
    <row r="466" spans="1:11" ht="409.5" hidden="1" x14ac:dyDescent="0.25">
      <c r="A466" s="22">
        <v>463</v>
      </c>
      <c r="B466" s="16" t="s">
        <v>2059</v>
      </c>
      <c r="C466" s="16" t="s">
        <v>2060</v>
      </c>
      <c r="D466" s="16">
        <v>19466000</v>
      </c>
      <c r="E466" s="16">
        <v>2</v>
      </c>
      <c r="F466" s="16">
        <v>4</v>
      </c>
      <c r="G466" s="20" t="s">
        <v>1443</v>
      </c>
      <c r="H466" s="16"/>
      <c r="I466" s="16" t="s">
        <v>2061</v>
      </c>
      <c r="J466" s="16" t="s">
        <v>2062</v>
      </c>
      <c r="K466" s="16" t="s">
        <v>2063</v>
      </c>
    </row>
    <row r="467" spans="1:11" ht="409.5" hidden="1" x14ac:dyDescent="0.25">
      <c r="A467" s="22">
        <v>464</v>
      </c>
      <c r="B467" s="16" t="s">
        <v>2064</v>
      </c>
      <c r="C467" s="16" t="s">
        <v>2065</v>
      </c>
      <c r="D467" s="16">
        <v>20675000</v>
      </c>
      <c r="E467" s="16">
        <v>2</v>
      </c>
      <c r="F467" s="16">
        <v>3</v>
      </c>
      <c r="G467" s="20" t="s">
        <v>1443</v>
      </c>
      <c r="H467" s="16"/>
      <c r="I467" s="16" t="s">
        <v>2066</v>
      </c>
      <c r="J467" s="16" t="s">
        <v>2067</v>
      </c>
      <c r="K467" s="16" t="s">
        <v>2068</v>
      </c>
    </row>
    <row r="468" spans="1:11" ht="409.5" hidden="1" x14ac:dyDescent="0.25">
      <c r="A468" s="22">
        <v>465</v>
      </c>
      <c r="B468" s="16" t="s">
        <v>2069</v>
      </c>
      <c r="C468" s="16" t="s">
        <v>2070</v>
      </c>
      <c r="D468" s="16">
        <v>20475000</v>
      </c>
      <c r="E468" s="16">
        <v>2</v>
      </c>
      <c r="F468" s="16">
        <v>5</v>
      </c>
      <c r="G468" s="20" t="s">
        <v>1443</v>
      </c>
      <c r="H468" s="16"/>
      <c r="I468" s="16" t="s">
        <v>2071</v>
      </c>
      <c r="J468" s="16" t="s">
        <v>2072</v>
      </c>
      <c r="K468" s="16" t="s">
        <v>2073</v>
      </c>
    </row>
    <row r="469" spans="1:11" ht="409.5" hidden="1" x14ac:dyDescent="0.25">
      <c r="A469" s="22">
        <v>466</v>
      </c>
      <c r="B469" s="16" t="s">
        <v>2074</v>
      </c>
      <c r="C469" s="16" t="s">
        <v>2075</v>
      </c>
      <c r="D469" s="16">
        <v>20475000</v>
      </c>
      <c r="E469" s="16">
        <v>2</v>
      </c>
      <c r="F469" s="16">
        <v>3</v>
      </c>
      <c r="G469" s="20" t="s">
        <v>1443</v>
      </c>
      <c r="H469" s="16"/>
      <c r="I469" s="16" t="s">
        <v>2076</v>
      </c>
      <c r="J469" s="16" t="s">
        <v>2077</v>
      </c>
      <c r="K469" s="16" t="s">
        <v>2078</v>
      </c>
    </row>
    <row r="470" spans="1:11" ht="180" hidden="1" x14ac:dyDescent="0.25">
      <c r="A470" s="22">
        <v>467</v>
      </c>
      <c r="B470" s="16" t="s">
        <v>2079</v>
      </c>
      <c r="C470" s="16" t="s">
        <v>2080</v>
      </c>
      <c r="D470" s="16">
        <v>7466000</v>
      </c>
      <c r="E470" s="16">
        <v>2</v>
      </c>
      <c r="F470" s="16">
        <v>3</v>
      </c>
      <c r="G470" s="20" t="s">
        <v>1443</v>
      </c>
      <c r="H470" s="16"/>
      <c r="I470" s="16" t="s">
        <v>1599</v>
      </c>
      <c r="J470" s="16" t="s">
        <v>2081</v>
      </c>
      <c r="K470" s="16" t="s">
        <v>2082</v>
      </c>
    </row>
    <row r="471" spans="1:11" ht="409.5" hidden="1" x14ac:dyDescent="0.25">
      <c r="A471" s="22">
        <v>468</v>
      </c>
      <c r="B471" s="16" t="s">
        <v>2083</v>
      </c>
      <c r="C471" s="16" t="s">
        <v>2084</v>
      </c>
      <c r="D471" s="16">
        <v>22875000</v>
      </c>
      <c r="E471" s="16">
        <v>2</v>
      </c>
      <c r="F471" s="16">
        <v>5</v>
      </c>
      <c r="G471" s="20" t="s">
        <v>1443</v>
      </c>
      <c r="H471" s="16"/>
      <c r="I471" s="16" t="s">
        <v>2085</v>
      </c>
      <c r="J471" s="16" t="s">
        <v>2086</v>
      </c>
      <c r="K471" s="16" t="s">
        <v>2087</v>
      </c>
    </row>
    <row r="472" spans="1:11" ht="165" hidden="1" x14ac:dyDescent="0.25">
      <c r="A472" s="22">
        <v>469</v>
      </c>
      <c r="B472" s="16" t="s">
        <v>2088</v>
      </c>
      <c r="C472" s="16" t="s">
        <v>2089</v>
      </c>
      <c r="D472" s="16">
        <v>27575000</v>
      </c>
      <c r="E472" s="16">
        <v>2</v>
      </c>
      <c r="F472" s="16">
        <v>3</v>
      </c>
      <c r="G472" s="20" t="s">
        <v>1443</v>
      </c>
      <c r="H472" s="16"/>
      <c r="I472" s="16" t="s">
        <v>1599</v>
      </c>
      <c r="J472" s="16" t="s">
        <v>1600</v>
      </c>
      <c r="K472" s="16" t="s">
        <v>2090</v>
      </c>
    </row>
    <row r="473" spans="1:11" ht="360" hidden="1" x14ac:dyDescent="0.25">
      <c r="A473" s="22">
        <v>470</v>
      </c>
      <c r="B473" s="16" t="s">
        <v>2091</v>
      </c>
      <c r="C473" s="16" t="s">
        <v>2092</v>
      </c>
      <c r="D473" s="16">
        <v>13916000</v>
      </c>
      <c r="E473" s="16">
        <v>2</v>
      </c>
      <c r="F473" s="16">
        <v>5</v>
      </c>
      <c r="G473" s="20" t="s">
        <v>1443</v>
      </c>
      <c r="H473" s="16"/>
      <c r="I473" s="16" t="s">
        <v>1787</v>
      </c>
      <c r="J473" s="16" t="s">
        <v>1788</v>
      </c>
      <c r="K473" s="16" t="s">
        <v>1789</v>
      </c>
    </row>
    <row r="474" spans="1:11" ht="315" hidden="1" x14ac:dyDescent="0.25">
      <c r="A474" s="22">
        <v>471</v>
      </c>
      <c r="B474" s="16" t="s">
        <v>2093</v>
      </c>
      <c r="C474" s="16" t="s">
        <v>2094</v>
      </c>
      <c r="D474" s="16">
        <v>16275000</v>
      </c>
      <c r="E474" s="16">
        <v>2</v>
      </c>
      <c r="F474" s="16">
        <v>5</v>
      </c>
      <c r="G474" s="20" t="s">
        <v>1443</v>
      </c>
      <c r="H474" s="16"/>
      <c r="I474" s="16" t="s">
        <v>390</v>
      </c>
      <c r="J474" s="16" t="s">
        <v>2095</v>
      </c>
      <c r="K474" s="16" t="s">
        <v>392</v>
      </c>
    </row>
    <row r="475" spans="1:11" ht="240" hidden="1" x14ac:dyDescent="0.25">
      <c r="A475" s="22">
        <v>472</v>
      </c>
      <c r="B475" s="16" t="s">
        <v>2096</v>
      </c>
      <c r="C475" s="16" t="s">
        <v>2097</v>
      </c>
      <c r="D475" s="16">
        <v>19145000</v>
      </c>
      <c r="E475" s="16">
        <v>2</v>
      </c>
      <c r="F475" s="16">
        <v>5</v>
      </c>
      <c r="G475" s="20" t="s">
        <v>1443</v>
      </c>
      <c r="H475" s="16"/>
      <c r="I475" s="16" t="s">
        <v>2098</v>
      </c>
      <c r="J475" s="16" t="s">
        <v>2099</v>
      </c>
      <c r="K475" s="16" t="s">
        <v>2100</v>
      </c>
    </row>
    <row r="476" spans="1:11" ht="210" hidden="1" x14ac:dyDescent="0.25">
      <c r="A476" s="22">
        <v>473</v>
      </c>
      <c r="B476" s="16" t="s">
        <v>2101</v>
      </c>
      <c r="C476" s="16" t="s">
        <v>2102</v>
      </c>
      <c r="D476" s="16">
        <v>20000000</v>
      </c>
      <c r="E476" s="16">
        <v>2</v>
      </c>
      <c r="F476" s="16">
        <v>5</v>
      </c>
      <c r="G476" s="20" t="s">
        <v>1443</v>
      </c>
      <c r="H476" s="16"/>
      <c r="I476" s="16" t="s">
        <v>2103</v>
      </c>
      <c r="J476" s="16" t="s">
        <v>2104</v>
      </c>
      <c r="K476" s="16" t="s">
        <v>2105</v>
      </c>
    </row>
    <row r="477" spans="1:11" ht="240" hidden="1" x14ac:dyDescent="0.25">
      <c r="A477" s="22">
        <v>474</v>
      </c>
      <c r="B477" s="16" t="s">
        <v>2106</v>
      </c>
      <c r="C477" s="16" t="s">
        <v>2107</v>
      </c>
      <c r="D477" s="16">
        <v>28193000</v>
      </c>
      <c r="E477" s="16">
        <v>2</v>
      </c>
      <c r="F477" s="16">
        <v>4</v>
      </c>
      <c r="G477" s="20" t="s">
        <v>1443</v>
      </c>
      <c r="H477" s="16"/>
      <c r="I477" s="16" t="s">
        <v>2108</v>
      </c>
      <c r="J477" s="16" t="s">
        <v>2109</v>
      </c>
      <c r="K477" s="16" t="s">
        <v>2110</v>
      </c>
    </row>
    <row r="478" spans="1:11" ht="210" hidden="1" x14ac:dyDescent="0.25">
      <c r="A478" s="22">
        <v>475</v>
      </c>
      <c r="B478" s="16" t="s">
        <v>2111</v>
      </c>
      <c r="C478" s="16" t="s">
        <v>2112</v>
      </c>
      <c r="D478" s="16">
        <v>8929000</v>
      </c>
      <c r="E478" s="16">
        <v>3</v>
      </c>
      <c r="F478" s="16">
        <v>2</v>
      </c>
      <c r="G478" s="20" t="s">
        <v>1443</v>
      </c>
      <c r="H478" s="16"/>
      <c r="I478" s="16" t="s">
        <v>2113</v>
      </c>
      <c r="J478" s="16" t="s">
        <v>2114</v>
      </c>
      <c r="K478" s="16" t="s">
        <v>936</v>
      </c>
    </row>
    <row r="479" spans="1:11" ht="180" hidden="1" x14ac:dyDescent="0.25">
      <c r="A479" s="22">
        <v>476</v>
      </c>
      <c r="B479" s="16" t="s">
        <v>2115</v>
      </c>
      <c r="C479" s="16" t="s">
        <v>2116</v>
      </c>
      <c r="D479" s="16">
        <v>34386000</v>
      </c>
      <c r="E479" s="16">
        <v>2</v>
      </c>
      <c r="F479" s="16">
        <v>4</v>
      </c>
      <c r="G479" s="20" t="s">
        <v>1443</v>
      </c>
      <c r="H479" s="16"/>
      <c r="I479" s="16" t="s">
        <v>2117</v>
      </c>
      <c r="J479" s="16" t="s">
        <v>2118</v>
      </c>
      <c r="K479" s="16" t="s">
        <v>2119</v>
      </c>
    </row>
    <row r="480" spans="1:11" ht="150" hidden="1" x14ac:dyDescent="0.25">
      <c r="A480" s="22">
        <v>477</v>
      </c>
      <c r="B480" s="16" t="s">
        <v>2120</v>
      </c>
      <c r="C480" s="16" t="s">
        <v>2121</v>
      </c>
      <c r="D480" s="16">
        <v>29282000</v>
      </c>
      <c r="E480" s="16">
        <v>3</v>
      </c>
      <c r="F480" s="16">
        <v>3</v>
      </c>
      <c r="G480" s="20" t="s">
        <v>1443</v>
      </c>
      <c r="H480" s="16"/>
      <c r="I480" s="16" t="s">
        <v>2122</v>
      </c>
      <c r="J480" s="16" t="s">
        <v>2123</v>
      </c>
      <c r="K480" s="16" t="s">
        <v>2124</v>
      </c>
    </row>
    <row r="481" spans="1:11" ht="210" hidden="1" x14ac:dyDescent="0.25">
      <c r="A481" s="22">
        <v>478</v>
      </c>
      <c r="B481" s="16" t="s">
        <v>2125</v>
      </c>
      <c r="C481" s="16" t="s">
        <v>2126</v>
      </c>
      <c r="D481" s="16">
        <v>36750000</v>
      </c>
      <c r="E481" s="16">
        <v>2</v>
      </c>
      <c r="F481" s="16">
        <v>3</v>
      </c>
      <c r="G481" s="20" t="s">
        <v>1443</v>
      </c>
      <c r="H481" s="16"/>
      <c r="I481" s="16" t="s">
        <v>2127</v>
      </c>
      <c r="J481" s="16" t="s">
        <v>2128</v>
      </c>
      <c r="K481" s="16" t="s">
        <v>2129</v>
      </c>
    </row>
    <row r="482" spans="1:11" ht="180" hidden="1" x14ac:dyDescent="0.25">
      <c r="A482" s="22">
        <v>479</v>
      </c>
      <c r="B482" s="16" t="s">
        <v>2130</v>
      </c>
      <c r="C482" s="16" t="s">
        <v>2131</v>
      </c>
      <c r="D482" s="16">
        <v>36272000</v>
      </c>
      <c r="E482" s="16">
        <v>3</v>
      </c>
      <c r="F482" s="16">
        <v>3</v>
      </c>
      <c r="G482" s="20" t="s">
        <v>1443</v>
      </c>
      <c r="H482" s="16"/>
      <c r="I482" s="16" t="s">
        <v>2132</v>
      </c>
      <c r="J482" s="16" t="s">
        <v>2133</v>
      </c>
      <c r="K482" s="16" t="s">
        <v>2134</v>
      </c>
    </row>
    <row r="483" spans="1:11" ht="270" hidden="1" x14ac:dyDescent="0.25">
      <c r="A483" s="22">
        <v>480</v>
      </c>
      <c r="B483" s="16" t="s">
        <v>2135</v>
      </c>
      <c r="C483" s="16" t="s">
        <v>2136</v>
      </c>
      <c r="D483" s="16">
        <v>40314000</v>
      </c>
      <c r="E483" s="16">
        <v>2</v>
      </c>
      <c r="F483" s="16">
        <v>3</v>
      </c>
      <c r="G483" s="20" t="s">
        <v>1443</v>
      </c>
      <c r="H483" s="16"/>
      <c r="I483" s="16" t="s">
        <v>2137</v>
      </c>
      <c r="J483" s="16" t="s">
        <v>2138</v>
      </c>
      <c r="K483" s="16" t="s">
        <v>2139</v>
      </c>
    </row>
    <row r="484" spans="1:11" ht="225" hidden="1" x14ac:dyDescent="0.25">
      <c r="A484" s="22">
        <v>481</v>
      </c>
      <c r="B484" s="16" t="s">
        <v>2140</v>
      </c>
      <c r="C484" s="16" t="s">
        <v>2141</v>
      </c>
      <c r="D484" s="16">
        <v>72330000</v>
      </c>
      <c r="E484" s="16">
        <v>2</v>
      </c>
      <c r="F484" s="16">
        <v>4</v>
      </c>
      <c r="G484" s="20" t="s">
        <v>1443</v>
      </c>
      <c r="H484" s="16"/>
      <c r="I484" s="16" t="s">
        <v>2142</v>
      </c>
      <c r="J484" s="16" t="s">
        <v>2143</v>
      </c>
      <c r="K484" s="16" t="s">
        <v>2144</v>
      </c>
    </row>
    <row r="485" spans="1:11" ht="150" hidden="1" x14ac:dyDescent="0.25">
      <c r="A485" s="22">
        <v>482</v>
      </c>
      <c r="B485" s="16" t="s">
        <v>2145</v>
      </c>
      <c r="C485" s="16" t="s">
        <v>2146</v>
      </c>
      <c r="D485" s="16">
        <v>48170000</v>
      </c>
      <c r="E485" s="16">
        <v>3</v>
      </c>
      <c r="F485" s="16">
        <v>3</v>
      </c>
      <c r="G485" s="20" t="s">
        <v>1443</v>
      </c>
      <c r="H485" s="16"/>
      <c r="I485" s="16" t="s">
        <v>2147</v>
      </c>
      <c r="J485" s="16" t="s">
        <v>2148</v>
      </c>
      <c r="K485" s="16" t="s">
        <v>2149</v>
      </c>
    </row>
    <row r="486" spans="1:11" ht="225" hidden="1" x14ac:dyDescent="0.25">
      <c r="A486" s="22">
        <v>483</v>
      </c>
      <c r="B486" s="16" t="s">
        <v>2150</v>
      </c>
      <c r="C486" s="16" t="s">
        <v>2151</v>
      </c>
      <c r="D486" s="16">
        <v>32750000</v>
      </c>
      <c r="E486" s="16">
        <v>2</v>
      </c>
      <c r="F486" s="16">
        <v>3</v>
      </c>
      <c r="G486" s="20" t="s">
        <v>1443</v>
      </c>
      <c r="H486" s="16"/>
      <c r="I486" s="16" t="s">
        <v>2127</v>
      </c>
      <c r="J486" s="16" t="s">
        <v>2152</v>
      </c>
      <c r="K486" s="16" t="s">
        <v>2129</v>
      </c>
    </row>
    <row r="487" spans="1:11" ht="345" hidden="1" x14ac:dyDescent="0.25">
      <c r="A487" s="22">
        <v>484</v>
      </c>
      <c r="B487" s="16" t="s">
        <v>2153</v>
      </c>
      <c r="C487" s="16" t="s">
        <v>2154</v>
      </c>
      <c r="D487" s="16">
        <v>29206000</v>
      </c>
      <c r="E487" s="16">
        <v>2</v>
      </c>
      <c r="F487" s="16">
        <v>4</v>
      </c>
      <c r="G487" s="20" t="s">
        <v>1443</v>
      </c>
      <c r="H487" s="16"/>
      <c r="I487" s="16" t="s">
        <v>2155</v>
      </c>
      <c r="J487" s="16" t="s">
        <v>2156</v>
      </c>
      <c r="K487" s="16" t="s">
        <v>2157</v>
      </c>
    </row>
    <row r="488" spans="1:11" ht="240" hidden="1" x14ac:dyDescent="0.25">
      <c r="A488" s="22">
        <v>485</v>
      </c>
      <c r="B488" s="16" t="s">
        <v>2158</v>
      </c>
      <c r="C488" s="16" t="s">
        <v>2159</v>
      </c>
      <c r="D488" s="16">
        <v>45720000</v>
      </c>
      <c r="E488" s="16">
        <v>2</v>
      </c>
      <c r="F488" s="16">
        <v>4</v>
      </c>
      <c r="G488" s="20" t="s">
        <v>1443</v>
      </c>
      <c r="H488" s="16"/>
      <c r="I488" s="16" t="s">
        <v>2160</v>
      </c>
      <c r="J488" s="16" t="s">
        <v>2161</v>
      </c>
      <c r="K488" s="16" t="s">
        <v>2162</v>
      </c>
    </row>
    <row r="489" spans="1:11" ht="255" hidden="1" x14ac:dyDescent="0.25">
      <c r="A489" s="22">
        <v>486</v>
      </c>
      <c r="B489" s="16" t="s">
        <v>2163</v>
      </c>
      <c r="C489" s="16" t="s">
        <v>2164</v>
      </c>
      <c r="D489" s="16">
        <v>128146000</v>
      </c>
      <c r="E489" s="16">
        <v>2</v>
      </c>
      <c r="F489" s="16">
        <v>4</v>
      </c>
      <c r="G489" s="20" t="s">
        <v>1443</v>
      </c>
      <c r="H489" s="16"/>
      <c r="I489" s="16" t="s">
        <v>2165</v>
      </c>
      <c r="J489" s="16" t="s">
        <v>2166</v>
      </c>
      <c r="K489" s="16" t="s">
        <v>2167</v>
      </c>
    </row>
    <row r="490" spans="1:11" ht="255" hidden="1" x14ac:dyDescent="0.25">
      <c r="A490" s="22">
        <v>487</v>
      </c>
      <c r="B490" s="16" t="s">
        <v>2168</v>
      </c>
      <c r="C490" s="16" t="s">
        <v>2169</v>
      </c>
      <c r="D490" s="16">
        <v>66097000</v>
      </c>
      <c r="E490" s="16">
        <v>2</v>
      </c>
      <c r="F490" s="16">
        <v>4</v>
      </c>
      <c r="G490" s="20" t="s">
        <v>1443</v>
      </c>
      <c r="H490" s="16"/>
      <c r="I490" s="16" t="s">
        <v>2170</v>
      </c>
      <c r="J490" s="16" t="s">
        <v>1996</v>
      </c>
      <c r="K490" s="16" t="s">
        <v>137</v>
      </c>
    </row>
    <row r="491" spans="1:11" ht="225" hidden="1" x14ac:dyDescent="0.25">
      <c r="A491" s="22">
        <v>488</v>
      </c>
      <c r="B491" s="16" t="s">
        <v>2171</v>
      </c>
      <c r="C491" s="16" t="s">
        <v>2172</v>
      </c>
      <c r="D491" s="16">
        <v>162691300</v>
      </c>
      <c r="E491" s="16">
        <v>2</v>
      </c>
      <c r="F491" s="16">
        <v>4</v>
      </c>
      <c r="G491" s="20" t="s">
        <v>1443</v>
      </c>
      <c r="H491" s="16"/>
      <c r="I491" s="16" t="s">
        <v>1676</v>
      </c>
      <c r="J491" s="16" t="s">
        <v>2173</v>
      </c>
      <c r="K491" s="16" t="s">
        <v>2174</v>
      </c>
    </row>
    <row r="492" spans="1:11" ht="240" hidden="1" x14ac:dyDescent="0.25">
      <c r="A492" s="22">
        <v>489</v>
      </c>
      <c r="B492" s="16" t="s">
        <v>2175</v>
      </c>
      <c r="C492" s="16" t="s">
        <v>2176</v>
      </c>
      <c r="D492" s="16">
        <v>65612990</v>
      </c>
      <c r="E492" s="16">
        <v>2</v>
      </c>
      <c r="F492" s="16">
        <v>4</v>
      </c>
      <c r="G492" s="20" t="s">
        <v>1443</v>
      </c>
      <c r="H492" s="16"/>
      <c r="I492" s="16" t="s">
        <v>2177</v>
      </c>
      <c r="J492" s="16" t="s">
        <v>120</v>
      </c>
      <c r="K492" s="16" t="s">
        <v>137</v>
      </c>
    </row>
    <row r="493" spans="1:11" ht="270" hidden="1" x14ac:dyDescent="0.25">
      <c r="A493" s="22">
        <v>490</v>
      </c>
      <c r="B493" s="16" t="s">
        <v>2178</v>
      </c>
      <c r="C493" s="16" t="s">
        <v>2179</v>
      </c>
      <c r="D493" s="16">
        <v>49946000</v>
      </c>
      <c r="E493" s="16">
        <v>2</v>
      </c>
      <c r="F493" s="16">
        <v>4</v>
      </c>
      <c r="G493" s="20" t="s">
        <v>1443</v>
      </c>
      <c r="H493" s="16"/>
      <c r="I493" s="16" t="s">
        <v>2180</v>
      </c>
      <c r="J493" s="16" t="s">
        <v>2181</v>
      </c>
      <c r="K493" s="16" t="s">
        <v>2182</v>
      </c>
    </row>
    <row r="494" spans="1:11" ht="240" hidden="1" x14ac:dyDescent="0.25">
      <c r="A494" s="22">
        <v>491</v>
      </c>
      <c r="B494" s="16" t="s">
        <v>2183</v>
      </c>
      <c r="C494" s="16" t="s">
        <v>2184</v>
      </c>
      <c r="D494" s="16">
        <v>50000000</v>
      </c>
      <c r="E494" s="16">
        <v>2</v>
      </c>
      <c r="F494" s="16">
        <v>4</v>
      </c>
      <c r="G494" s="20" t="s">
        <v>1443</v>
      </c>
      <c r="H494" s="16"/>
      <c r="I494" s="16" t="s">
        <v>1681</v>
      </c>
      <c r="J494" s="16" t="s">
        <v>2185</v>
      </c>
      <c r="K494" s="16" t="s">
        <v>2186</v>
      </c>
    </row>
    <row r="495" spans="1:11" ht="210" hidden="1" x14ac:dyDescent="0.25">
      <c r="A495" s="22">
        <v>492</v>
      </c>
      <c r="B495" s="16" t="s">
        <v>2187</v>
      </c>
      <c r="C495" s="16" t="s">
        <v>2188</v>
      </c>
      <c r="D495" s="16">
        <v>13290000</v>
      </c>
      <c r="E495" s="16">
        <v>3</v>
      </c>
      <c r="F495" s="16">
        <v>3</v>
      </c>
      <c r="G495" s="20" t="s">
        <v>1443</v>
      </c>
      <c r="H495" s="16"/>
      <c r="I495" s="16" t="s">
        <v>2189</v>
      </c>
      <c r="J495" s="16" t="s">
        <v>2190</v>
      </c>
      <c r="K495" s="16" t="s">
        <v>2191</v>
      </c>
    </row>
    <row r="496" spans="1:11" ht="210" hidden="1" x14ac:dyDescent="0.25">
      <c r="A496" s="22">
        <v>493</v>
      </c>
      <c r="B496" s="16" t="s">
        <v>2192</v>
      </c>
      <c r="C496" s="16" t="s">
        <v>2193</v>
      </c>
      <c r="D496" s="16">
        <v>113686000</v>
      </c>
      <c r="E496" s="16">
        <v>2</v>
      </c>
      <c r="F496" s="16">
        <v>3</v>
      </c>
      <c r="G496" s="20" t="s">
        <v>1443</v>
      </c>
      <c r="H496" s="16"/>
      <c r="I496" s="16" t="s">
        <v>2194</v>
      </c>
      <c r="J496" s="16" t="s">
        <v>2195</v>
      </c>
      <c r="K496" s="16" t="s">
        <v>2196</v>
      </c>
    </row>
    <row r="497" spans="1:11" ht="210" hidden="1" x14ac:dyDescent="0.25">
      <c r="A497" s="22">
        <v>494</v>
      </c>
      <c r="B497" s="16" t="s">
        <v>2197</v>
      </c>
      <c r="C497" s="16" t="s">
        <v>2198</v>
      </c>
      <c r="D497" s="16">
        <v>787456000</v>
      </c>
      <c r="E497" s="16">
        <v>2</v>
      </c>
      <c r="F497" s="16">
        <v>5</v>
      </c>
      <c r="G497" s="20" t="s">
        <v>1443</v>
      </c>
      <c r="H497" s="16"/>
      <c r="I497" s="16" t="s">
        <v>2199</v>
      </c>
      <c r="J497" s="16" t="s">
        <v>2200</v>
      </c>
      <c r="K497" s="16" t="s">
        <v>2201</v>
      </c>
    </row>
    <row r="498" spans="1:11" ht="330" hidden="1" x14ac:dyDescent="0.25">
      <c r="A498" s="22">
        <v>495</v>
      </c>
      <c r="B498" s="16" t="s">
        <v>2202</v>
      </c>
      <c r="C498" s="16" t="s">
        <v>2203</v>
      </c>
      <c r="D498" s="16">
        <v>30150000</v>
      </c>
      <c r="E498" s="16">
        <v>2</v>
      </c>
      <c r="F498" s="16">
        <v>3</v>
      </c>
      <c r="G498" s="20" t="s">
        <v>1443</v>
      </c>
      <c r="H498" s="16"/>
      <c r="I498" s="16" t="s">
        <v>2204</v>
      </c>
      <c r="J498" s="16" t="s">
        <v>2205</v>
      </c>
      <c r="K498" s="16" t="s">
        <v>2206</v>
      </c>
    </row>
    <row r="499" spans="1:11" ht="345" hidden="1" x14ac:dyDescent="0.25">
      <c r="A499" s="22">
        <v>496</v>
      </c>
      <c r="B499" s="16" t="s">
        <v>2207</v>
      </c>
      <c r="C499" s="16" t="s">
        <v>2208</v>
      </c>
      <c r="D499" s="16">
        <v>1646400000</v>
      </c>
      <c r="E499" s="16">
        <v>2</v>
      </c>
      <c r="F499" s="16">
        <v>4</v>
      </c>
      <c r="G499" s="20" t="s">
        <v>1443</v>
      </c>
      <c r="H499" s="16"/>
      <c r="I499" s="16" t="s">
        <v>2209</v>
      </c>
      <c r="J499" s="16" t="s">
        <v>2210</v>
      </c>
      <c r="K499" s="16" t="s">
        <v>2211</v>
      </c>
    </row>
    <row r="500" spans="1:11" ht="225" hidden="1" x14ac:dyDescent="0.25">
      <c r="A500" s="22">
        <v>497</v>
      </c>
      <c r="B500" s="16" t="s">
        <v>2212</v>
      </c>
      <c r="C500" s="16" t="s">
        <v>2213</v>
      </c>
      <c r="D500" s="16">
        <v>268425000</v>
      </c>
      <c r="E500" s="16">
        <v>2</v>
      </c>
      <c r="F500" s="16">
        <v>4</v>
      </c>
      <c r="G500" s="20" t="s">
        <v>1443</v>
      </c>
      <c r="H500" s="16"/>
      <c r="I500" s="16" t="s">
        <v>2214</v>
      </c>
      <c r="J500" s="16" t="s">
        <v>2215</v>
      </c>
      <c r="K500" s="16" t="s">
        <v>2216</v>
      </c>
    </row>
    <row r="501" spans="1:11" ht="210" hidden="1" x14ac:dyDescent="0.25">
      <c r="A501" s="22">
        <v>498</v>
      </c>
      <c r="B501" s="16" t="s">
        <v>2217</v>
      </c>
      <c r="C501" s="16" t="s">
        <v>2218</v>
      </c>
      <c r="D501" s="16">
        <v>9557500</v>
      </c>
      <c r="E501" s="16">
        <v>3</v>
      </c>
      <c r="F501" s="16">
        <v>3</v>
      </c>
      <c r="G501" s="20" t="s">
        <v>1443</v>
      </c>
      <c r="H501" s="16"/>
      <c r="I501" s="16" t="s">
        <v>2219</v>
      </c>
      <c r="J501" s="16" t="s">
        <v>2220</v>
      </c>
      <c r="K501" s="16" t="s">
        <v>2221</v>
      </c>
    </row>
    <row r="502" spans="1:11" ht="165" hidden="1" x14ac:dyDescent="0.25">
      <c r="A502" s="22">
        <v>499</v>
      </c>
      <c r="B502" s="16" t="s">
        <v>2222</v>
      </c>
      <c r="C502" s="16" t="s">
        <v>2223</v>
      </c>
      <c r="D502" s="16">
        <v>225066000</v>
      </c>
      <c r="E502" s="16">
        <v>2</v>
      </c>
      <c r="F502" s="16">
        <v>3</v>
      </c>
      <c r="G502" s="20" t="s">
        <v>1443</v>
      </c>
      <c r="H502" s="16"/>
      <c r="I502" s="16" t="s">
        <v>2224</v>
      </c>
      <c r="J502" s="16" t="s">
        <v>2225</v>
      </c>
      <c r="K502" s="16" t="s">
        <v>2226</v>
      </c>
    </row>
    <row r="503" spans="1:11" ht="210" hidden="1" x14ac:dyDescent="0.25">
      <c r="A503" s="22">
        <v>500</v>
      </c>
      <c r="B503" s="16" t="s">
        <v>2227</v>
      </c>
      <c r="C503" s="16" t="s">
        <v>2228</v>
      </c>
      <c r="D503" s="16">
        <v>88600000</v>
      </c>
      <c r="E503" s="16">
        <v>3</v>
      </c>
      <c r="F503" s="16">
        <v>3</v>
      </c>
      <c r="G503" s="20" t="s">
        <v>1443</v>
      </c>
      <c r="H503" s="16"/>
      <c r="I503" s="16" t="s">
        <v>2229</v>
      </c>
      <c r="J503" s="16" t="s">
        <v>2230</v>
      </c>
      <c r="K503" s="16" t="s">
        <v>2231</v>
      </c>
    </row>
    <row r="504" spans="1:11" ht="150" hidden="1" x14ac:dyDescent="0.25">
      <c r="A504" s="22">
        <v>501</v>
      </c>
      <c r="B504" s="16" t="s">
        <v>2232</v>
      </c>
      <c r="C504" s="16" t="s">
        <v>2233</v>
      </c>
      <c r="D504" s="16">
        <v>9071000</v>
      </c>
      <c r="E504" s="16">
        <v>2</v>
      </c>
      <c r="F504" s="16">
        <v>3</v>
      </c>
      <c r="G504" s="20" t="s">
        <v>1443</v>
      </c>
      <c r="H504" s="16"/>
      <c r="I504" s="16" t="s">
        <v>2234</v>
      </c>
      <c r="J504" s="16" t="s">
        <v>2235</v>
      </c>
      <c r="K504" s="16" t="s">
        <v>2236</v>
      </c>
    </row>
    <row r="505" spans="1:11" ht="225" hidden="1" x14ac:dyDescent="0.25">
      <c r="A505" s="22">
        <v>502</v>
      </c>
      <c r="B505" s="16" t="s">
        <v>2237</v>
      </c>
      <c r="C505" s="16" t="s">
        <v>2238</v>
      </c>
      <c r="D505" s="16">
        <v>131959548</v>
      </c>
      <c r="E505" s="16">
        <v>2</v>
      </c>
      <c r="F505" s="16">
        <v>4</v>
      </c>
      <c r="G505" s="20" t="s">
        <v>1443</v>
      </c>
      <c r="H505" s="16"/>
      <c r="I505" s="16" t="s">
        <v>2239</v>
      </c>
      <c r="J505" s="16" t="s">
        <v>2240</v>
      </c>
      <c r="K505" s="16" t="s">
        <v>2241</v>
      </c>
    </row>
    <row r="506" spans="1:11" ht="195" hidden="1" x14ac:dyDescent="0.25">
      <c r="A506" s="22">
        <v>503</v>
      </c>
      <c r="B506" s="16" t="s">
        <v>2242</v>
      </c>
      <c r="C506" s="16" t="s">
        <v>2243</v>
      </c>
      <c r="D506" s="16">
        <v>190264396</v>
      </c>
      <c r="E506" s="16">
        <v>2</v>
      </c>
      <c r="F506" s="16">
        <v>4</v>
      </c>
      <c r="G506" s="20" t="s">
        <v>1443</v>
      </c>
      <c r="H506" s="16"/>
      <c r="I506" s="16" t="s">
        <v>2239</v>
      </c>
      <c r="J506" s="16" t="s">
        <v>2244</v>
      </c>
      <c r="K506" s="16" t="s">
        <v>2241</v>
      </c>
    </row>
    <row r="507" spans="1:11" ht="210" hidden="1" x14ac:dyDescent="0.25">
      <c r="A507" s="22">
        <v>504</v>
      </c>
      <c r="B507" s="16" t="s">
        <v>2245</v>
      </c>
      <c r="C507" s="16" t="s">
        <v>2246</v>
      </c>
      <c r="D507" s="16">
        <v>150368400</v>
      </c>
      <c r="E507" s="16">
        <v>2</v>
      </c>
      <c r="F507" s="16">
        <v>4</v>
      </c>
      <c r="G507" s="20" t="s">
        <v>1443</v>
      </c>
      <c r="H507" s="16"/>
      <c r="I507" s="16" t="s">
        <v>2247</v>
      </c>
      <c r="J507" s="16" t="s">
        <v>2248</v>
      </c>
      <c r="K507" s="16" t="s">
        <v>2249</v>
      </c>
    </row>
    <row r="508" spans="1:11" ht="225" hidden="1" x14ac:dyDescent="0.25">
      <c r="A508" s="22">
        <v>505</v>
      </c>
      <c r="B508" s="16" t="s">
        <v>2250</v>
      </c>
      <c r="C508" s="16" t="s">
        <v>2251</v>
      </c>
      <c r="D508" s="16">
        <v>1946143150</v>
      </c>
      <c r="E508" s="16">
        <v>2</v>
      </c>
      <c r="F508" s="16">
        <v>4</v>
      </c>
      <c r="G508" s="20" t="s">
        <v>1443</v>
      </c>
      <c r="H508" s="16"/>
      <c r="I508" s="16" t="s">
        <v>2252</v>
      </c>
      <c r="J508" s="16" t="s">
        <v>2253</v>
      </c>
      <c r="K508" s="16" t="s">
        <v>2254</v>
      </c>
    </row>
    <row r="509" spans="1:11" ht="195" hidden="1" x14ac:dyDescent="0.25">
      <c r="A509" s="22">
        <v>506</v>
      </c>
      <c r="B509" s="16" t="s">
        <v>2255</v>
      </c>
      <c r="C509" s="16" t="s">
        <v>2256</v>
      </c>
      <c r="D509" s="16">
        <v>1292986606</v>
      </c>
      <c r="E509" s="16">
        <v>2</v>
      </c>
      <c r="F509" s="16">
        <v>4</v>
      </c>
      <c r="G509" s="20" t="s">
        <v>1443</v>
      </c>
      <c r="H509" s="16"/>
      <c r="I509" s="16" t="s">
        <v>2257</v>
      </c>
      <c r="J509" s="16" t="s">
        <v>2258</v>
      </c>
      <c r="K509" s="16" t="s">
        <v>2254</v>
      </c>
    </row>
    <row r="510" spans="1:11" ht="195" hidden="1" x14ac:dyDescent="0.25">
      <c r="A510" s="22">
        <v>507</v>
      </c>
      <c r="B510" s="16" t="s">
        <v>2259</v>
      </c>
      <c r="C510" s="16" t="s">
        <v>2260</v>
      </c>
      <c r="D510" s="16">
        <v>3698315264</v>
      </c>
      <c r="E510" s="16">
        <v>2</v>
      </c>
      <c r="F510" s="16">
        <v>4</v>
      </c>
      <c r="G510" s="20" t="s">
        <v>1443</v>
      </c>
      <c r="H510" s="16"/>
      <c r="I510" s="16" t="s">
        <v>2261</v>
      </c>
      <c r="J510" s="16" t="s">
        <v>2262</v>
      </c>
      <c r="K510" s="16" t="s">
        <v>2254</v>
      </c>
    </row>
    <row r="511" spans="1:11" ht="409.5" hidden="1" x14ac:dyDescent="0.25">
      <c r="A511" s="22">
        <v>508</v>
      </c>
      <c r="B511" s="16" t="s">
        <v>2263</v>
      </c>
      <c r="C511" s="16" t="s">
        <v>2264</v>
      </c>
      <c r="D511" s="16">
        <v>10000000</v>
      </c>
      <c r="E511" s="16">
        <v>2</v>
      </c>
      <c r="F511" s="16">
        <v>4</v>
      </c>
      <c r="G511" s="20" t="s">
        <v>1443</v>
      </c>
      <c r="H511" s="16"/>
      <c r="I511" s="16" t="s">
        <v>2265</v>
      </c>
      <c r="J511" s="16" t="s">
        <v>2266</v>
      </c>
      <c r="K511" s="16" t="s">
        <v>2267</v>
      </c>
    </row>
    <row r="512" spans="1:11" ht="409.5" hidden="1" x14ac:dyDescent="0.25">
      <c r="A512" s="22">
        <v>509</v>
      </c>
      <c r="B512" s="16" t="s">
        <v>2268</v>
      </c>
      <c r="C512" s="16" t="s">
        <v>2269</v>
      </c>
      <c r="D512" s="16">
        <v>381600000</v>
      </c>
      <c r="E512" s="16">
        <v>3</v>
      </c>
      <c r="F512" s="16">
        <v>3</v>
      </c>
      <c r="G512" s="20" t="s">
        <v>1443</v>
      </c>
      <c r="H512" s="16"/>
      <c r="I512" s="16" t="s">
        <v>2270</v>
      </c>
      <c r="J512" s="16" t="s">
        <v>2271</v>
      </c>
      <c r="K512" s="16" t="s">
        <v>2272</v>
      </c>
    </row>
    <row r="513" spans="1:11" ht="409.5" hidden="1" x14ac:dyDescent="0.25">
      <c r="A513" s="22">
        <v>510</v>
      </c>
      <c r="B513" s="16" t="s">
        <v>2273</v>
      </c>
      <c r="C513" s="16" t="s">
        <v>2274</v>
      </c>
      <c r="D513" s="16">
        <v>264000000</v>
      </c>
      <c r="E513" s="16">
        <v>3</v>
      </c>
      <c r="F513" s="16">
        <v>3</v>
      </c>
      <c r="G513" s="20" t="s">
        <v>1443</v>
      </c>
      <c r="H513" s="16"/>
      <c r="I513" s="16" t="s">
        <v>2275</v>
      </c>
      <c r="J513" s="16" t="s">
        <v>2276</v>
      </c>
      <c r="K513" s="16" t="s">
        <v>2277</v>
      </c>
    </row>
    <row r="514" spans="1:11" ht="409.5" hidden="1" x14ac:dyDescent="0.25">
      <c r="A514" s="22">
        <v>511</v>
      </c>
      <c r="B514" s="16" t="s">
        <v>2278</v>
      </c>
      <c r="C514" s="16" t="s">
        <v>2279</v>
      </c>
      <c r="D514" s="16">
        <v>1761377200</v>
      </c>
      <c r="E514" s="16">
        <v>2</v>
      </c>
      <c r="F514" s="16">
        <v>5</v>
      </c>
      <c r="G514" s="20" t="s">
        <v>1443</v>
      </c>
      <c r="H514" s="16"/>
      <c r="I514" s="16" t="s">
        <v>2280</v>
      </c>
      <c r="J514" s="16" t="s">
        <v>2281</v>
      </c>
      <c r="K514" s="16" t="s">
        <v>2282</v>
      </c>
    </row>
    <row r="515" spans="1:11" ht="409.5" hidden="1" x14ac:dyDescent="0.25">
      <c r="A515" s="22">
        <v>512</v>
      </c>
      <c r="B515" s="16" t="s">
        <v>2283</v>
      </c>
      <c r="C515" s="16" t="s">
        <v>2284</v>
      </c>
      <c r="D515" s="16">
        <v>20333000</v>
      </c>
      <c r="E515" s="16">
        <v>3</v>
      </c>
      <c r="F515" s="16">
        <v>3</v>
      </c>
      <c r="G515" s="20" t="s">
        <v>1443</v>
      </c>
      <c r="H515" s="16"/>
      <c r="I515" s="16" t="s">
        <v>2285</v>
      </c>
      <c r="J515" s="16" t="s">
        <v>2286</v>
      </c>
      <c r="K515" s="16" t="s">
        <v>2287</v>
      </c>
    </row>
    <row r="516" spans="1:11" ht="409.5" hidden="1" x14ac:dyDescent="0.25">
      <c r="A516" s="22">
        <v>513</v>
      </c>
      <c r="B516" s="16" t="s">
        <v>2288</v>
      </c>
      <c r="C516" s="16" t="s">
        <v>2289</v>
      </c>
      <c r="D516" s="16">
        <v>20000000</v>
      </c>
      <c r="E516" s="16">
        <v>2</v>
      </c>
      <c r="F516" s="16">
        <v>3</v>
      </c>
      <c r="G516" s="20" t="s">
        <v>1443</v>
      </c>
      <c r="H516" s="16"/>
      <c r="I516" s="16" t="s">
        <v>2290</v>
      </c>
      <c r="J516" s="16" t="s">
        <v>2291</v>
      </c>
      <c r="K516" s="16" t="s">
        <v>2292</v>
      </c>
    </row>
    <row r="517" spans="1:11" ht="409.5" hidden="1" x14ac:dyDescent="0.25">
      <c r="A517" s="22">
        <v>514</v>
      </c>
      <c r="B517" s="16" t="s">
        <v>2293</v>
      </c>
      <c r="C517" s="16" t="s">
        <v>2294</v>
      </c>
      <c r="D517" s="16">
        <v>5000000</v>
      </c>
      <c r="E517" s="16">
        <v>2</v>
      </c>
      <c r="F517" s="16">
        <v>3</v>
      </c>
      <c r="G517" s="20" t="s">
        <v>1443</v>
      </c>
      <c r="H517" s="16"/>
      <c r="I517" s="16" t="s">
        <v>2295</v>
      </c>
      <c r="J517" s="16" t="s">
        <v>2296</v>
      </c>
      <c r="K517" s="16" t="s">
        <v>2297</v>
      </c>
    </row>
    <row r="518" spans="1:11" ht="409.5" hidden="1" x14ac:dyDescent="0.25">
      <c r="A518" s="22">
        <v>515</v>
      </c>
      <c r="B518" s="16" t="s">
        <v>2298</v>
      </c>
      <c r="C518" s="16" t="s">
        <v>2299</v>
      </c>
      <c r="D518" s="16">
        <v>78780000</v>
      </c>
      <c r="E518" s="16">
        <v>3</v>
      </c>
      <c r="F518" s="16">
        <v>3</v>
      </c>
      <c r="G518" s="20" t="s">
        <v>1443</v>
      </c>
      <c r="H518" s="16"/>
      <c r="I518" s="16" t="s">
        <v>2300</v>
      </c>
      <c r="J518" s="16" t="s">
        <v>2301</v>
      </c>
      <c r="K518" s="16" t="s">
        <v>2302</v>
      </c>
    </row>
    <row r="519" spans="1:11" ht="409.5" hidden="1" x14ac:dyDescent="0.25">
      <c r="A519" s="22">
        <v>516</v>
      </c>
      <c r="B519" s="16" t="s">
        <v>2303</v>
      </c>
      <c r="C519" s="16" t="s">
        <v>2304</v>
      </c>
      <c r="D519" s="16">
        <v>75550000</v>
      </c>
      <c r="E519" s="16">
        <v>2</v>
      </c>
      <c r="F519" s="16">
        <v>3</v>
      </c>
      <c r="G519" s="20" t="s">
        <v>1443</v>
      </c>
      <c r="H519" s="16"/>
      <c r="I519" s="16" t="s">
        <v>2305</v>
      </c>
      <c r="J519" s="16" t="s">
        <v>2306</v>
      </c>
      <c r="K519" s="16" t="s">
        <v>2304</v>
      </c>
    </row>
    <row r="520" spans="1:11" ht="345" hidden="1" x14ac:dyDescent="0.25">
      <c r="A520" s="22">
        <v>517</v>
      </c>
      <c r="B520" s="16" t="s">
        <v>2307</v>
      </c>
      <c r="C520" s="16" t="s">
        <v>2308</v>
      </c>
      <c r="D520" s="16">
        <v>42594000</v>
      </c>
      <c r="E520" s="16">
        <v>2</v>
      </c>
      <c r="F520" s="16">
        <v>4</v>
      </c>
      <c r="G520" s="20" t="s">
        <v>1443</v>
      </c>
      <c r="H520" s="16"/>
      <c r="I520" s="16" t="s">
        <v>2309</v>
      </c>
      <c r="J520" s="16" t="s">
        <v>2310</v>
      </c>
      <c r="K520" s="16" t="s">
        <v>2311</v>
      </c>
    </row>
    <row r="521" spans="1:11" ht="360" hidden="1" x14ac:dyDescent="0.25">
      <c r="A521" s="22">
        <v>518</v>
      </c>
      <c r="B521" s="16" t="s">
        <v>2312</v>
      </c>
      <c r="C521" s="16" t="s">
        <v>2313</v>
      </c>
      <c r="D521" s="16">
        <v>24501000</v>
      </c>
      <c r="E521" s="16">
        <v>2</v>
      </c>
      <c r="F521" s="16">
        <v>4</v>
      </c>
      <c r="G521" s="20" t="s">
        <v>1443</v>
      </c>
      <c r="H521" s="16"/>
      <c r="I521" s="16" t="s">
        <v>2314</v>
      </c>
      <c r="J521" s="16" t="s">
        <v>2315</v>
      </c>
      <c r="K521" s="16" t="s">
        <v>2311</v>
      </c>
    </row>
    <row r="522" spans="1:11" ht="360" hidden="1" x14ac:dyDescent="0.25">
      <c r="A522" s="22">
        <v>519</v>
      </c>
      <c r="B522" s="16" t="s">
        <v>2316</v>
      </c>
      <c r="C522" s="16" t="s">
        <v>2317</v>
      </c>
      <c r="D522" s="16">
        <v>8212500</v>
      </c>
      <c r="E522" s="16">
        <v>2</v>
      </c>
      <c r="F522" s="16">
        <v>4</v>
      </c>
      <c r="G522" s="20" t="s">
        <v>1443</v>
      </c>
      <c r="H522" s="16"/>
      <c r="I522" s="16" t="s">
        <v>2318</v>
      </c>
      <c r="J522" s="16" t="s">
        <v>2319</v>
      </c>
      <c r="K522" s="16" t="s">
        <v>2320</v>
      </c>
    </row>
    <row r="523" spans="1:11" ht="315" hidden="1" x14ac:dyDescent="0.25">
      <c r="A523" s="22">
        <v>520</v>
      </c>
      <c r="B523" s="16" t="s">
        <v>2321</v>
      </c>
      <c r="C523" s="16" t="s">
        <v>2322</v>
      </c>
      <c r="D523" s="16">
        <v>40000000</v>
      </c>
      <c r="E523" s="16">
        <v>2</v>
      </c>
      <c r="F523" s="16">
        <v>4</v>
      </c>
      <c r="G523" s="20" t="s">
        <v>1443</v>
      </c>
      <c r="H523" s="16"/>
      <c r="I523" s="16" t="s">
        <v>2323</v>
      </c>
      <c r="J523" s="16" t="s">
        <v>2324</v>
      </c>
      <c r="K523" s="16" t="s">
        <v>2325</v>
      </c>
    </row>
    <row r="524" spans="1:11" ht="409.5" hidden="1" x14ac:dyDescent="0.25">
      <c r="A524" s="22">
        <v>521</v>
      </c>
      <c r="B524" s="16" t="s">
        <v>2326</v>
      </c>
      <c r="C524" s="16" t="s">
        <v>2327</v>
      </c>
      <c r="D524" s="16">
        <v>15000000</v>
      </c>
      <c r="E524" s="16">
        <v>2</v>
      </c>
      <c r="F524" s="16">
        <v>4</v>
      </c>
      <c r="G524" s="20" t="s">
        <v>1443</v>
      </c>
      <c r="H524" s="16"/>
      <c r="I524" s="16" t="s">
        <v>2328</v>
      </c>
      <c r="J524" s="16" t="s">
        <v>2329</v>
      </c>
      <c r="K524" s="16" t="s">
        <v>2330</v>
      </c>
    </row>
    <row r="525" spans="1:11" ht="409.5" hidden="1" x14ac:dyDescent="0.25">
      <c r="A525" s="22">
        <v>522</v>
      </c>
      <c r="B525" s="16" t="s">
        <v>2331</v>
      </c>
      <c r="C525" s="16" t="s">
        <v>2332</v>
      </c>
      <c r="D525" s="16">
        <v>5000000</v>
      </c>
      <c r="E525" s="16">
        <v>2</v>
      </c>
      <c r="F525" s="16">
        <v>4</v>
      </c>
      <c r="G525" s="20" t="s">
        <v>1443</v>
      </c>
      <c r="H525" s="16"/>
      <c r="I525" s="16" t="s">
        <v>2333</v>
      </c>
      <c r="J525" s="16" t="s">
        <v>2334</v>
      </c>
      <c r="K525" s="16" t="s">
        <v>2335</v>
      </c>
    </row>
    <row r="526" spans="1:11" ht="409.5" hidden="1" x14ac:dyDescent="0.25">
      <c r="A526" s="22">
        <v>523</v>
      </c>
      <c r="B526" s="16" t="s">
        <v>2336</v>
      </c>
      <c r="C526" s="16" t="s">
        <v>2337</v>
      </c>
      <c r="D526" s="16">
        <v>15740000</v>
      </c>
      <c r="E526" s="16">
        <v>2</v>
      </c>
      <c r="F526" s="16">
        <v>4</v>
      </c>
      <c r="G526" s="20" t="s">
        <v>1443</v>
      </c>
      <c r="H526" s="16"/>
      <c r="I526" s="16" t="s">
        <v>2338</v>
      </c>
      <c r="J526" s="16" t="s">
        <v>2339</v>
      </c>
      <c r="K526" s="16" t="s">
        <v>2340</v>
      </c>
    </row>
    <row r="527" spans="1:11" ht="225" hidden="1" x14ac:dyDescent="0.25">
      <c r="A527" s="22">
        <v>524</v>
      </c>
      <c r="B527" s="16" t="s">
        <v>2341</v>
      </c>
      <c r="C527" s="16" t="s">
        <v>2342</v>
      </c>
      <c r="D527" s="16">
        <v>6850000</v>
      </c>
      <c r="E527" s="16">
        <v>2</v>
      </c>
      <c r="F527" s="16">
        <v>4</v>
      </c>
      <c r="G527" s="20" t="s">
        <v>1443</v>
      </c>
      <c r="H527" s="16"/>
      <c r="I527" s="16" t="s">
        <v>2343</v>
      </c>
      <c r="J527" s="16" t="s">
        <v>2344</v>
      </c>
      <c r="K527" s="16" t="s">
        <v>2345</v>
      </c>
    </row>
    <row r="528" spans="1:11" ht="315" hidden="1" x14ac:dyDescent="0.25">
      <c r="A528" s="22">
        <v>525</v>
      </c>
      <c r="B528" s="16" t="s">
        <v>2346</v>
      </c>
      <c r="C528" s="16" t="s">
        <v>2347</v>
      </c>
      <c r="D528" s="16">
        <v>24150000</v>
      </c>
      <c r="E528" s="16">
        <v>2</v>
      </c>
      <c r="F528" s="16">
        <v>4</v>
      </c>
      <c r="G528" s="20" t="s">
        <v>1443</v>
      </c>
      <c r="H528" s="16"/>
      <c r="I528" s="16" t="s">
        <v>2348</v>
      </c>
      <c r="J528" s="16" t="s">
        <v>2349</v>
      </c>
      <c r="K528" s="16" t="s">
        <v>2350</v>
      </c>
    </row>
    <row r="529" spans="1:11" ht="315" hidden="1" x14ac:dyDescent="0.25">
      <c r="A529" s="22">
        <v>526</v>
      </c>
      <c r="B529" s="16" t="s">
        <v>2351</v>
      </c>
      <c r="C529" s="16" t="s">
        <v>2352</v>
      </c>
      <c r="D529" s="16">
        <v>49450000</v>
      </c>
      <c r="E529" s="16">
        <v>2</v>
      </c>
      <c r="F529" s="16">
        <v>3</v>
      </c>
      <c r="G529" s="20" t="s">
        <v>1443</v>
      </c>
      <c r="H529" s="16"/>
      <c r="I529" s="16" t="s">
        <v>2353</v>
      </c>
      <c r="J529" s="16" t="s">
        <v>2354</v>
      </c>
      <c r="K529" s="16" t="s">
        <v>2355</v>
      </c>
    </row>
    <row r="530" spans="1:11" ht="315" hidden="1" x14ac:dyDescent="0.25">
      <c r="A530" s="22">
        <v>527</v>
      </c>
      <c r="B530" s="16" t="s">
        <v>2356</v>
      </c>
      <c r="C530" s="16" t="s">
        <v>2357</v>
      </c>
      <c r="D530" s="16">
        <v>30000000</v>
      </c>
      <c r="E530" s="16">
        <v>2</v>
      </c>
      <c r="F530" s="16">
        <v>4</v>
      </c>
      <c r="G530" s="20" t="s">
        <v>1443</v>
      </c>
      <c r="H530" s="16"/>
      <c r="I530" s="16" t="s">
        <v>2358</v>
      </c>
      <c r="J530" s="16" t="s">
        <v>2359</v>
      </c>
      <c r="K530" s="16" t="s">
        <v>2360</v>
      </c>
    </row>
    <row r="531" spans="1:11" ht="315" hidden="1" x14ac:dyDescent="0.25">
      <c r="A531" s="22">
        <v>528</v>
      </c>
      <c r="B531" s="16" t="s">
        <v>2361</v>
      </c>
      <c r="C531" s="16" t="s">
        <v>2362</v>
      </c>
      <c r="D531" s="16">
        <v>6000000</v>
      </c>
      <c r="E531" s="16">
        <v>2</v>
      </c>
      <c r="F531" s="16">
        <v>4</v>
      </c>
      <c r="G531" s="20" t="s">
        <v>1443</v>
      </c>
      <c r="H531" s="16"/>
      <c r="I531" s="16" t="s">
        <v>2363</v>
      </c>
      <c r="J531" s="16" t="s">
        <v>2364</v>
      </c>
      <c r="K531" s="16" t="s">
        <v>2365</v>
      </c>
    </row>
    <row r="532" spans="1:11" ht="360" hidden="1" x14ac:dyDescent="0.25">
      <c r="A532" s="22">
        <v>529</v>
      </c>
      <c r="B532" s="16" t="s">
        <v>2366</v>
      </c>
      <c r="C532" s="16" t="s">
        <v>2367</v>
      </c>
      <c r="D532" s="16">
        <v>18000000</v>
      </c>
      <c r="E532" s="16">
        <v>2</v>
      </c>
      <c r="F532" s="16">
        <v>5</v>
      </c>
      <c r="G532" s="20" t="s">
        <v>1443</v>
      </c>
      <c r="H532" s="16"/>
      <c r="I532" s="16" t="s">
        <v>2368</v>
      </c>
      <c r="J532" s="16" t="s">
        <v>2369</v>
      </c>
      <c r="K532" s="16" t="s">
        <v>2370</v>
      </c>
    </row>
    <row r="533" spans="1:11" ht="315" hidden="1" x14ac:dyDescent="0.25">
      <c r="A533" s="22">
        <v>530</v>
      </c>
      <c r="B533" s="16" t="s">
        <v>2371</v>
      </c>
      <c r="C533" s="16" t="s">
        <v>2372</v>
      </c>
      <c r="D533" s="16">
        <v>27280000</v>
      </c>
      <c r="E533" s="16">
        <v>2</v>
      </c>
      <c r="F533" s="16">
        <v>4</v>
      </c>
      <c r="G533" s="20" t="s">
        <v>1443</v>
      </c>
      <c r="H533" s="16"/>
      <c r="I533" s="16" t="s">
        <v>2373</v>
      </c>
      <c r="J533" s="16" t="s">
        <v>2374</v>
      </c>
      <c r="K533" s="16" t="s">
        <v>2375</v>
      </c>
    </row>
    <row r="534" spans="1:11" ht="409.5" hidden="1" x14ac:dyDescent="0.25">
      <c r="A534" s="22">
        <v>531</v>
      </c>
      <c r="B534" s="16" t="s">
        <v>2376</v>
      </c>
      <c r="C534" s="16" t="s">
        <v>2377</v>
      </c>
      <c r="D534" s="16">
        <v>30000000</v>
      </c>
      <c r="E534" s="16">
        <v>2</v>
      </c>
      <c r="F534" s="16">
        <v>4</v>
      </c>
      <c r="G534" s="20" t="s">
        <v>1443</v>
      </c>
      <c r="H534" s="16"/>
      <c r="I534" s="16" t="s">
        <v>2328</v>
      </c>
      <c r="J534" s="16" t="s">
        <v>2329</v>
      </c>
      <c r="K534" s="16" t="s">
        <v>2330</v>
      </c>
    </row>
    <row r="535" spans="1:11" ht="270" hidden="1" x14ac:dyDescent="0.25">
      <c r="A535" s="22">
        <v>532</v>
      </c>
      <c r="B535" s="16" t="s">
        <v>2378</v>
      </c>
      <c r="C535" s="16" t="s">
        <v>2379</v>
      </c>
      <c r="D535" s="16">
        <v>0</v>
      </c>
      <c r="E535" s="16">
        <v>3</v>
      </c>
      <c r="F535" s="16">
        <v>3</v>
      </c>
      <c r="G535" s="20" t="s">
        <v>1443</v>
      </c>
      <c r="H535" s="16"/>
      <c r="I535" s="16" t="s">
        <v>2380</v>
      </c>
      <c r="J535" s="16" t="s">
        <v>2381</v>
      </c>
      <c r="K535" s="16" t="s">
        <v>2382</v>
      </c>
    </row>
    <row r="536" spans="1:11" ht="165" hidden="1" x14ac:dyDescent="0.25">
      <c r="A536" s="22">
        <v>533</v>
      </c>
      <c r="B536" s="16" t="s">
        <v>2383</v>
      </c>
      <c r="C536" s="16" t="s">
        <v>2384</v>
      </c>
      <c r="D536" s="16">
        <v>4000000</v>
      </c>
      <c r="E536" s="16">
        <v>3</v>
      </c>
      <c r="F536" s="16">
        <v>2</v>
      </c>
      <c r="G536" s="20" t="s">
        <v>1443</v>
      </c>
      <c r="H536" s="16"/>
      <c r="I536" s="16" t="s">
        <v>2385</v>
      </c>
      <c r="J536" s="16" t="s">
        <v>2386</v>
      </c>
      <c r="K536" s="16" t="s">
        <v>2387</v>
      </c>
    </row>
    <row r="537" spans="1:11" ht="210" hidden="1" x14ac:dyDescent="0.25">
      <c r="A537" s="22">
        <v>534</v>
      </c>
      <c r="B537" s="16" t="s">
        <v>2388</v>
      </c>
      <c r="C537" s="16" t="s">
        <v>2389</v>
      </c>
      <c r="D537" s="16">
        <v>22100000</v>
      </c>
      <c r="E537" s="16">
        <v>2</v>
      </c>
      <c r="F537" s="16">
        <v>4</v>
      </c>
      <c r="G537" s="20" t="s">
        <v>1443</v>
      </c>
      <c r="H537" s="16"/>
      <c r="I537" s="16" t="s">
        <v>2390</v>
      </c>
      <c r="J537" s="16" t="s">
        <v>2391</v>
      </c>
      <c r="K537" s="16" t="s">
        <v>2392</v>
      </c>
    </row>
    <row r="538" spans="1:11" ht="255" hidden="1" x14ac:dyDescent="0.25">
      <c r="A538" s="22">
        <v>535</v>
      </c>
      <c r="B538" s="16" t="s">
        <v>2393</v>
      </c>
      <c r="C538" s="16" t="s">
        <v>2394</v>
      </c>
      <c r="D538" s="16">
        <v>8375000</v>
      </c>
      <c r="E538" s="16">
        <v>3</v>
      </c>
      <c r="F538" s="16">
        <v>3</v>
      </c>
      <c r="G538" s="20" t="s">
        <v>1443</v>
      </c>
      <c r="H538" s="16"/>
      <c r="I538" s="16" t="s">
        <v>2395</v>
      </c>
      <c r="J538" s="16" t="s">
        <v>2396</v>
      </c>
      <c r="K538" s="16" t="s">
        <v>2397</v>
      </c>
    </row>
    <row r="539" spans="1:11" ht="390" hidden="1" x14ac:dyDescent="0.25">
      <c r="A539" s="22">
        <v>536</v>
      </c>
      <c r="B539" s="16" t="s">
        <v>2398</v>
      </c>
      <c r="C539" s="16" t="s">
        <v>2399</v>
      </c>
      <c r="D539" s="16">
        <v>19395000</v>
      </c>
      <c r="E539" s="16">
        <v>3</v>
      </c>
      <c r="F539" s="16">
        <v>3</v>
      </c>
      <c r="G539" s="20" t="s">
        <v>1443</v>
      </c>
      <c r="H539" s="16"/>
      <c r="I539" s="16" t="s">
        <v>642</v>
      </c>
      <c r="J539" s="16" t="s">
        <v>2400</v>
      </c>
      <c r="K539" s="16" t="s">
        <v>2401</v>
      </c>
    </row>
    <row r="540" spans="1:11" ht="180" hidden="1" x14ac:dyDescent="0.25">
      <c r="A540" s="22">
        <v>537</v>
      </c>
      <c r="B540" s="16" t="s">
        <v>2402</v>
      </c>
      <c r="C540" s="16" t="s">
        <v>2403</v>
      </c>
      <c r="D540" s="16">
        <v>47566500</v>
      </c>
      <c r="E540" s="16">
        <v>2</v>
      </c>
      <c r="F540" s="16">
        <v>3</v>
      </c>
      <c r="G540" s="20" t="s">
        <v>1443</v>
      </c>
      <c r="H540" s="16"/>
      <c r="I540" s="16" t="s">
        <v>2404</v>
      </c>
      <c r="J540" s="16" t="s">
        <v>2405</v>
      </c>
      <c r="K540" s="16" t="s">
        <v>2406</v>
      </c>
    </row>
    <row r="541" spans="1:11" ht="330" hidden="1" x14ac:dyDescent="0.25">
      <c r="A541" s="22">
        <v>538</v>
      </c>
      <c r="B541" s="16" t="s">
        <v>2407</v>
      </c>
      <c r="C541" s="16" t="s">
        <v>2408</v>
      </c>
      <c r="D541" s="16">
        <v>7755000</v>
      </c>
      <c r="E541" s="16">
        <v>3</v>
      </c>
      <c r="F541" s="16">
        <v>3</v>
      </c>
      <c r="G541" s="20" t="s">
        <v>1443</v>
      </c>
      <c r="H541" s="16"/>
      <c r="I541" s="16" t="s">
        <v>2409</v>
      </c>
      <c r="J541" s="16" t="s">
        <v>2410</v>
      </c>
      <c r="K541" s="16" t="s">
        <v>2411</v>
      </c>
    </row>
    <row r="542" spans="1:11" ht="195" hidden="1" x14ac:dyDescent="0.25">
      <c r="A542" s="22">
        <v>539</v>
      </c>
      <c r="B542" s="16" t="s">
        <v>2412</v>
      </c>
      <c r="C542" s="16" t="s">
        <v>2413</v>
      </c>
      <c r="D542" s="16">
        <v>15500000</v>
      </c>
      <c r="E542" s="16">
        <v>3</v>
      </c>
      <c r="F542" s="16">
        <v>3</v>
      </c>
      <c r="G542" s="20" t="s">
        <v>1443</v>
      </c>
      <c r="H542" s="16"/>
      <c r="I542" s="16" t="s">
        <v>1034</v>
      </c>
      <c r="J542" s="16" t="s">
        <v>2414</v>
      </c>
      <c r="K542" s="16"/>
    </row>
    <row r="543" spans="1:11" ht="240" hidden="1" x14ac:dyDescent="0.25">
      <c r="A543" s="22">
        <v>540</v>
      </c>
      <c r="B543" s="16" t="s">
        <v>2415</v>
      </c>
      <c r="C543" s="16" t="s">
        <v>2416</v>
      </c>
      <c r="D543" s="16">
        <v>22000000</v>
      </c>
      <c r="E543" s="16">
        <v>2</v>
      </c>
      <c r="F543" s="16">
        <v>3</v>
      </c>
      <c r="G543" s="20" t="s">
        <v>1443</v>
      </c>
      <c r="H543" s="16"/>
      <c r="I543" s="16" t="s">
        <v>899</v>
      </c>
      <c r="J543" s="16" t="s">
        <v>900</v>
      </c>
      <c r="K543" s="16" t="s">
        <v>901</v>
      </c>
    </row>
    <row r="544" spans="1:11" ht="409.5" hidden="1" x14ac:dyDescent="0.25">
      <c r="A544" s="22">
        <v>541</v>
      </c>
      <c r="B544" s="16" t="s">
        <v>2417</v>
      </c>
      <c r="C544" s="16" t="s">
        <v>2418</v>
      </c>
      <c r="D544" s="16">
        <v>20000000</v>
      </c>
      <c r="E544" s="16">
        <v>3</v>
      </c>
      <c r="F544" s="16">
        <v>3</v>
      </c>
      <c r="G544" s="20" t="s">
        <v>1443</v>
      </c>
      <c r="H544" s="16"/>
      <c r="I544" s="16" t="s">
        <v>2419</v>
      </c>
      <c r="J544" s="16" t="s">
        <v>2420</v>
      </c>
      <c r="K544" s="16" t="s">
        <v>2421</v>
      </c>
    </row>
    <row r="545" spans="1:11" ht="165" hidden="1" x14ac:dyDescent="0.25">
      <c r="A545" s="22">
        <v>542</v>
      </c>
      <c r="B545" s="16" t="s">
        <v>2422</v>
      </c>
      <c r="C545" s="16" t="s">
        <v>2423</v>
      </c>
      <c r="D545" s="16">
        <v>8996680</v>
      </c>
      <c r="E545" s="16">
        <v>2</v>
      </c>
      <c r="F545" s="16">
        <v>3</v>
      </c>
      <c r="G545" s="20" t="s">
        <v>1443</v>
      </c>
      <c r="H545" s="16"/>
      <c r="I545" s="16" t="s">
        <v>2424</v>
      </c>
      <c r="J545" s="16" t="s">
        <v>2425</v>
      </c>
      <c r="K545" s="16" t="s">
        <v>2426</v>
      </c>
    </row>
    <row r="546" spans="1:11" ht="255" hidden="1" x14ac:dyDescent="0.25">
      <c r="A546" s="22">
        <v>543</v>
      </c>
      <c r="B546" s="16" t="s">
        <v>2427</v>
      </c>
      <c r="C546" s="16" t="s">
        <v>2428</v>
      </c>
      <c r="D546" s="16">
        <v>35000000</v>
      </c>
      <c r="E546" s="16">
        <v>3</v>
      </c>
      <c r="F546" s="16">
        <v>3</v>
      </c>
      <c r="G546" s="20" t="s">
        <v>1443</v>
      </c>
      <c r="H546" s="16"/>
      <c r="I546" s="16" t="s">
        <v>2429</v>
      </c>
      <c r="J546" s="16" t="s">
        <v>2430</v>
      </c>
      <c r="K546" s="16" t="s">
        <v>2431</v>
      </c>
    </row>
    <row r="547" spans="1:11" ht="270" hidden="1" x14ac:dyDescent="0.25">
      <c r="A547" s="22">
        <v>544</v>
      </c>
      <c r="B547" s="16" t="s">
        <v>2432</v>
      </c>
      <c r="C547" s="16" t="s">
        <v>2433</v>
      </c>
      <c r="D547" s="16">
        <v>35000000</v>
      </c>
      <c r="E547" s="16">
        <v>3</v>
      </c>
      <c r="F547" s="16">
        <v>3</v>
      </c>
      <c r="G547" s="20" t="s">
        <v>1443</v>
      </c>
      <c r="H547" s="16"/>
      <c r="I547" s="16" t="s">
        <v>2434</v>
      </c>
      <c r="J547" s="16" t="s">
        <v>2435</v>
      </c>
      <c r="K547" s="16" t="s">
        <v>2436</v>
      </c>
    </row>
    <row r="548" spans="1:11" ht="270" hidden="1" x14ac:dyDescent="0.25">
      <c r="A548" s="22">
        <v>545</v>
      </c>
      <c r="B548" s="16" t="s">
        <v>2437</v>
      </c>
      <c r="C548" s="16" t="s">
        <v>2438</v>
      </c>
      <c r="D548" s="16">
        <v>35000000</v>
      </c>
      <c r="E548" s="16">
        <v>3</v>
      </c>
      <c r="F548" s="16">
        <v>3</v>
      </c>
      <c r="G548" s="20" t="s">
        <v>1443</v>
      </c>
      <c r="H548" s="16"/>
      <c r="I548" s="16" t="s">
        <v>2439</v>
      </c>
      <c r="J548" s="16" t="s">
        <v>2440</v>
      </c>
      <c r="K548" s="16" t="s">
        <v>2441</v>
      </c>
    </row>
    <row r="549" spans="1:11" ht="165" hidden="1" x14ac:dyDescent="0.25">
      <c r="A549" s="22">
        <v>546</v>
      </c>
      <c r="B549" s="16" t="s">
        <v>2442</v>
      </c>
      <c r="C549" s="16" t="s">
        <v>2443</v>
      </c>
      <c r="D549" s="16">
        <v>35000000</v>
      </c>
      <c r="E549" s="16">
        <v>2</v>
      </c>
      <c r="F549" s="16">
        <v>4</v>
      </c>
      <c r="G549" s="20" t="s">
        <v>1443</v>
      </c>
      <c r="H549" s="16"/>
      <c r="I549" s="16" t="s">
        <v>2444</v>
      </c>
      <c r="J549" s="16" t="s">
        <v>2445</v>
      </c>
      <c r="K549" s="16" t="s">
        <v>2446</v>
      </c>
    </row>
    <row r="550" spans="1:11" ht="270" hidden="1" x14ac:dyDescent="0.25">
      <c r="A550" s="22">
        <v>547</v>
      </c>
      <c r="B550" s="16" t="s">
        <v>2447</v>
      </c>
      <c r="C550" s="16" t="s">
        <v>2448</v>
      </c>
      <c r="D550" s="16">
        <v>35000000</v>
      </c>
      <c r="E550" s="16">
        <v>3</v>
      </c>
      <c r="F550" s="16">
        <v>3</v>
      </c>
      <c r="G550" s="20" t="s">
        <v>1443</v>
      </c>
      <c r="H550" s="16"/>
      <c r="I550" s="16" t="s">
        <v>2449</v>
      </c>
      <c r="J550" s="16" t="s">
        <v>2450</v>
      </c>
      <c r="K550" s="16" t="s">
        <v>2451</v>
      </c>
    </row>
    <row r="551" spans="1:11" ht="409.5" hidden="1" x14ac:dyDescent="0.25">
      <c r="A551" s="22">
        <v>548</v>
      </c>
      <c r="B551" s="16" t="s">
        <v>2452</v>
      </c>
      <c r="C551" s="16" t="s">
        <v>2453</v>
      </c>
      <c r="D551" s="16">
        <v>10007000</v>
      </c>
      <c r="E551" s="16">
        <v>3</v>
      </c>
      <c r="F551" s="16">
        <v>3</v>
      </c>
      <c r="G551" s="20" t="s">
        <v>1443</v>
      </c>
      <c r="H551" s="16"/>
      <c r="I551" s="16" t="s">
        <v>2454</v>
      </c>
      <c r="J551" s="16" t="s">
        <v>2455</v>
      </c>
      <c r="K551" s="16" t="s">
        <v>2456</v>
      </c>
    </row>
    <row r="552" spans="1:11" ht="409.5" hidden="1" x14ac:dyDescent="0.25">
      <c r="A552" s="22">
        <v>549</v>
      </c>
      <c r="B552" s="16" t="s">
        <v>2457</v>
      </c>
      <c r="C552" s="16" t="s">
        <v>2458</v>
      </c>
      <c r="D552" s="16">
        <v>9374000</v>
      </c>
      <c r="E552" s="16">
        <v>2</v>
      </c>
      <c r="F552" s="16">
        <v>4</v>
      </c>
      <c r="G552" s="20" t="s">
        <v>1443</v>
      </c>
      <c r="H552" s="16"/>
      <c r="I552" s="16" t="s">
        <v>2459</v>
      </c>
      <c r="J552" s="16" t="s">
        <v>2460</v>
      </c>
      <c r="K552" s="16" t="s">
        <v>2461</v>
      </c>
    </row>
    <row r="553" spans="1:11" ht="285" hidden="1" x14ac:dyDescent="0.25">
      <c r="A553" s="22">
        <v>550</v>
      </c>
      <c r="B553" s="16" t="s">
        <v>2462</v>
      </c>
      <c r="C553" s="16" t="s">
        <v>2463</v>
      </c>
      <c r="D553" s="16">
        <v>28495280</v>
      </c>
      <c r="E553" s="16">
        <v>2</v>
      </c>
      <c r="F553" s="16">
        <v>3</v>
      </c>
      <c r="G553" s="20" t="s">
        <v>1443</v>
      </c>
      <c r="H553" s="16"/>
      <c r="I553" s="16" t="s">
        <v>642</v>
      </c>
      <c r="J553" s="16" t="s">
        <v>2464</v>
      </c>
      <c r="K553" s="16" t="s">
        <v>2465</v>
      </c>
    </row>
    <row r="554" spans="1:11" ht="409.5" hidden="1" x14ac:dyDescent="0.25">
      <c r="A554" s="22">
        <v>551</v>
      </c>
      <c r="B554" s="16" t="s">
        <v>2466</v>
      </c>
      <c r="C554" s="16" t="s">
        <v>2467</v>
      </c>
      <c r="D554" s="16">
        <v>44620000</v>
      </c>
      <c r="E554" s="16">
        <v>2</v>
      </c>
      <c r="F554" s="16">
        <v>3</v>
      </c>
      <c r="G554" s="20" t="s">
        <v>1443</v>
      </c>
      <c r="H554" s="16"/>
      <c r="I554" s="16" t="s">
        <v>642</v>
      </c>
      <c r="J554" s="16" t="s">
        <v>2468</v>
      </c>
      <c r="K554" s="16" t="s">
        <v>2469</v>
      </c>
    </row>
    <row r="555" spans="1:11" ht="345" hidden="1" x14ac:dyDescent="0.25">
      <c r="A555" s="22">
        <v>552</v>
      </c>
      <c r="B555" s="16" t="s">
        <v>2470</v>
      </c>
      <c r="C555" s="16" t="s">
        <v>2471</v>
      </c>
      <c r="D555" s="16">
        <v>29348000</v>
      </c>
      <c r="E555" s="16">
        <v>2</v>
      </c>
      <c r="F555" s="16">
        <v>3</v>
      </c>
      <c r="G555" s="20" t="s">
        <v>1443</v>
      </c>
      <c r="H555" s="16"/>
      <c r="I555" s="16" t="s">
        <v>2472</v>
      </c>
      <c r="J555" s="16" t="s">
        <v>2473</v>
      </c>
      <c r="K555" s="16" t="s">
        <v>2474</v>
      </c>
    </row>
    <row r="556" spans="1:11" ht="405" hidden="1" x14ac:dyDescent="0.25">
      <c r="A556" s="22">
        <v>553</v>
      </c>
      <c r="B556" s="16" t="s">
        <v>2475</v>
      </c>
      <c r="C556" s="16" t="s">
        <v>2476</v>
      </c>
      <c r="D556" s="16">
        <v>1506265000</v>
      </c>
      <c r="E556" s="16">
        <v>2</v>
      </c>
      <c r="F556" s="16">
        <v>5</v>
      </c>
      <c r="G556" s="20" t="s">
        <v>1443</v>
      </c>
      <c r="H556" s="16"/>
      <c r="I556" s="16" t="s">
        <v>642</v>
      </c>
      <c r="J556" s="16" t="s">
        <v>2477</v>
      </c>
      <c r="K556" s="16" t="s">
        <v>2478</v>
      </c>
    </row>
    <row r="557" spans="1:11" ht="315" hidden="1" x14ac:dyDescent="0.25">
      <c r="A557" s="22">
        <v>554</v>
      </c>
      <c r="B557" s="16" t="s">
        <v>2479</v>
      </c>
      <c r="C557" s="16" t="s">
        <v>2480</v>
      </c>
      <c r="D557" s="16">
        <v>42200000</v>
      </c>
      <c r="E557" s="16">
        <v>2</v>
      </c>
      <c r="F557" s="16">
        <v>3</v>
      </c>
      <c r="G557" s="20" t="s">
        <v>1443</v>
      </c>
      <c r="H557" s="16"/>
      <c r="I557" s="16" t="s">
        <v>642</v>
      </c>
      <c r="J557" s="16" t="s">
        <v>2481</v>
      </c>
      <c r="K557" s="16" t="s">
        <v>2482</v>
      </c>
    </row>
    <row r="558" spans="1:11" ht="409.5" hidden="1" x14ac:dyDescent="0.25">
      <c r="A558" s="22">
        <v>555</v>
      </c>
      <c r="B558" s="16" t="s">
        <v>2483</v>
      </c>
      <c r="C558" s="16" t="s">
        <v>2484</v>
      </c>
      <c r="D558" s="16">
        <v>27208000</v>
      </c>
      <c r="E558" s="16">
        <v>2</v>
      </c>
      <c r="F558" s="16">
        <v>3</v>
      </c>
      <c r="G558" s="20" t="s">
        <v>1443</v>
      </c>
      <c r="H558" s="16"/>
      <c r="I558" s="16" t="s">
        <v>642</v>
      </c>
      <c r="J558" s="16" t="s">
        <v>2485</v>
      </c>
      <c r="K558" s="16" t="s">
        <v>2486</v>
      </c>
    </row>
    <row r="559" spans="1:11" ht="120" hidden="1" x14ac:dyDescent="0.25">
      <c r="A559" s="22">
        <v>556</v>
      </c>
      <c r="B559" s="16" t="s">
        <v>2487</v>
      </c>
      <c r="C559" s="16" t="s">
        <v>2488</v>
      </c>
      <c r="D559" s="16">
        <v>115100500</v>
      </c>
      <c r="E559" s="16">
        <v>2</v>
      </c>
      <c r="F559" s="16">
        <v>5</v>
      </c>
      <c r="G559" s="20" t="s">
        <v>1443</v>
      </c>
      <c r="H559" s="16"/>
      <c r="I559" s="16" t="s">
        <v>2489</v>
      </c>
      <c r="J559" s="16" t="s">
        <v>2490</v>
      </c>
      <c r="K559" s="16" t="s">
        <v>2491</v>
      </c>
    </row>
    <row r="560" spans="1:11" ht="345" hidden="1" x14ac:dyDescent="0.25">
      <c r="A560" s="22">
        <v>557</v>
      </c>
      <c r="B560" s="16" t="s">
        <v>2492</v>
      </c>
      <c r="C560" s="16" t="s">
        <v>2493</v>
      </c>
      <c r="D560" s="16">
        <v>137146920</v>
      </c>
      <c r="E560" s="16">
        <v>2</v>
      </c>
      <c r="F560" s="16">
        <v>5</v>
      </c>
      <c r="G560" s="20" t="s">
        <v>1443</v>
      </c>
      <c r="H560" s="16"/>
      <c r="I560" s="16" t="s">
        <v>2494</v>
      </c>
      <c r="J560" s="16" t="s">
        <v>2495</v>
      </c>
      <c r="K560" s="16" t="s">
        <v>2491</v>
      </c>
    </row>
    <row r="561" spans="1:11" ht="375" hidden="1" x14ac:dyDescent="0.25">
      <c r="A561" s="22">
        <v>558</v>
      </c>
      <c r="B561" s="16" t="s">
        <v>2496</v>
      </c>
      <c r="C561" s="16" t="s">
        <v>2497</v>
      </c>
      <c r="D561" s="16">
        <v>110400000</v>
      </c>
      <c r="E561" s="16">
        <v>2</v>
      </c>
      <c r="F561" s="16">
        <v>4</v>
      </c>
      <c r="G561" s="20" t="s">
        <v>1443</v>
      </c>
      <c r="H561" s="16"/>
      <c r="I561" s="16" t="s">
        <v>2498</v>
      </c>
      <c r="J561" s="16" t="s">
        <v>2499</v>
      </c>
      <c r="K561" s="16" t="s">
        <v>2491</v>
      </c>
    </row>
    <row r="562" spans="1:11" ht="360" hidden="1" x14ac:dyDescent="0.25">
      <c r="A562" s="22">
        <v>559</v>
      </c>
      <c r="B562" s="16" t="s">
        <v>2500</v>
      </c>
      <c r="C562" s="16" t="s">
        <v>2501</v>
      </c>
      <c r="D562" s="16">
        <v>36750000</v>
      </c>
      <c r="E562" s="16">
        <v>2</v>
      </c>
      <c r="F562" s="16">
        <v>5</v>
      </c>
      <c r="G562" s="20" t="s">
        <v>1443</v>
      </c>
      <c r="H562" s="16"/>
      <c r="I562" s="16" t="s">
        <v>2502</v>
      </c>
      <c r="J562" s="16" t="s">
        <v>2503</v>
      </c>
      <c r="K562" s="16" t="s">
        <v>2491</v>
      </c>
    </row>
    <row r="563" spans="1:11" ht="345" hidden="1" x14ac:dyDescent="0.25">
      <c r="A563" s="22">
        <v>560</v>
      </c>
      <c r="B563" s="16" t="s">
        <v>2504</v>
      </c>
      <c r="C563" s="16" t="s">
        <v>2505</v>
      </c>
      <c r="D563" s="16">
        <v>31600000</v>
      </c>
      <c r="E563" s="16">
        <v>2</v>
      </c>
      <c r="F563" s="16">
        <v>3</v>
      </c>
      <c r="G563" s="20" t="s">
        <v>1443</v>
      </c>
      <c r="H563" s="16"/>
      <c r="I563" s="16" t="s">
        <v>2502</v>
      </c>
      <c r="J563" s="16" t="s">
        <v>2506</v>
      </c>
      <c r="K563" s="16" t="s">
        <v>2491</v>
      </c>
    </row>
    <row r="564" spans="1:11" ht="360" hidden="1" x14ac:dyDescent="0.25">
      <c r="A564" s="22">
        <v>561</v>
      </c>
      <c r="B564" s="16" t="s">
        <v>2507</v>
      </c>
      <c r="C564" s="16" t="s">
        <v>2508</v>
      </c>
      <c r="D564" s="16">
        <v>19800000</v>
      </c>
      <c r="E564" s="16">
        <v>2</v>
      </c>
      <c r="F564" s="16">
        <v>3</v>
      </c>
      <c r="G564" s="20" t="s">
        <v>1443</v>
      </c>
      <c r="H564" s="16"/>
      <c r="I564" s="16" t="s">
        <v>2502</v>
      </c>
      <c r="J564" s="16" t="s">
        <v>2509</v>
      </c>
      <c r="K564" s="16" t="s">
        <v>2491</v>
      </c>
    </row>
    <row r="565" spans="1:11" ht="315" hidden="1" x14ac:dyDescent="0.25">
      <c r="A565" s="22">
        <v>562</v>
      </c>
      <c r="B565" s="16" t="s">
        <v>2510</v>
      </c>
      <c r="C565" s="16" t="s">
        <v>2511</v>
      </c>
      <c r="D565" s="16">
        <v>59500000</v>
      </c>
      <c r="E565" s="16">
        <v>2</v>
      </c>
      <c r="F565" s="16">
        <v>3</v>
      </c>
      <c r="G565" s="20" t="s">
        <v>1443</v>
      </c>
      <c r="H565" s="16"/>
      <c r="I565" s="16" t="s">
        <v>2512</v>
      </c>
      <c r="J565" s="16" t="s">
        <v>2513</v>
      </c>
      <c r="K565" s="16" t="s">
        <v>2491</v>
      </c>
    </row>
    <row r="566" spans="1:11" ht="315" hidden="1" x14ac:dyDescent="0.25">
      <c r="A566" s="22">
        <v>563</v>
      </c>
      <c r="B566" s="16" t="s">
        <v>2514</v>
      </c>
      <c r="C566" s="16" t="s">
        <v>2515</v>
      </c>
      <c r="D566" s="16">
        <v>50884364</v>
      </c>
      <c r="E566" s="16">
        <v>2</v>
      </c>
      <c r="F566" s="16">
        <v>5</v>
      </c>
      <c r="G566" s="20" t="s">
        <v>1443</v>
      </c>
      <c r="H566" s="16"/>
      <c r="I566" s="16" t="s">
        <v>2502</v>
      </c>
      <c r="J566" s="16" t="s">
        <v>2516</v>
      </c>
      <c r="K566" s="16" t="s">
        <v>2491</v>
      </c>
    </row>
    <row r="567" spans="1:11" ht="409.5" hidden="1" x14ac:dyDescent="0.25">
      <c r="A567" s="22">
        <v>564</v>
      </c>
      <c r="B567" s="16" t="s">
        <v>2517</v>
      </c>
      <c r="C567" s="16" t="s">
        <v>2518</v>
      </c>
      <c r="D567" s="16">
        <v>41507394</v>
      </c>
      <c r="E567" s="16">
        <v>2</v>
      </c>
      <c r="F567" s="16">
        <v>3</v>
      </c>
      <c r="G567" s="20" t="s">
        <v>1443</v>
      </c>
      <c r="H567" s="16"/>
      <c r="I567" s="16" t="s">
        <v>2489</v>
      </c>
      <c r="J567" s="16" t="s">
        <v>2519</v>
      </c>
      <c r="K567" s="16" t="s">
        <v>2491</v>
      </c>
    </row>
    <row r="568" spans="1:11" ht="409.5" hidden="1" x14ac:dyDescent="0.25">
      <c r="A568" s="22">
        <v>565</v>
      </c>
      <c r="B568" s="16" t="s">
        <v>2520</v>
      </c>
      <c r="C568" s="16" t="s">
        <v>2521</v>
      </c>
      <c r="D568" s="16">
        <v>70389272</v>
      </c>
      <c r="E568" s="16">
        <v>2</v>
      </c>
      <c r="F568" s="16">
        <v>3</v>
      </c>
      <c r="G568" s="20" t="s">
        <v>1443</v>
      </c>
      <c r="H568" s="16"/>
      <c r="I568" s="16" t="s">
        <v>2502</v>
      </c>
      <c r="J568" s="16" t="s">
        <v>2522</v>
      </c>
      <c r="K568" s="16" t="s">
        <v>2491</v>
      </c>
    </row>
    <row r="569" spans="1:11" ht="330" hidden="1" x14ac:dyDescent="0.25">
      <c r="A569" s="22">
        <v>566</v>
      </c>
      <c r="B569" s="16" t="s">
        <v>2523</v>
      </c>
      <c r="C569" s="16" t="s">
        <v>2524</v>
      </c>
      <c r="D569" s="16">
        <v>47500000</v>
      </c>
      <c r="E569" s="16">
        <v>2</v>
      </c>
      <c r="F569" s="16">
        <v>4</v>
      </c>
      <c r="G569" s="20" t="s">
        <v>1443</v>
      </c>
      <c r="H569" s="16"/>
      <c r="I569" s="16" t="s">
        <v>2502</v>
      </c>
      <c r="J569" s="16" t="s">
        <v>2525</v>
      </c>
      <c r="K569" s="16" t="s">
        <v>2491</v>
      </c>
    </row>
    <row r="570" spans="1:11" ht="315" hidden="1" x14ac:dyDescent="0.25">
      <c r="A570" s="22">
        <v>567</v>
      </c>
      <c r="B570" s="16" t="s">
        <v>2526</v>
      </c>
      <c r="C570" s="16" t="s">
        <v>2527</v>
      </c>
      <c r="D570" s="16">
        <v>47500000</v>
      </c>
      <c r="E570" s="16">
        <v>2</v>
      </c>
      <c r="F570" s="16">
        <v>4</v>
      </c>
      <c r="G570" s="20" t="s">
        <v>1443</v>
      </c>
      <c r="H570" s="16"/>
      <c r="I570" s="16" t="s">
        <v>2502</v>
      </c>
      <c r="J570" s="16" t="s">
        <v>2528</v>
      </c>
      <c r="K570" s="16" t="s">
        <v>2491</v>
      </c>
    </row>
    <row r="571" spans="1:11" ht="375" hidden="1" x14ac:dyDescent="0.25">
      <c r="A571" s="22">
        <v>568</v>
      </c>
      <c r="B571" s="16" t="s">
        <v>2529</v>
      </c>
      <c r="C571" s="16" t="s">
        <v>2530</v>
      </c>
      <c r="D571" s="16">
        <v>32850000</v>
      </c>
      <c r="E571" s="16">
        <v>2</v>
      </c>
      <c r="F571" s="16">
        <v>5</v>
      </c>
      <c r="G571" s="20" t="s">
        <v>1443</v>
      </c>
      <c r="H571" s="16"/>
      <c r="I571" s="16" t="s">
        <v>2502</v>
      </c>
      <c r="J571" s="16" t="s">
        <v>2531</v>
      </c>
      <c r="K571" s="16" t="s">
        <v>2491</v>
      </c>
    </row>
    <row r="572" spans="1:11" ht="360" hidden="1" x14ac:dyDescent="0.25">
      <c r="A572" s="22">
        <v>569</v>
      </c>
      <c r="B572" s="16" t="s">
        <v>2532</v>
      </c>
      <c r="C572" s="16" t="s">
        <v>2533</v>
      </c>
      <c r="D572" s="16">
        <v>67250000</v>
      </c>
      <c r="E572" s="16">
        <v>2</v>
      </c>
      <c r="F572" s="16">
        <v>3</v>
      </c>
      <c r="G572" s="20" t="s">
        <v>1443</v>
      </c>
      <c r="H572" s="16"/>
      <c r="I572" s="16" t="s">
        <v>2502</v>
      </c>
      <c r="J572" s="16" t="s">
        <v>2534</v>
      </c>
      <c r="K572" s="16" t="s">
        <v>2491</v>
      </c>
    </row>
    <row r="573" spans="1:11" ht="360" hidden="1" x14ac:dyDescent="0.25">
      <c r="A573" s="22">
        <v>570</v>
      </c>
      <c r="B573" s="16" t="s">
        <v>2535</v>
      </c>
      <c r="C573" s="16" t="s">
        <v>2536</v>
      </c>
      <c r="D573" s="16">
        <v>26200000</v>
      </c>
      <c r="E573" s="16">
        <v>2</v>
      </c>
      <c r="F573" s="16">
        <v>3</v>
      </c>
      <c r="G573" s="20" t="s">
        <v>1443</v>
      </c>
      <c r="H573" s="16"/>
      <c r="I573" s="16" t="s">
        <v>2502</v>
      </c>
      <c r="J573" s="16" t="s">
        <v>2537</v>
      </c>
      <c r="K573" s="16" t="s">
        <v>2491</v>
      </c>
    </row>
    <row r="574" spans="1:11" ht="330" hidden="1" x14ac:dyDescent="0.25">
      <c r="A574" s="22">
        <v>571</v>
      </c>
      <c r="B574" s="16" t="s">
        <v>2538</v>
      </c>
      <c r="C574" s="16" t="s">
        <v>2539</v>
      </c>
      <c r="D574" s="16">
        <v>52200000</v>
      </c>
      <c r="E574" s="16">
        <v>2</v>
      </c>
      <c r="F574" s="16">
        <v>3</v>
      </c>
      <c r="G574" s="20" t="s">
        <v>1443</v>
      </c>
      <c r="H574" s="16"/>
      <c r="I574" s="16" t="s">
        <v>2502</v>
      </c>
      <c r="J574" s="16" t="s">
        <v>2540</v>
      </c>
      <c r="K574" s="16" t="s">
        <v>2491</v>
      </c>
    </row>
    <row r="575" spans="1:11" ht="390" hidden="1" x14ac:dyDescent="0.25">
      <c r="A575" s="22">
        <v>572</v>
      </c>
      <c r="B575" s="16" t="s">
        <v>2541</v>
      </c>
      <c r="C575" s="16" t="s">
        <v>2542</v>
      </c>
      <c r="D575" s="16">
        <v>50500000</v>
      </c>
      <c r="E575" s="16">
        <v>2</v>
      </c>
      <c r="F575" s="16">
        <v>5</v>
      </c>
      <c r="G575" s="20" t="s">
        <v>1443</v>
      </c>
      <c r="H575" s="16"/>
      <c r="I575" s="16" t="s">
        <v>2502</v>
      </c>
      <c r="J575" s="16" t="s">
        <v>2543</v>
      </c>
      <c r="K575" s="16" t="s">
        <v>2491</v>
      </c>
    </row>
    <row r="576" spans="1:11" ht="345" hidden="1" x14ac:dyDescent="0.25">
      <c r="A576" s="22">
        <v>573</v>
      </c>
      <c r="B576" s="16" t="s">
        <v>2544</v>
      </c>
      <c r="C576" s="16" t="s">
        <v>2545</v>
      </c>
      <c r="D576" s="16">
        <v>47500000</v>
      </c>
      <c r="E576" s="16">
        <v>2</v>
      </c>
      <c r="F576" s="16">
        <v>4</v>
      </c>
      <c r="G576" s="20" t="s">
        <v>1443</v>
      </c>
      <c r="H576" s="16"/>
      <c r="I576" s="16" t="s">
        <v>2502</v>
      </c>
      <c r="J576" s="16" t="s">
        <v>2546</v>
      </c>
      <c r="K576" s="16" t="s">
        <v>2491</v>
      </c>
    </row>
    <row r="577" spans="1:11" ht="360" hidden="1" x14ac:dyDescent="0.25">
      <c r="A577" s="22">
        <v>574</v>
      </c>
      <c r="B577" s="16" t="s">
        <v>2547</v>
      </c>
      <c r="C577" s="16" t="s">
        <v>2548</v>
      </c>
      <c r="D577" s="16">
        <v>41023761</v>
      </c>
      <c r="E577" s="16">
        <v>2</v>
      </c>
      <c r="F577" s="16">
        <v>5</v>
      </c>
      <c r="G577" s="20" t="s">
        <v>1443</v>
      </c>
      <c r="H577" s="16"/>
      <c r="I577" s="16" t="s">
        <v>2502</v>
      </c>
      <c r="J577" s="16" t="s">
        <v>2549</v>
      </c>
      <c r="K577" s="16" t="s">
        <v>2491</v>
      </c>
    </row>
    <row r="578" spans="1:11" ht="409.5" hidden="1" x14ac:dyDescent="0.25">
      <c r="A578" s="22">
        <v>575</v>
      </c>
      <c r="B578" s="16" t="s">
        <v>2550</v>
      </c>
      <c r="C578" s="16" t="s">
        <v>2551</v>
      </c>
      <c r="D578" s="16">
        <v>75574272</v>
      </c>
      <c r="E578" s="16">
        <v>2</v>
      </c>
      <c r="F578" s="16">
        <v>3</v>
      </c>
      <c r="G578" s="20" t="s">
        <v>1443</v>
      </c>
      <c r="H578" s="16"/>
      <c r="I578" s="16" t="s">
        <v>2502</v>
      </c>
      <c r="J578" s="16" t="s">
        <v>2552</v>
      </c>
      <c r="K578" s="16" t="s">
        <v>2491</v>
      </c>
    </row>
    <row r="579" spans="1:11" ht="345" hidden="1" x14ac:dyDescent="0.25">
      <c r="A579" s="22">
        <v>576</v>
      </c>
      <c r="B579" s="16" t="s">
        <v>2553</v>
      </c>
      <c r="C579" s="16" t="s">
        <v>2554</v>
      </c>
      <c r="D579" s="16">
        <v>73234272</v>
      </c>
      <c r="E579" s="16">
        <v>2</v>
      </c>
      <c r="F579" s="16">
        <v>3</v>
      </c>
      <c r="G579" s="20" t="s">
        <v>1443</v>
      </c>
      <c r="H579" s="16"/>
      <c r="I579" s="16" t="s">
        <v>2502</v>
      </c>
      <c r="J579" s="16" t="s">
        <v>2555</v>
      </c>
      <c r="K579" s="16" t="s">
        <v>2491</v>
      </c>
    </row>
    <row r="580" spans="1:11" ht="409.5" hidden="1" x14ac:dyDescent="0.25">
      <c r="A580" s="22">
        <v>577</v>
      </c>
      <c r="B580" s="16" t="s">
        <v>2556</v>
      </c>
      <c r="C580" s="16" t="s">
        <v>2557</v>
      </c>
      <c r="D580" s="16">
        <v>62284200</v>
      </c>
      <c r="E580" s="16">
        <v>2</v>
      </c>
      <c r="F580" s="16">
        <v>3</v>
      </c>
      <c r="G580" s="20" t="s">
        <v>1443</v>
      </c>
      <c r="H580" s="16"/>
      <c r="I580" s="16" t="s">
        <v>2502</v>
      </c>
      <c r="J580" s="16" t="s">
        <v>2558</v>
      </c>
      <c r="K580" s="16" t="s">
        <v>2491</v>
      </c>
    </row>
    <row r="581" spans="1:11" ht="315" hidden="1" x14ac:dyDescent="0.25">
      <c r="A581" s="22">
        <v>578</v>
      </c>
      <c r="B581" s="16" t="s">
        <v>2559</v>
      </c>
      <c r="C581" s="16" t="s">
        <v>2560</v>
      </c>
      <c r="D581" s="16">
        <v>47500000</v>
      </c>
      <c r="E581" s="16">
        <v>2</v>
      </c>
      <c r="F581" s="16">
        <v>4</v>
      </c>
      <c r="G581" s="20" t="s">
        <v>1443</v>
      </c>
      <c r="H581" s="16"/>
      <c r="I581" s="16" t="s">
        <v>2502</v>
      </c>
      <c r="J581" s="16" t="s">
        <v>2561</v>
      </c>
      <c r="K581" s="16" t="s">
        <v>2491</v>
      </c>
    </row>
    <row r="582" spans="1:11" ht="405" hidden="1" x14ac:dyDescent="0.25">
      <c r="A582" s="22">
        <v>579</v>
      </c>
      <c r="B582" s="16" t="s">
        <v>2562</v>
      </c>
      <c r="C582" s="16" t="s">
        <v>2563</v>
      </c>
      <c r="D582" s="16">
        <v>82694396</v>
      </c>
      <c r="E582" s="16">
        <v>2</v>
      </c>
      <c r="F582" s="16">
        <v>4</v>
      </c>
      <c r="G582" s="20" t="s">
        <v>1443</v>
      </c>
      <c r="H582" s="16"/>
      <c r="I582" s="16" t="s">
        <v>2502</v>
      </c>
      <c r="J582" s="16" t="s">
        <v>2564</v>
      </c>
      <c r="K582" s="16" t="s">
        <v>2491</v>
      </c>
    </row>
    <row r="583" spans="1:11" ht="375" hidden="1" x14ac:dyDescent="0.25">
      <c r="A583" s="22">
        <v>580</v>
      </c>
      <c r="B583" s="16" t="s">
        <v>2565</v>
      </c>
      <c r="C583" s="16" t="s">
        <v>2566</v>
      </c>
      <c r="D583" s="16">
        <v>50523200</v>
      </c>
      <c r="E583" s="16">
        <v>2</v>
      </c>
      <c r="F583" s="16">
        <v>3</v>
      </c>
      <c r="G583" s="20" t="s">
        <v>1443</v>
      </c>
      <c r="H583" s="16"/>
      <c r="I583" s="16" t="s">
        <v>2489</v>
      </c>
      <c r="J583" s="16" t="s">
        <v>2567</v>
      </c>
      <c r="K583" s="16" t="s">
        <v>2491</v>
      </c>
    </row>
    <row r="584" spans="1:11" ht="345" hidden="1" x14ac:dyDescent="0.25">
      <c r="A584" s="22">
        <v>581</v>
      </c>
      <c r="B584" s="16" t="s">
        <v>2568</v>
      </c>
      <c r="C584" s="16" t="s">
        <v>2569</v>
      </c>
      <c r="D584" s="16">
        <v>91460448</v>
      </c>
      <c r="E584" s="16">
        <v>2</v>
      </c>
      <c r="F584" s="16">
        <v>4</v>
      </c>
      <c r="G584" s="20" t="s">
        <v>1443</v>
      </c>
      <c r="H584" s="16"/>
      <c r="I584" s="16" t="s">
        <v>2502</v>
      </c>
      <c r="J584" s="16" t="s">
        <v>2570</v>
      </c>
      <c r="K584" s="16" t="s">
        <v>2491</v>
      </c>
    </row>
    <row r="585" spans="1:11" ht="409.5" hidden="1" x14ac:dyDescent="0.25">
      <c r="A585" s="22">
        <v>582</v>
      </c>
      <c r="B585" s="16" t="s">
        <v>2571</v>
      </c>
      <c r="C585" s="16" t="s">
        <v>2572</v>
      </c>
      <c r="D585" s="16">
        <v>78971000</v>
      </c>
      <c r="E585" s="16">
        <v>2</v>
      </c>
      <c r="F585" s="16">
        <v>4</v>
      </c>
      <c r="G585" s="20" t="s">
        <v>1443</v>
      </c>
      <c r="H585" s="16"/>
      <c r="I585" s="16" t="s">
        <v>2502</v>
      </c>
      <c r="J585" s="16" t="s">
        <v>2573</v>
      </c>
      <c r="K585" s="16" t="s">
        <v>2491</v>
      </c>
    </row>
    <row r="586" spans="1:11" ht="345" hidden="1" x14ac:dyDescent="0.25">
      <c r="A586" s="22">
        <v>583</v>
      </c>
      <c r="B586" s="16" t="s">
        <v>2574</v>
      </c>
      <c r="C586" s="16" t="s">
        <v>2575</v>
      </c>
      <c r="D586" s="16">
        <v>71461000</v>
      </c>
      <c r="E586" s="16">
        <v>2</v>
      </c>
      <c r="F586" s="16">
        <v>5</v>
      </c>
      <c r="G586" s="20" t="s">
        <v>1443</v>
      </c>
      <c r="H586" s="16"/>
      <c r="I586" s="16" t="s">
        <v>2494</v>
      </c>
      <c r="J586" s="16" t="s">
        <v>2576</v>
      </c>
      <c r="K586" s="16" t="s">
        <v>2491</v>
      </c>
    </row>
    <row r="587" spans="1:11" ht="120" hidden="1" x14ac:dyDescent="0.25">
      <c r="A587" s="22">
        <v>584</v>
      </c>
      <c r="B587" s="16" t="s">
        <v>2577</v>
      </c>
      <c r="C587" s="16" t="s">
        <v>2578</v>
      </c>
      <c r="D587" s="16">
        <v>15190000</v>
      </c>
      <c r="E587" s="16">
        <v>3</v>
      </c>
      <c r="F587" s="16">
        <v>3</v>
      </c>
      <c r="G587" s="20" t="s">
        <v>1443</v>
      </c>
      <c r="H587" s="16"/>
      <c r="I587" s="16" t="s">
        <v>2579</v>
      </c>
      <c r="J587" s="16" t="s">
        <v>2580</v>
      </c>
      <c r="K587" s="16" t="s">
        <v>2581</v>
      </c>
    </row>
    <row r="588" spans="1:11" ht="90" hidden="1" x14ac:dyDescent="0.25">
      <c r="A588" s="22">
        <v>585</v>
      </c>
      <c r="B588" s="16" t="s">
        <v>2582</v>
      </c>
      <c r="C588" s="16" t="s">
        <v>2583</v>
      </c>
      <c r="D588" s="16">
        <v>11080000</v>
      </c>
      <c r="E588" s="16">
        <v>3</v>
      </c>
      <c r="F588" s="16">
        <v>3</v>
      </c>
      <c r="G588" s="20" t="s">
        <v>1443</v>
      </c>
      <c r="H588" s="16"/>
      <c r="I588" s="16" t="s">
        <v>2584</v>
      </c>
      <c r="J588" s="16" t="s">
        <v>2585</v>
      </c>
      <c r="K588" s="16" t="s">
        <v>2586</v>
      </c>
    </row>
    <row r="589" spans="1:11" ht="165" hidden="1" x14ac:dyDescent="0.25">
      <c r="A589" s="22">
        <v>586</v>
      </c>
      <c r="B589" s="16" t="s">
        <v>2587</v>
      </c>
      <c r="C589" s="16" t="s">
        <v>2588</v>
      </c>
      <c r="D589" s="16">
        <v>15020000</v>
      </c>
      <c r="E589" s="16">
        <v>3</v>
      </c>
      <c r="F589" s="16">
        <v>3</v>
      </c>
      <c r="G589" s="20" t="s">
        <v>1443</v>
      </c>
      <c r="H589" s="16"/>
      <c r="I589" s="16" t="s">
        <v>2589</v>
      </c>
      <c r="J589" s="16" t="s">
        <v>2590</v>
      </c>
      <c r="K589" s="16" t="s">
        <v>2591</v>
      </c>
    </row>
    <row r="590" spans="1:11" ht="135" hidden="1" x14ac:dyDescent="0.25">
      <c r="A590" s="22">
        <v>587</v>
      </c>
      <c r="B590" s="16" t="s">
        <v>2592</v>
      </c>
      <c r="C590" s="16" t="s">
        <v>2593</v>
      </c>
      <c r="D590" s="16">
        <v>14250000</v>
      </c>
      <c r="E590" s="16">
        <v>2</v>
      </c>
      <c r="F590" s="16">
        <v>3</v>
      </c>
      <c r="G590" s="20" t="s">
        <v>1443</v>
      </c>
      <c r="H590" s="16"/>
      <c r="I590" s="16" t="s">
        <v>2594</v>
      </c>
      <c r="J590" s="16" t="s">
        <v>2595</v>
      </c>
      <c r="K590" s="16" t="s">
        <v>2596</v>
      </c>
    </row>
    <row r="591" spans="1:11" ht="165" hidden="1" x14ac:dyDescent="0.25">
      <c r="A591" s="22">
        <v>588</v>
      </c>
      <c r="B591" s="16" t="s">
        <v>2597</v>
      </c>
      <c r="C591" s="16" t="s">
        <v>2598</v>
      </c>
      <c r="D591" s="16">
        <v>69985500</v>
      </c>
      <c r="E591" s="16">
        <v>3</v>
      </c>
      <c r="F591" s="16">
        <v>3</v>
      </c>
      <c r="G591" s="20" t="s">
        <v>1443</v>
      </c>
      <c r="H591" s="16"/>
      <c r="I591" s="16" t="s">
        <v>2599</v>
      </c>
      <c r="J591" s="16" t="s">
        <v>2600</v>
      </c>
      <c r="K591" s="16" t="s">
        <v>2601</v>
      </c>
    </row>
    <row r="592" spans="1:11" ht="195" hidden="1" x14ac:dyDescent="0.25">
      <c r="A592" s="22">
        <v>589</v>
      </c>
      <c r="B592" s="16" t="s">
        <v>2602</v>
      </c>
      <c r="C592" s="16" t="s">
        <v>2603</v>
      </c>
      <c r="D592" s="16">
        <v>8300000</v>
      </c>
      <c r="E592" s="16">
        <v>2</v>
      </c>
      <c r="F592" s="16">
        <v>5</v>
      </c>
      <c r="G592" s="20" t="s">
        <v>1443</v>
      </c>
      <c r="H592" s="16"/>
      <c r="I592" s="16" t="s">
        <v>2604</v>
      </c>
      <c r="J592" s="16" t="s">
        <v>2605</v>
      </c>
      <c r="K592" s="16" t="s">
        <v>2606</v>
      </c>
    </row>
    <row r="593" spans="1:11" ht="225" hidden="1" x14ac:dyDescent="0.25">
      <c r="A593" s="22">
        <v>590</v>
      </c>
      <c r="B593" s="16" t="s">
        <v>2607</v>
      </c>
      <c r="C593" s="16" t="s">
        <v>2608</v>
      </c>
      <c r="D593" s="16">
        <v>14440000</v>
      </c>
      <c r="E593" s="16">
        <v>3</v>
      </c>
      <c r="F593" s="16">
        <v>3</v>
      </c>
      <c r="G593" s="20" t="s">
        <v>1443</v>
      </c>
      <c r="H593" s="16"/>
      <c r="I593" s="16" t="s">
        <v>364</v>
      </c>
      <c r="J593" s="16" t="s">
        <v>2609</v>
      </c>
      <c r="K593" s="16" t="s">
        <v>2610</v>
      </c>
    </row>
    <row r="594" spans="1:11" ht="300" hidden="1" x14ac:dyDescent="0.25">
      <c r="A594" s="22">
        <v>591</v>
      </c>
      <c r="B594" s="16" t="s">
        <v>2611</v>
      </c>
      <c r="C594" s="16" t="s">
        <v>2612</v>
      </c>
      <c r="D594" s="16">
        <v>370000000</v>
      </c>
      <c r="E594" s="16">
        <v>2</v>
      </c>
      <c r="F594" s="16">
        <v>5</v>
      </c>
      <c r="G594" s="20" t="s">
        <v>1443</v>
      </c>
      <c r="H594" s="16"/>
      <c r="I594" s="16" t="s">
        <v>2613</v>
      </c>
      <c r="J594" s="16" t="s">
        <v>2614</v>
      </c>
      <c r="K594" s="16" t="s">
        <v>2615</v>
      </c>
    </row>
    <row r="595" spans="1:11" ht="240" hidden="1" x14ac:dyDescent="0.25">
      <c r="A595" s="22">
        <v>592</v>
      </c>
      <c r="B595" s="16" t="s">
        <v>2616</v>
      </c>
      <c r="C595" s="16" t="s">
        <v>2617</v>
      </c>
      <c r="D595" s="16">
        <v>3618671150</v>
      </c>
      <c r="E595" s="16">
        <v>2</v>
      </c>
      <c r="F595" s="16">
        <v>5</v>
      </c>
      <c r="G595" s="20" t="s">
        <v>1443</v>
      </c>
      <c r="H595" s="16"/>
      <c r="I595" s="16" t="s">
        <v>2618</v>
      </c>
      <c r="J595" s="16" t="s">
        <v>2619</v>
      </c>
      <c r="K595" s="16" t="s">
        <v>2620</v>
      </c>
    </row>
    <row r="596" spans="1:11" ht="300" hidden="1" x14ac:dyDescent="0.25">
      <c r="A596" s="22">
        <v>593</v>
      </c>
      <c r="B596" s="16" t="s">
        <v>2621</v>
      </c>
      <c r="C596" s="16" t="s">
        <v>2622</v>
      </c>
      <c r="D596" s="16">
        <v>150000000</v>
      </c>
      <c r="E596" s="16">
        <v>2</v>
      </c>
      <c r="F596" s="16">
        <v>5</v>
      </c>
      <c r="G596" s="20" t="s">
        <v>1443</v>
      </c>
      <c r="H596" s="16"/>
      <c r="I596" s="16" t="s">
        <v>2613</v>
      </c>
      <c r="J596" s="16" t="s">
        <v>2614</v>
      </c>
      <c r="K596" s="16" t="s">
        <v>2615</v>
      </c>
    </row>
    <row r="597" spans="1:11" ht="240" hidden="1" x14ac:dyDescent="0.25">
      <c r="A597" s="22">
        <v>594</v>
      </c>
      <c r="B597" s="16" t="s">
        <v>2623</v>
      </c>
      <c r="C597" s="16" t="s">
        <v>2624</v>
      </c>
      <c r="D597" s="16">
        <v>149006500</v>
      </c>
      <c r="E597" s="16">
        <v>2</v>
      </c>
      <c r="F597" s="16">
        <v>5</v>
      </c>
      <c r="G597" s="20" t="s">
        <v>1443</v>
      </c>
      <c r="H597" s="16"/>
      <c r="I597" s="16" t="s">
        <v>2625</v>
      </c>
      <c r="J597" s="16" t="s">
        <v>2626</v>
      </c>
      <c r="K597" s="16" t="s">
        <v>753</v>
      </c>
    </row>
    <row r="598" spans="1:11" ht="240" hidden="1" x14ac:dyDescent="0.25">
      <c r="A598" s="22">
        <v>595</v>
      </c>
      <c r="B598" s="16" t="s">
        <v>2627</v>
      </c>
      <c r="C598" s="16" t="s">
        <v>2628</v>
      </c>
      <c r="D598" s="16">
        <v>350000000</v>
      </c>
      <c r="E598" s="16">
        <v>2</v>
      </c>
      <c r="F598" s="16">
        <v>5</v>
      </c>
      <c r="G598" s="20" t="s">
        <v>1443</v>
      </c>
      <c r="H598" s="16"/>
      <c r="I598" s="16" t="s">
        <v>2625</v>
      </c>
      <c r="J598" s="16" t="s">
        <v>2626</v>
      </c>
      <c r="K598" s="16" t="s">
        <v>753</v>
      </c>
    </row>
    <row r="599" spans="1:11" ht="240" hidden="1" x14ac:dyDescent="0.25">
      <c r="A599" s="22">
        <v>596</v>
      </c>
      <c r="B599" s="16" t="s">
        <v>2629</v>
      </c>
      <c r="C599" s="16" t="s">
        <v>2630</v>
      </c>
      <c r="D599" s="16">
        <v>185000000</v>
      </c>
      <c r="E599" s="16">
        <v>2</v>
      </c>
      <c r="F599" s="16">
        <v>5</v>
      </c>
      <c r="G599" s="20" t="s">
        <v>1443</v>
      </c>
      <c r="H599" s="16"/>
      <c r="I599" s="16" t="s">
        <v>2625</v>
      </c>
      <c r="J599" s="16" t="s">
        <v>2626</v>
      </c>
      <c r="K599" s="16" t="s">
        <v>753</v>
      </c>
    </row>
    <row r="600" spans="1:11" ht="240" hidden="1" x14ac:dyDescent="0.25">
      <c r="A600" s="22">
        <v>597</v>
      </c>
      <c r="B600" s="16" t="s">
        <v>2631</v>
      </c>
      <c r="C600" s="16" t="s">
        <v>2632</v>
      </c>
      <c r="D600" s="16">
        <v>550000000</v>
      </c>
      <c r="E600" s="16">
        <v>2</v>
      </c>
      <c r="F600" s="16">
        <v>5</v>
      </c>
      <c r="G600" s="20" t="s">
        <v>1443</v>
      </c>
      <c r="H600" s="16"/>
      <c r="I600" s="16" t="s">
        <v>2625</v>
      </c>
      <c r="J600" s="16" t="s">
        <v>2626</v>
      </c>
      <c r="K600" s="16" t="s">
        <v>753</v>
      </c>
    </row>
    <row r="601" spans="1:11" ht="240" hidden="1" x14ac:dyDescent="0.25">
      <c r="A601" s="22">
        <v>598</v>
      </c>
      <c r="B601" s="16" t="s">
        <v>2633</v>
      </c>
      <c r="C601" s="16" t="s">
        <v>2634</v>
      </c>
      <c r="D601" s="16">
        <v>930000000</v>
      </c>
      <c r="E601" s="16">
        <v>2</v>
      </c>
      <c r="F601" s="16">
        <v>5</v>
      </c>
      <c r="G601" s="20" t="s">
        <v>1443</v>
      </c>
      <c r="H601" s="16"/>
      <c r="I601" s="16" t="s">
        <v>2625</v>
      </c>
      <c r="J601" s="16" t="s">
        <v>2626</v>
      </c>
      <c r="K601" s="16" t="s">
        <v>753</v>
      </c>
    </row>
    <row r="602" spans="1:11" ht="240" hidden="1" x14ac:dyDescent="0.25">
      <c r="A602" s="22">
        <v>599</v>
      </c>
      <c r="B602" s="16" t="s">
        <v>2635</v>
      </c>
      <c r="C602" s="16" t="s">
        <v>2636</v>
      </c>
      <c r="D602" s="16">
        <v>7529773200</v>
      </c>
      <c r="E602" s="16">
        <v>2</v>
      </c>
      <c r="F602" s="16">
        <v>5</v>
      </c>
      <c r="G602" s="20" t="s">
        <v>1443</v>
      </c>
      <c r="H602" s="16"/>
      <c r="I602" s="16" t="s">
        <v>2637</v>
      </c>
      <c r="J602" s="16" t="s">
        <v>2638</v>
      </c>
      <c r="K602" s="16" t="s">
        <v>753</v>
      </c>
    </row>
    <row r="603" spans="1:11" ht="240" hidden="1" x14ac:dyDescent="0.25">
      <c r="A603" s="22">
        <v>600</v>
      </c>
      <c r="B603" s="16" t="s">
        <v>2639</v>
      </c>
      <c r="C603" s="16" t="s">
        <v>2640</v>
      </c>
      <c r="D603" s="16">
        <v>353000000</v>
      </c>
      <c r="E603" s="16">
        <v>2</v>
      </c>
      <c r="F603" s="16">
        <v>5</v>
      </c>
      <c r="G603" s="20" t="s">
        <v>1443</v>
      </c>
      <c r="H603" s="16"/>
      <c r="I603" s="16" t="s">
        <v>2641</v>
      </c>
      <c r="J603" s="16" t="s">
        <v>2638</v>
      </c>
      <c r="K603" s="16" t="s">
        <v>753</v>
      </c>
    </row>
    <row r="604" spans="1:11" ht="270" hidden="1" x14ac:dyDescent="0.25">
      <c r="A604" s="22">
        <v>601</v>
      </c>
      <c r="B604" s="16" t="s">
        <v>2642</v>
      </c>
      <c r="C604" s="16" t="s">
        <v>2643</v>
      </c>
      <c r="D604" s="16">
        <v>950000000</v>
      </c>
      <c r="E604" s="16">
        <v>2</v>
      </c>
      <c r="F604" s="16">
        <v>4</v>
      </c>
      <c r="G604" s="20" t="s">
        <v>1443</v>
      </c>
      <c r="H604" s="16"/>
      <c r="I604" s="16" t="s">
        <v>2644</v>
      </c>
      <c r="J604" s="16" t="s">
        <v>2645</v>
      </c>
      <c r="K604" s="16" t="s">
        <v>2646</v>
      </c>
    </row>
    <row r="605" spans="1:11" ht="285" hidden="1" x14ac:dyDescent="0.25">
      <c r="A605" s="22">
        <v>602</v>
      </c>
      <c r="B605" s="16" t="s">
        <v>2647</v>
      </c>
      <c r="C605" s="16" t="s">
        <v>2648</v>
      </c>
      <c r="D605" s="16">
        <v>7560987522</v>
      </c>
      <c r="E605" s="16">
        <v>2</v>
      </c>
      <c r="F605" s="16">
        <v>5</v>
      </c>
      <c r="G605" s="20" t="s">
        <v>1443</v>
      </c>
      <c r="H605" s="16"/>
      <c r="I605" s="16" t="s">
        <v>2649</v>
      </c>
      <c r="J605" s="16" t="s">
        <v>2650</v>
      </c>
      <c r="K605" s="16" t="s">
        <v>2651</v>
      </c>
    </row>
    <row r="606" spans="1:11" ht="225" hidden="1" x14ac:dyDescent="0.25">
      <c r="A606" s="22">
        <v>603</v>
      </c>
      <c r="B606" s="16" t="s">
        <v>2652</v>
      </c>
      <c r="C606" s="16" t="s">
        <v>2653</v>
      </c>
      <c r="D606" s="16">
        <v>3217922425</v>
      </c>
      <c r="E606" s="16">
        <v>2</v>
      </c>
      <c r="F606" s="16">
        <v>3</v>
      </c>
      <c r="G606" s="20" t="s">
        <v>1443</v>
      </c>
      <c r="H606" s="16"/>
      <c r="I606" s="16" t="s">
        <v>2654</v>
      </c>
      <c r="J606" s="16" t="s">
        <v>2655</v>
      </c>
      <c r="K606" s="16" t="s">
        <v>2656</v>
      </c>
    </row>
    <row r="607" spans="1:11" ht="210" hidden="1" x14ac:dyDescent="0.25">
      <c r="A607" s="22">
        <v>604</v>
      </c>
      <c r="B607" s="16" t="s">
        <v>2657</v>
      </c>
      <c r="C607" s="16" t="s">
        <v>2658</v>
      </c>
      <c r="D607" s="16">
        <v>1289000000</v>
      </c>
      <c r="E607" s="16">
        <v>2</v>
      </c>
      <c r="F607" s="16">
        <v>4</v>
      </c>
      <c r="G607" s="20" t="s">
        <v>1443</v>
      </c>
      <c r="H607" s="16"/>
      <c r="I607" s="16" t="s">
        <v>2659</v>
      </c>
      <c r="J607" s="16" t="s">
        <v>2660</v>
      </c>
      <c r="K607" s="16" t="s">
        <v>2661</v>
      </c>
    </row>
    <row r="608" spans="1:11" ht="240" hidden="1" x14ac:dyDescent="0.25">
      <c r="A608" s="22">
        <v>605</v>
      </c>
      <c r="B608" s="16" t="s">
        <v>2662</v>
      </c>
      <c r="C608" s="16" t="s">
        <v>2663</v>
      </c>
      <c r="D608" s="16">
        <v>3070000000</v>
      </c>
      <c r="E608" s="16">
        <v>2</v>
      </c>
      <c r="F608" s="16">
        <v>5</v>
      </c>
      <c r="G608" s="20" t="s">
        <v>1443</v>
      </c>
      <c r="H608" s="16"/>
      <c r="I608" s="16" t="s">
        <v>2637</v>
      </c>
      <c r="J608" s="16" t="s">
        <v>2638</v>
      </c>
      <c r="K608" s="16" t="s">
        <v>753</v>
      </c>
    </row>
    <row r="609" spans="1:11" ht="240" hidden="1" x14ac:dyDescent="0.25">
      <c r="A609" s="22">
        <v>606</v>
      </c>
      <c r="B609" s="16" t="s">
        <v>2664</v>
      </c>
      <c r="C609" s="16" t="s">
        <v>2665</v>
      </c>
      <c r="D609" s="16">
        <v>353000000</v>
      </c>
      <c r="E609" s="16">
        <v>2</v>
      </c>
      <c r="F609" s="16">
        <v>5</v>
      </c>
      <c r="G609" s="20" t="s">
        <v>1443</v>
      </c>
      <c r="H609" s="16"/>
      <c r="I609" s="16" t="s">
        <v>2641</v>
      </c>
      <c r="J609" s="16" t="s">
        <v>2638</v>
      </c>
      <c r="K609" s="16" t="s">
        <v>753</v>
      </c>
    </row>
    <row r="610" spans="1:11" ht="240" hidden="1" x14ac:dyDescent="0.25">
      <c r="A610" s="22">
        <v>607</v>
      </c>
      <c r="B610" s="16" t="s">
        <v>2666</v>
      </c>
      <c r="C610" s="16" t="s">
        <v>2667</v>
      </c>
      <c r="D610" s="16">
        <v>3070000000</v>
      </c>
      <c r="E610" s="16">
        <v>2</v>
      </c>
      <c r="F610" s="16">
        <v>5</v>
      </c>
      <c r="G610" s="20" t="s">
        <v>1443</v>
      </c>
      <c r="H610" s="16"/>
      <c r="I610" s="16" t="s">
        <v>2637</v>
      </c>
      <c r="J610" s="16" t="s">
        <v>2638</v>
      </c>
      <c r="K610" s="16" t="s">
        <v>753</v>
      </c>
    </row>
    <row r="611" spans="1:11" ht="240" hidden="1" x14ac:dyDescent="0.25">
      <c r="A611" s="22">
        <v>608</v>
      </c>
      <c r="B611" s="16" t="s">
        <v>2668</v>
      </c>
      <c r="C611" s="16" t="s">
        <v>2669</v>
      </c>
      <c r="D611" s="16">
        <v>7529773200</v>
      </c>
      <c r="E611" s="16">
        <v>2</v>
      </c>
      <c r="F611" s="16">
        <v>5</v>
      </c>
      <c r="G611" s="20" t="s">
        <v>1443</v>
      </c>
      <c r="H611" s="16"/>
      <c r="I611" s="16" t="s">
        <v>2637</v>
      </c>
      <c r="J611" s="16" t="s">
        <v>2638</v>
      </c>
      <c r="K611" s="16" t="s">
        <v>753</v>
      </c>
    </row>
    <row r="612" spans="1:11" ht="240" hidden="1" x14ac:dyDescent="0.25">
      <c r="A612" s="22">
        <v>609</v>
      </c>
      <c r="B612" s="16" t="s">
        <v>2670</v>
      </c>
      <c r="C612" s="16" t="s">
        <v>2671</v>
      </c>
      <c r="D612" s="16">
        <v>142000000</v>
      </c>
      <c r="E612" s="16">
        <v>2</v>
      </c>
      <c r="F612" s="16">
        <v>5</v>
      </c>
      <c r="G612" s="20" t="s">
        <v>1443</v>
      </c>
      <c r="H612" s="16"/>
      <c r="I612" s="16" t="s">
        <v>2625</v>
      </c>
      <c r="J612" s="16" t="s">
        <v>2626</v>
      </c>
      <c r="K612" s="16" t="s">
        <v>753</v>
      </c>
    </row>
    <row r="613" spans="1:11" ht="240" hidden="1" x14ac:dyDescent="0.25">
      <c r="A613" s="22">
        <v>610</v>
      </c>
      <c r="B613" s="16" t="s">
        <v>2672</v>
      </c>
      <c r="C613" s="16" t="s">
        <v>2673</v>
      </c>
      <c r="D613" s="16">
        <v>185000000</v>
      </c>
      <c r="E613" s="16">
        <v>2</v>
      </c>
      <c r="F613" s="16">
        <v>5</v>
      </c>
      <c r="G613" s="20" t="s">
        <v>1443</v>
      </c>
      <c r="H613" s="16"/>
      <c r="I613" s="16" t="s">
        <v>2625</v>
      </c>
      <c r="J613" s="16" t="s">
        <v>2626</v>
      </c>
      <c r="K613" s="16" t="s">
        <v>753</v>
      </c>
    </row>
    <row r="614" spans="1:11" ht="240" hidden="1" x14ac:dyDescent="0.25">
      <c r="A614" s="22">
        <v>611</v>
      </c>
      <c r="B614" s="16" t="s">
        <v>2674</v>
      </c>
      <c r="C614" s="16" t="s">
        <v>2675</v>
      </c>
      <c r="D614" s="16">
        <v>930000000</v>
      </c>
      <c r="E614" s="16">
        <v>2</v>
      </c>
      <c r="F614" s="16">
        <v>5</v>
      </c>
      <c r="G614" s="20" t="s">
        <v>1443</v>
      </c>
      <c r="H614" s="16"/>
      <c r="I614" s="16" t="s">
        <v>2625</v>
      </c>
      <c r="J614" s="16" t="s">
        <v>2626</v>
      </c>
      <c r="K614" s="16" t="s">
        <v>753</v>
      </c>
    </row>
    <row r="615" spans="1:11" ht="240" hidden="1" x14ac:dyDescent="0.25">
      <c r="A615" s="22">
        <v>612</v>
      </c>
      <c r="B615" s="16" t="s">
        <v>2676</v>
      </c>
      <c r="C615" s="16" t="s">
        <v>2677</v>
      </c>
      <c r="D615" s="16">
        <v>350000000</v>
      </c>
      <c r="E615" s="16">
        <v>2</v>
      </c>
      <c r="F615" s="16">
        <v>5</v>
      </c>
      <c r="G615" s="20" t="s">
        <v>1443</v>
      </c>
      <c r="H615" s="16"/>
      <c r="I615" s="16" t="s">
        <v>2625</v>
      </c>
      <c r="J615" s="16" t="s">
        <v>2626</v>
      </c>
      <c r="K615" s="16" t="s">
        <v>753</v>
      </c>
    </row>
    <row r="616" spans="1:11" ht="240" hidden="1" x14ac:dyDescent="0.25">
      <c r="A616" s="22">
        <v>613</v>
      </c>
      <c r="B616" s="16" t="s">
        <v>2678</v>
      </c>
      <c r="C616" s="16" t="s">
        <v>2679</v>
      </c>
      <c r="D616" s="16">
        <v>550000000</v>
      </c>
      <c r="E616" s="16">
        <v>2</v>
      </c>
      <c r="F616" s="16">
        <v>5</v>
      </c>
      <c r="G616" s="20" t="s">
        <v>1443</v>
      </c>
      <c r="H616" s="16"/>
      <c r="I616" s="16" t="s">
        <v>2625</v>
      </c>
      <c r="J616" s="16" t="s">
        <v>2626</v>
      </c>
      <c r="K616" s="16" t="s">
        <v>753</v>
      </c>
    </row>
    <row r="617" spans="1:11" ht="240" hidden="1" x14ac:dyDescent="0.25">
      <c r="A617" s="22">
        <v>614</v>
      </c>
      <c r="B617" s="16" t="s">
        <v>2680</v>
      </c>
      <c r="C617" s="16" t="s">
        <v>2681</v>
      </c>
      <c r="D617" s="16">
        <v>149006500</v>
      </c>
      <c r="E617" s="16">
        <v>2</v>
      </c>
      <c r="F617" s="16">
        <v>5</v>
      </c>
      <c r="G617" s="20" t="s">
        <v>1443</v>
      </c>
      <c r="H617" s="16"/>
      <c r="I617" s="16" t="s">
        <v>2625</v>
      </c>
      <c r="J617" s="16" t="s">
        <v>2626</v>
      </c>
      <c r="K617" s="16" t="s">
        <v>753</v>
      </c>
    </row>
    <row r="618" spans="1:11" ht="210" hidden="1" x14ac:dyDescent="0.25">
      <c r="A618" s="22">
        <v>615</v>
      </c>
      <c r="B618" s="16" t="s">
        <v>2682</v>
      </c>
      <c r="C618" s="16" t="s">
        <v>2683</v>
      </c>
      <c r="D618" s="16">
        <v>1464000000</v>
      </c>
      <c r="E618" s="16">
        <v>2</v>
      </c>
      <c r="F618" s="16">
        <v>5</v>
      </c>
      <c r="G618" s="20" t="s">
        <v>1443</v>
      </c>
      <c r="H618" s="16"/>
      <c r="I618" s="16" t="s">
        <v>2684</v>
      </c>
      <c r="J618" s="16" t="s">
        <v>2685</v>
      </c>
      <c r="K618" s="16" t="s">
        <v>2686</v>
      </c>
    </row>
    <row r="619" spans="1:11" ht="195" hidden="1" x14ac:dyDescent="0.25">
      <c r="A619" s="22">
        <v>616</v>
      </c>
      <c r="B619" s="16" t="s">
        <v>2687</v>
      </c>
      <c r="C619" s="16" t="s">
        <v>2688</v>
      </c>
      <c r="D619" s="16">
        <v>672500000</v>
      </c>
      <c r="E619" s="16">
        <v>2</v>
      </c>
      <c r="F619" s="16">
        <v>4</v>
      </c>
      <c r="G619" s="20" t="s">
        <v>1443</v>
      </c>
      <c r="H619" s="16"/>
      <c r="I619" s="16" t="s">
        <v>2689</v>
      </c>
      <c r="J619" s="16" t="s">
        <v>2690</v>
      </c>
      <c r="K619" s="16" t="s">
        <v>2691</v>
      </c>
    </row>
    <row r="620" spans="1:11" ht="210" hidden="1" x14ac:dyDescent="0.25">
      <c r="A620" s="22">
        <v>617</v>
      </c>
      <c r="B620" s="16" t="s">
        <v>2692</v>
      </c>
      <c r="C620" s="16" t="s">
        <v>2693</v>
      </c>
      <c r="D620" s="16">
        <v>3162000000</v>
      </c>
      <c r="E620" s="16">
        <v>2</v>
      </c>
      <c r="F620" s="16">
        <v>4</v>
      </c>
      <c r="G620" s="20" t="s">
        <v>1443</v>
      </c>
      <c r="H620" s="16"/>
      <c r="I620" s="16" t="s">
        <v>2694</v>
      </c>
      <c r="J620" s="16" t="s">
        <v>2695</v>
      </c>
      <c r="K620" s="16" t="s">
        <v>2696</v>
      </c>
    </row>
    <row r="621" spans="1:11" ht="210" hidden="1" x14ac:dyDescent="0.25">
      <c r="A621" s="22">
        <v>618</v>
      </c>
      <c r="B621" s="16" t="s">
        <v>2697</v>
      </c>
      <c r="C621" s="16" t="s">
        <v>2698</v>
      </c>
      <c r="D621" s="16">
        <v>166000000</v>
      </c>
      <c r="E621" s="16">
        <v>2</v>
      </c>
      <c r="F621" s="16">
        <v>4</v>
      </c>
      <c r="G621" s="20" t="s">
        <v>1443</v>
      </c>
      <c r="H621" s="16"/>
      <c r="I621" s="16" t="s">
        <v>2699</v>
      </c>
      <c r="J621" s="16" t="s">
        <v>2700</v>
      </c>
      <c r="K621" s="16" t="s">
        <v>2701</v>
      </c>
    </row>
    <row r="622" spans="1:11" ht="270" hidden="1" x14ac:dyDescent="0.25">
      <c r="A622" s="22">
        <v>619</v>
      </c>
      <c r="B622" s="16" t="s">
        <v>2702</v>
      </c>
      <c r="C622" s="16" t="s">
        <v>2703</v>
      </c>
      <c r="D622" s="16">
        <v>61525000</v>
      </c>
      <c r="E622" s="16">
        <v>2</v>
      </c>
      <c r="F622" s="16">
        <v>3</v>
      </c>
      <c r="G622" s="20" t="s">
        <v>1443</v>
      </c>
      <c r="H622" s="16"/>
      <c r="I622" s="16" t="s">
        <v>2704</v>
      </c>
      <c r="J622" s="16" t="s">
        <v>2705</v>
      </c>
      <c r="K622" s="16" t="s">
        <v>2706</v>
      </c>
    </row>
    <row r="623" spans="1:11" ht="345" hidden="1" x14ac:dyDescent="0.25">
      <c r="A623" s="22">
        <v>620</v>
      </c>
      <c r="B623" s="16" t="s">
        <v>2707</v>
      </c>
      <c r="C623" s="16" t="s">
        <v>2708</v>
      </c>
      <c r="D623" s="16">
        <v>44900000</v>
      </c>
      <c r="E623" s="16">
        <v>3</v>
      </c>
      <c r="F623" s="16">
        <v>2</v>
      </c>
      <c r="G623" s="20" t="s">
        <v>1443</v>
      </c>
      <c r="H623" s="16"/>
      <c r="I623" s="16" t="s">
        <v>2709</v>
      </c>
      <c r="J623" s="16" t="s">
        <v>2710</v>
      </c>
      <c r="K623" s="16" t="s">
        <v>2711</v>
      </c>
    </row>
    <row r="624" spans="1:11" ht="345" hidden="1" x14ac:dyDescent="0.25">
      <c r="A624" s="22">
        <v>621</v>
      </c>
      <c r="B624" s="16" t="s">
        <v>2712</v>
      </c>
      <c r="C624" s="16" t="s">
        <v>2713</v>
      </c>
      <c r="D624" s="16">
        <v>55600000</v>
      </c>
      <c r="E624" s="16">
        <v>2</v>
      </c>
      <c r="F624" s="16">
        <v>3</v>
      </c>
      <c r="G624" s="20" t="s">
        <v>1443</v>
      </c>
      <c r="H624" s="16"/>
      <c r="I624" s="16" t="s">
        <v>2714</v>
      </c>
      <c r="J624" s="16" t="s">
        <v>2715</v>
      </c>
      <c r="K624" s="16" t="s">
        <v>2716</v>
      </c>
    </row>
    <row r="625" spans="1:11" ht="390" hidden="1" x14ac:dyDescent="0.25">
      <c r="A625" s="22">
        <v>622</v>
      </c>
      <c r="B625" s="16" t="s">
        <v>2717</v>
      </c>
      <c r="C625" s="16" t="s">
        <v>2718</v>
      </c>
      <c r="D625" s="16">
        <v>118000000</v>
      </c>
      <c r="E625" s="16">
        <v>3</v>
      </c>
      <c r="F625" s="16">
        <v>3</v>
      </c>
      <c r="G625" s="20" t="s">
        <v>1443</v>
      </c>
      <c r="H625" s="16"/>
      <c r="I625" s="16" t="s">
        <v>2719</v>
      </c>
      <c r="J625" s="16" t="s">
        <v>2720</v>
      </c>
      <c r="K625" s="16" t="s">
        <v>2721</v>
      </c>
    </row>
    <row r="626" spans="1:11" ht="225" hidden="1" x14ac:dyDescent="0.25">
      <c r="A626" s="22">
        <v>623</v>
      </c>
      <c r="B626" s="16" t="s">
        <v>2722</v>
      </c>
      <c r="C626" s="16" t="s">
        <v>2723</v>
      </c>
      <c r="D626" s="16">
        <v>28600000</v>
      </c>
      <c r="E626" s="16">
        <v>3</v>
      </c>
      <c r="F626" s="16">
        <v>3</v>
      </c>
      <c r="G626" s="20" t="s">
        <v>1443</v>
      </c>
      <c r="H626" s="16"/>
      <c r="I626" s="16" t="s">
        <v>2724</v>
      </c>
      <c r="J626" s="16" t="s">
        <v>2725</v>
      </c>
      <c r="K626" s="16" t="s">
        <v>2726</v>
      </c>
    </row>
    <row r="627" spans="1:11" ht="240" hidden="1" x14ac:dyDescent="0.25">
      <c r="A627" s="22">
        <v>624</v>
      </c>
      <c r="B627" s="16" t="s">
        <v>2727</v>
      </c>
      <c r="C627" s="16" t="s">
        <v>2728</v>
      </c>
      <c r="D627" s="16">
        <v>170318500</v>
      </c>
      <c r="E627" s="16">
        <v>3</v>
      </c>
      <c r="F627" s="16">
        <v>3</v>
      </c>
      <c r="G627" s="20" t="s">
        <v>1443</v>
      </c>
      <c r="H627" s="16"/>
      <c r="I627" s="16" t="s">
        <v>2729</v>
      </c>
      <c r="J627" s="16" t="s">
        <v>2730</v>
      </c>
      <c r="K627" s="16" t="s">
        <v>2731</v>
      </c>
    </row>
    <row r="628" spans="1:11" ht="240" hidden="1" x14ac:dyDescent="0.25">
      <c r="A628" s="22">
        <v>625</v>
      </c>
      <c r="B628" s="16" t="s">
        <v>2732</v>
      </c>
      <c r="C628" s="16" t="s">
        <v>2733</v>
      </c>
      <c r="D628" s="16">
        <v>115000000</v>
      </c>
      <c r="E628" s="16">
        <v>3</v>
      </c>
      <c r="F628" s="16">
        <v>2</v>
      </c>
      <c r="G628" s="20" t="s">
        <v>1443</v>
      </c>
      <c r="H628" s="16"/>
      <c r="I628" s="16" t="s">
        <v>2734</v>
      </c>
      <c r="J628" s="16" t="s">
        <v>2735</v>
      </c>
      <c r="K628" s="16" t="s">
        <v>2736</v>
      </c>
    </row>
    <row r="629" spans="1:11" ht="165" hidden="1" x14ac:dyDescent="0.25">
      <c r="A629" s="22">
        <v>626</v>
      </c>
      <c r="B629" s="16" t="s">
        <v>2737</v>
      </c>
      <c r="C629" s="16" t="s">
        <v>2738</v>
      </c>
      <c r="D629" s="16">
        <v>91735600</v>
      </c>
      <c r="E629" s="16">
        <v>3</v>
      </c>
      <c r="F629" s="16">
        <v>2</v>
      </c>
      <c r="G629" s="20" t="s">
        <v>1443</v>
      </c>
      <c r="H629" s="16"/>
      <c r="I629" s="16" t="s">
        <v>2739</v>
      </c>
      <c r="J629" s="16" t="s">
        <v>2740</v>
      </c>
      <c r="K629" s="16" t="s">
        <v>2741</v>
      </c>
    </row>
    <row r="630" spans="1:11" ht="180" hidden="1" x14ac:dyDescent="0.25">
      <c r="A630" s="22">
        <v>627</v>
      </c>
      <c r="B630" s="16" t="s">
        <v>2742</v>
      </c>
      <c r="C630" s="16" t="s">
        <v>2743</v>
      </c>
      <c r="D630" s="16">
        <v>19600000</v>
      </c>
      <c r="E630" s="16">
        <v>2</v>
      </c>
      <c r="F630" s="16">
        <v>4</v>
      </c>
      <c r="G630" s="20" t="s">
        <v>1443</v>
      </c>
      <c r="H630" s="16"/>
      <c r="I630" s="16" t="s">
        <v>2744</v>
      </c>
      <c r="J630" s="16" t="s">
        <v>2745</v>
      </c>
      <c r="K630" s="16" t="s">
        <v>2746</v>
      </c>
    </row>
    <row r="631" spans="1:11" ht="300" hidden="1" x14ac:dyDescent="0.25">
      <c r="A631" s="22">
        <v>628</v>
      </c>
      <c r="B631" s="16" t="s">
        <v>2747</v>
      </c>
      <c r="C631" s="16" t="s">
        <v>2748</v>
      </c>
      <c r="D631" s="16">
        <v>17690000</v>
      </c>
      <c r="E631" s="16">
        <v>3</v>
      </c>
      <c r="F631" s="16">
        <v>2</v>
      </c>
      <c r="G631" s="20" t="s">
        <v>1443</v>
      </c>
      <c r="H631" s="16"/>
      <c r="I631" s="16" t="s">
        <v>2749</v>
      </c>
      <c r="J631" s="16" t="s">
        <v>2750</v>
      </c>
      <c r="K631" s="16" t="s">
        <v>2751</v>
      </c>
    </row>
    <row r="632" spans="1:11" ht="255" hidden="1" x14ac:dyDescent="0.25">
      <c r="A632" s="22">
        <v>629</v>
      </c>
      <c r="B632" s="16" t="s">
        <v>2752</v>
      </c>
      <c r="C632" s="16" t="s">
        <v>2753</v>
      </c>
      <c r="D632" s="16">
        <v>40020000</v>
      </c>
      <c r="E632" s="16">
        <v>2</v>
      </c>
      <c r="F632" s="16">
        <v>4</v>
      </c>
      <c r="G632" s="20" t="s">
        <v>1443</v>
      </c>
      <c r="H632" s="16"/>
      <c r="I632" s="16" t="s">
        <v>2754</v>
      </c>
      <c r="J632" s="16" t="s">
        <v>2755</v>
      </c>
      <c r="K632" s="16" t="s">
        <v>2756</v>
      </c>
    </row>
    <row r="633" spans="1:11" ht="165" hidden="1" x14ac:dyDescent="0.25">
      <c r="A633" s="22">
        <v>630</v>
      </c>
      <c r="B633" s="16" t="s">
        <v>2757</v>
      </c>
      <c r="C633" s="16" t="s">
        <v>2758</v>
      </c>
      <c r="D633" s="16">
        <v>23800000</v>
      </c>
      <c r="E633" s="16">
        <v>3</v>
      </c>
      <c r="F633" s="16">
        <v>2</v>
      </c>
      <c r="G633" s="20" t="s">
        <v>1443</v>
      </c>
      <c r="H633" s="16"/>
      <c r="I633" s="16" t="s">
        <v>2759</v>
      </c>
      <c r="J633" s="16" t="s">
        <v>2760</v>
      </c>
      <c r="K633" s="16" t="s">
        <v>2761</v>
      </c>
    </row>
    <row r="634" spans="1:11" ht="150" hidden="1" x14ac:dyDescent="0.25">
      <c r="A634" s="22">
        <v>631</v>
      </c>
      <c r="B634" s="16" t="s">
        <v>2762</v>
      </c>
      <c r="C634" s="16" t="s">
        <v>2763</v>
      </c>
      <c r="D634" s="16">
        <v>51588000</v>
      </c>
      <c r="E634" s="16">
        <v>3</v>
      </c>
      <c r="F634" s="16">
        <v>2</v>
      </c>
      <c r="G634" s="20" t="s">
        <v>1443</v>
      </c>
      <c r="H634" s="16"/>
      <c r="I634" s="16" t="s">
        <v>2764</v>
      </c>
      <c r="J634" s="16" t="s">
        <v>2765</v>
      </c>
      <c r="K634" s="16" t="s">
        <v>2766</v>
      </c>
    </row>
    <row r="635" spans="1:11" ht="180" hidden="1" x14ac:dyDescent="0.25">
      <c r="A635" s="22">
        <v>632</v>
      </c>
      <c r="B635" s="16" t="s">
        <v>2767</v>
      </c>
      <c r="C635" s="16" t="s">
        <v>2768</v>
      </c>
      <c r="D635" s="16">
        <v>101840000</v>
      </c>
      <c r="E635" s="16">
        <v>3</v>
      </c>
      <c r="F635" s="16">
        <v>2</v>
      </c>
      <c r="G635" s="20" t="s">
        <v>1443</v>
      </c>
      <c r="H635" s="16"/>
      <c r="I635" s="16" t="s">
        <v>2769</v>
      </c>
      <c r="J635" s="16" t="s">
        <v>2770</v>
      </c>
      <c r="K635" s="16" t="s">
        <v>2766</v>
      </c>
    </row>
    <row r="636" spans="1:11" ht="195" hidden="1" x14ac:dyDescent="0.25">
      <c r="A636" s="22">
        <v>633</v>
      </c>
      <c r="B636" s="16" t="s">
        <v>2771</v>
      </c>
      <c r="C636" s="16" t="s">
        <v>2772</v>
      </c>
      <c r="D636" s="16">
        <v>35920000</v>
      </c>
      <c r="E636" s="16">
        <v>3</v>
      </c>
      <c r="F636" s="16">
        <v>2</v>
      </c>
      <c r="G636" s="20" t="s">
        <v>1443</v>
      </c>
      <c r="H636" s="16"/>
      <c r="I636" s="16" t="s">
        <v>2773</v>
      </c>
      <c r="J636" s="16" t="s">
        <v>2774</v>
      </c>
      <c r="K636" s="16" t="s">
        <v>2766</v>
      </c>
    </row>
    <row r="637" spans="1:11" ht="180" hidden="1" x14ac:dyDescent="0.25">
      <c r="A637" s="22">
        <v>634</v>
      </c>
      <c r="B637" s="16" t="s">
        <v>2775</v>
      </c>
      <c r="C637" s="16" t="s">
        <v>2776</v>
      </c>
      <c r="D637" s="16">
        <v>299700000</v>
      </c>
      <c r="E637" s="16">
        <v>3</v>
      </c>
      <c r="F637" s="16">
        <v>2</v>
      </c>
      <c r="G637" s="20" t="s">
        <v>1443</v>
      </c>
      <c r="H637" s="16"/>
      <c r="I637" s="16" t="s">
        <v>2777</v>
      </c>
      <c r="J637" s="16" t="s">
        <v>2778</v>
      </c>
      <c r="K637" s="16" t="s">
        <v>2779</v>
      </c>
    </row>
    <row r="638" spans="1:11" ht="165" hidden="1" x14ac:dyDescent="0.25">
      <c r="A638" s="22">
        <v>635</v>
      </c>
      <c r="B638" s="16" t="s">
        <v>2780</v>
      </c>
      <c r="C638" s="16" t="s">
        <v>2781</v>
      </c>
      <c r="D638" s="16">
        <v>31710000</v>
      </c>
      <c r="E638" s="16">
        <v>3</v>
      </c>
      <c r="F638" s="16">
        <v>2</v>
      </c>
      <c r="G638" s="20" t="s">
        <v>1443</v>
      </c>
      <c r="H638" s="16"/>
      <c r="I638" s="16" t="s">
        <v>2782</v>
      </c>
      <c r="J638" s="16" t="s">
        <v>2783</v>
      </c>
      <c r="K638" s="16" t="s">
        <v>2784</v>
      </c>
    </row>
    <row r="639" spans="1:11" ht="180" hidden="1" x14ac:dyDescent="0.25">
      <c r="A639" s="22">
        <v>636</v>
      </c>
      <c r="B639" s="16" t="s">
        <v>2785</v>
      </c>
      <c r="C639" s="16" t="s">
        <v>2786</v>
      </c>
      <c r="D639" s="16">
        <v>28260000</v>
      </c>
      <c r="E639" s="16">
        <v>2</v>
      </c>
      <c r="F639" s="16">
        <v>4</v>
      </c>
      <c r="G639" s="20" t="s">
        <v>1443</v>
      </c>
      <c r="H639" s="16"/>
      <c r="I639" s="16" t="s">
        <v>2787</v>
      </c>
      <c r="J639" s="16" t="s">
        <v>2788</v>
      </c>
      <c r="K639" s="16" t="s">
        <v>2789</v>
      </c>
    </row>
    <row r="640" spans="1:11" ht="210" hidden="1" x14ac:dyDescent="0.25">
      <c r="A640" s="22">
        <v>637</v>
      </c>
      <c r="B640" s="16" t="s">
        <v>2790</v>
      </c>
      <c r="C640" s="16" t="s">
        <v>2791</v>
      </c>
      <c r="D640" s="16">
        <v>194300000</v>
      </c>
      <c r="E640" s="16">
        <v>3</v>
      </c>
      <c r="F640" s="16">
        <v>3</v>
      </c>
      <c r="G640" s="20" t="s">
        <v>1443</v>
      </c>
      <c r="H640" s="16"/>
      <c r="I640" s="16" t="s">
        <v>2792</v>
      </c>
      <c r="J640" s="16" t="s">
        <v>2793</v>
      </c>
      <c r="K640" s="16" t="s">
        <v>2794</v>
      </c>
    </row>
    <row r="641" spans="1:11" ht="270" hidden="1" x14ac:dyDescent="0.25">
      <c r="A641" s="22">
        <v>638</v>
      </c>
      <c r="B641" s="16" t="s">
        <v>2795</v>
      </c>
      <c r="C641" s="16" t="s">
        <v>2796</v>
      </c>
      <c r="D641" s="16">
        <v>118260000</v>
      </c>
      <c r="E641" s="16">
        <v>2</v>
      </c>
      <c r="F641" s="16">
        <v>4</v>
      </c>
      <c r="G641" s="20" t="s">
        <v>1443</v>
      </c>
      <c r="H641" s="16"/>
      <c r="I641" s="16" t="s">
        <v>2797</v>
      </c>
      <c r="J641" s="16" t="s">
        <v>2798</v>
      </c>
      <c r="K641" s="16" t="s">
        <v>2799</v>
      </c>
    </row>
    <row r="642" spans="1:11" ht="255" hidden="1" x14ac:dyDescent="0.25">
      <c r="A642" s="22">
        <v>639</v>
      </c>
      <c r="B642" s="16" t="s">
        <v>2800</v>
      </c>
      <c r="C642" s="16" t="s">
        <v>2801</v>
      </c>
      <c r="D642" s="16">
        <v>364249400</v>
      </c>
      <c r="E642" s="16">
        <v>3</v>
      </c>
      <c r="F642" s="16">
        <v>2</v>
      </c>
      <c r="G642" s="20" t="s">
        <v>1443</v>
      </c>
      <c r="H642" s="16"/>
      <c r="I642" s="16" t="s">
        <v>2802</v>
      </c>
      <c r="J642" s="16" t="s">
        <v>2803</v>
      </c>
      <c r="K642" s="16" t="s">
        <v>2804</v>
      </c>
    </row>
    <row r="643" spans="1:11" ht="285" hidden="1" x14ac:dyDescent="0.25">
      <c r="A643" s="22">
        <v>640</v>
      </c>
      <c r="B643" s="16" t="s">
        <v>2805</v>
      </c>
      <c r="C643" s="16" t="s">
        <v>2806</v>
      </c>
      <c r="D643" s="16">
        <v>60000000</v>
      </c>
      <c r="E643" s="16">
        <v>1</v>
      </c>
      <c r="F643" s="16">
        <v>5</v>
      </c>
      <c r="G643" s="21" t="s">
        <v>2807</v>
      </c>
      <c r="H643" s="16"/>
      <c r="I643" s="16" t="s">
        <v>2808</v>
      </c>
      <c r="J643" s="16" t="s">
        <v>2809</v>
      </c>
      <c r="K643" s="16" t="s">
        <v>2810</v>
      </c>
    </row>
    <row r="644" spans="1:11" ht="135" hidden="1" x14ac:dyDescent="0.25">
      <c r="A644" s="22">
        <v>641</v>
      </c>
      <c r="B644" s="16" t="s">
        <v>2811</v>
      </c>
      <c r="C644" s="16" t="s">
        <v>2812</v>
      </c>
      <c r="D644" s="16">
        <v>32101000</v>
      </c>
      <c r="E644" s="16">
        <v>2</v>
      </c>
      <c r="F644" s="16">
        <v>2</v>
      </c>
      <c r="G644" s="21" t="s">
        <v>2807</v>
      </c>
      <c r="H644" s="16"/>
      <c r="I644" s="16" t="s">
        <v>2813</v>
      </c>
      <c r="J644" s="16" t="s">
        <v>2814</v>
      </c>
      <c r="K644" s="16" t="s">
        <v>2815</v>
      </c>
    </row>
    <row r="645" spans="1:11" ht="195" hidden="1" x14ac:dyDescent="0.25">
      <c r="A645" s="22">
        <v>642</v>
      </c>
      <c r="B645" s="16" t="s">
        <v>2816</v>
      </c>
      <c r="C645" s="16" t="s">
        <v>2817</v>
      </c>
      <c r="D645" s="16">
        <v>21332000</v>
      </c>
      <c r="E645" s="16">
        <v>1</v>
      </c>
      <c r="F645" s="16">
        <v>4</v>
      </c>
      <c r="G645" s="21" t="s">
        <v>2807</v>
      </c>
      <c r="H645" s="16"/>
      <c r="I645" s="16" t="s">
        <v>129</v>
      </c>
      <c r="J645" s="16" t="s">
        <v>997</v>
      </c>
      <c r="K645" s="16" t="s">
        <v>998</v>
      </c>
    </row>
    <row r="646" spans="1:11" ht="240" hidden="1" x14ac:dyDescent="0.25">
      <c r="A646" s="22">
        <v>643</v>
      </c>
      <c r="B646" s="16" t="s">
        <v>2818</v>
      </c>
      <c r="C646" s="16" t="s">
        <v>2819</v>
      </c>
      <c r="D646" s="16">
        <v>6654000</v>
      </c>
      <c r="E646" s="16">
        <v>1</v>
      </c>
      <c r="F646" s="16">
        <v>5</v>
      </c>
      <c r="G646" s="21" t="s">
        <v>2807</v>
      </c>
      <c r="H646" s="16"/>
      <c r="I646" s="16" t="s">
        <v>129</v>
      </c>
      <c r="J646" s="16" t="s">
        <v>130</v>
      </c>
      <c r="K646" s="16" t="s">
        <v>131</v>
      </c>
    </row>
    <row r="647" spans="1:11" ht="240" hidden="1" x14ac:dyDescent="0.25">
      <c r="A647" s="22">
        <v>644</v>
      </c>
      <c r="B647" s="16" t="s">
        <v>2820</v>
      </c>
      <c r="C647" s="16" t="s">
        <v>2821</v>
      </c>
      <c r="D647" s="16">
        <v>6654000</v>
      </c>
      <c r="E647" s="16">
        <v>1</v>
      </c>
      <c r="F647" s="16">
        <v>4</v>
      </c>
      <c r="G647" s="21" t="s">
        <v>2807</v>
      </c>
      <c r="H647" s="16"/>
      <c r="I647" s="16" t="s">
        <v>129</v>
      </c>
      <c r="J647" s="16" t="s">
        <v>130</v>
      </c>
      <c r="K647" s="16" t="s">
        <v>2822</v>
      </c>
    </row>
    <row r="648" spans="1:11" ht="270" hidden="1" x14ac:dyDescent="0.25">
      <c r="A648" s="22">
        <v>645</v>
      </c>
      <c r="B648" s="16" t="s">
        <v>2823</v>
      </c>
      <c r="C648" s="16" t="s">
        <v>2824</v>
      </c>
      <c r="D648" s="16">
        <v>127227000</v>
      </c>
      <c r="E648" s="16">
        <v>1</v>
      </c>
      <c r="F648" s="16">
        <v>3</v>
      </c>
      <c r="G648" s="21" t="s">
        <v>2807</v>
      </c>
      <c r="H648" s="16"/>
      <c r="I648" s="16" t="s">
        <v>140</v>
      </c>
      <c r="J648" s="16" t="s">
        <v>2825</v>
      </c>
      <c r="K648" s="16" t="s">
        <v>142</v>
      </c>
    </row>
    <row r="649" spans="1:11" ht="225" hidden="1" x14ac:dyDescent="0.25">
      <c r="A649" s="22">
        <v>646</v>
      </c>
      <c r="B649" s="16" t="s">
        <v>2826</v>
      </c>
      <c r="C649" s="16" t="s">
        <v>2827</v>
      </c>
      <c r="D649" s="16">
        <v>49447289</v>
      </c>
      <c r="E649" s="16">
        <v>1</v>
      </c>
      <c r="F649" s="16">
        <v>3</v>
      </c>
      <c r="G649" s="21" t="s">
        <v>2807</v>
      </c>
      <c r="H649" s="16"/>
      <c r="I649" s="16" t="s">
        <v>380</v>
      </c>
      <c r="J649" s="16" t="s">
        <v>2828</v>
      </c>
      <c r="K649" s="16" t="s">
        <v>1563</v>
      </c>
    </row>
    <row r="650" spans="1:11" ht="270" hidden="1" x14ac:dyDescent="0.25">
      <c r="A650" s="22">
        <v>647</v>
      </c>
      <c r="B650" s="16" t="s">
        <v>2829</v>
      </c>
      <c r="C650" s="16" t="s">
        <v>2830</v>
      </c>
      <c r="D650" s="16">
        <v>82477440</v>
      </c>
      <c r="E650" s="16">
        <v>1</v>
      </c>
      <c r="F650" s="16">
        <v>3</v>
      </c>
      <c r="G650" s="21" t="s">
        <v>2807</v>
      </c>
      <c r="H650" s="16"/>
      <c r="I650" s="16" t="s">
        <v>380</v>
      </c>
      <c r="J650" s="16" t="s">
        <v>910</v>
      </c>
      <c r="K650" s="16" t="s">
        <v>1124</v>
      </c>
    </row>
    <row r="651" spans="1:11" ht="195" hidden="1" x14ac:dyDescent="0.25">
      <c r="A651" s="22">
        <v>648</v>
      </c>
      <c r="B651" s="16" t="s">
        <v>2831</v>
      </c>
      <c r="C651" s="16" t="s">
        <v>2832</v>
      </c>
      <c r="D651" s="16">
        <v>24300000</v>
      </c>
      <c r="E651" s="16">
        <v>1</v>
      </c>
      <c r="F651" s="16">
        <v>4</v>
      </c>
      <c r="G651" s="21" t="s">
        <v>2807</v>
      </c>
      <c r="H651" s="16"/>
      <c r="I651" s="16" t="s">
        <v>129</v>
      </c>
      <c r="J651" s="16" t="s">
        <v>997</v>
      </c>
      <c r="K651" s="16" t="s">
        <v>998</v>
      </c>
    </row>
    <row r="652" spans="1:11" ht="315" hidden="1" x14ac:dyDescent="0.25">
      <c r="A652" s="22">
        <v>649</v>
      </c>
      <c r="B652" s="16" t="s">
        <v>2833</v>
      </c>
      <c r="C652" s="16" t="s">
        <v>2834</v>
      </c>
      <c r="D652" s="16">
        <v>14450000</v>
      </c>
      <c r="E652" s="16">
        <v>1</v>
      </c>
      <c r="F652" s="16">
        <v>3</v>
      </c>
      <c r="G652" s="21" t="s">
        <v>2807</v>
      </c>
      <c r="H652" s="16"/>
      <c r="I652" s="16" t="s">
        <v>2835</v>
      </c>
      <c r="J652" s="16" t="s">
        <v>2836</v>
      </c>
      <c r="K652" s="16" t="s">
        <v>2837</v>
      </c>
    </row>
    <row r="653" spans="1:11" ht="255" hidden="1" x14ac:dyDescent="0.25">
      <c r="A653" s="22">
        <v>650</v>
      </c>
      <c r="B653" s="16" t="s">
        <v>2838</v>
      </c>
      <c r="C653" s="16" t="s">
        <v>2839</v>
      </c>
      <c r="D653" s="16">
        <v>16956000</v>
      </c>
      <c r="E653" s="16">
        <v>1</v>
      </c>
      <c r="F653" s="16">
        <v>3</v>
      </c>
      <c r="G653" s="21" t="s">
        <v>2807</v>
      </c>
      <c r="H653" s="16"/>
      <c r="I653" s="16" t="s">
        <v>2840</v>
      </c>
      <c r="J653" s="16" t="s">
        <v>2841</v>
      </c>
      <c r="K653" s="16" t="s">
        <v>2842</v>
      </c>
    </row>
    <row r="654" spans="1:11" ht="210" hidden="1" x14ac:dyDescent="0.25">
      <c r="A654" s="22">
        <v>651</v>
      </c>
      <c r="B654" s="16" t="s">
        <v>2843</v>
      </c>
      <c r="C654" s="16" t="s">
        <v>2844</v>
      </c>
      <c r="D654" s="16">
        <v>10545000</v>
      </c>
      <c r="E654" s="16">
        <v>2</v>
      </c>
      <c r="F654" s="16">
        <v>2</v>
      </c>
      <c r="G654" s="21" t="s">
        <v>2807</v>
      </c>
      <c r="H654" s="16"/>
      <c r="I654" s="16" t="s">
        <v>2845</v>
      </c>
      <c r="J654" s="16" t="s">
        <v>2846</v>
      </c>
      <c r="K654" s="16" t="s">
        <v>2847</v>
      </c>
    </row>
    <row r="655" spans="1:11" ht="210" hidden="1" x14ac:dyDescent="0.25">
      <c r="A655" s="22">
        <v>652</v>
      </c>
      <c r="B655" s="16" t="s">
        <v>2848</v>
      </c>
      <c r="C655" s="16" t="s">
        <v>2849</v>
      </c>
      <c r="D655" s="16">
        <v>7350000</v>
      </c>
      <c r="E655" s="16">
        <v>2</v>
      </c>
      <c r="F655" s="16">
        <v>2</v>
      </c>
      <c r="G655" s="21" t="s">
        <v>2807</v>
      </c>
      <c r="H655" s="16"/>
      <c r="I655" s="16" t="s">
        <v>2845</v>
      </c>
      <c r="J655" s="16" t="s">
        <v>2846</v>
      </c>
      <c r="K655" s="16" t="s">
        <v>2847</v>
      </c>
    </row>
    <row r="656" spans="1:11" ht="360" hidden="1" x14ac:dyDescent="0.25">
      <c r="A656" s="22">
        <v>653</v>
      </c>
      <c r="B656" s="16" t="s">
        <v>2850</v>
      </c>
      <c r="C656" s="16" t="s">
        <v>2851</v>
      </c>
      <c r="D656" s="16">
        <v>5275000</v>
      </c>
      <c r="E656" s="16">
        <v>2</v>
      </c>
      <c r="F656" s="16">
        <v>1</v>
      </c>
      <c r="G656" s="21" t="s">
        <v>2807</v>
      </c>
      <c r="H656" s="16"/>
      <c r="I656" s="16" t="s">
        <v>2852</v>
      </c>
      <c r="J656" s="16" t="s">
        <v>2853</v>
      </c>
      <c r="K656" s="16" t="s">
        <v>2854</v>
      </c>
    </row>
    <row r="657" spans="1:11" ht="195" hidden="1" x14ac:dyDescent="0.25">
      <c r="A657" s="22">
        <v>654</v>
      </c>
      <c r="B657" s="16" t="s">
        <v>2855</v>
      </c>
      <c r="C657" s="16" t="s">
        <v>2856</v>
      </c>
      <c r="D657" s="16">
        <v>25290000</v>
      </c>
      <c r="E657" s="16">
        <v>2</v>
      </c>
      <c r="F657" s="16">
        <v>2</v>
      </c>
      <c r="G657" s="21" t="s">
        <v>2807</v>
      </c>
      <c r="H657" s="16"/>
      <c r="I657" s="16" t="s">
        <v>2857</v>
      </c>
      <c r="J657" s="16" t="s">
        <v>2858</v>
      </c>
      <c r="K657" s="16" t="s">
        <v>2859</v>
      </c>
    </row>
    <row r="658" spans="1:11" ht="195" hidden="1" x14ac:dyDescent="0.25">
      <c r="A658" s="22">
        <v>655</v>
      </c>
      <c r="B658" s="16" t="s">
        <v>2860</v>
      </c>
      <c r="C658" s="16" t="s">
        <v>2861</v>
      </c>
      <c r="D658" s="16">
        <v>11405000</v>
      </c>
      <c r="E658" s="16">
        <v>1</v>
      </c>
      <c r="F658" s="16">
        <v>2</v>
      </c>
      <c r="G658" s="21" t="s">
        <v>2807</v>
      </c>
      <c r="H658" s="16"/>
      <c r="I658" s="16" t="s">
        <v>2862</v>
      </c>
      <c r="J658" s="16" t="s">
        <v>2863</v>
      </c>
      <c r="K658" s="16" t="s">
        <v>2864</v>
      </c>
    </row>
    <row r="659" spans="1:11" ht="270" hidden="1" x14ac:dyDescent="0.25">
      <c r="A659" s="22">
        <v>656</v>
      </c>
      <c r="B659" s="16" t="s">
        <v>2865</v>
      </c>
      <c r="C659" s="16" t="s">
        <v>2866</v>
      </c>
      <c r="D659" s="16">
        <v>2822500</v>
      </c>
      <c r="E659" s="16">
        <v>2</v>
      </c>
      <c r="F659" s="16">
        <v>2</v>
      </c>
      <c r="G659" s="21" t="s">
        <v>2807</v>
      </c>
      <c r="H659" s="16"/>
      <c r="I659" s="16" t="s">
        <v>2867</v>
      </c>
      <c r="J659" s="16" t="s">
        <v>2868</v>
      </c>
      <c r="K659" s="16" t="s">
        <v>2869</v>
      </c>
    </row>
    <row r="660" spans="1:11" ht="409.5" hidden="1" x14ac:dyDescent="0.25">
      <c r="A660" s="22">
        <v>657</v>
      </c>
      <c r="B660" s="16" t="s">
        <v>2870</v>
      </c>
      <c r="C660" s="16" t="s">
        <v>2871</v>
      </c>
      <c r="D660" s="16">
        <v>39669000</v>
      </c>
      <c r="E660" s="16">
        <v>1</v>
      </c>
      <c r="F660" s="16">
        <v>3</v>
      </c>
      <c r="G660" s="21" t="s">
        <v>2807</v>
      </c>
      <c r="H660" s="16"/>
      <c r="I660" s="16" t="s">
        <v>2872</v>
      </c>
      <c r="J660" s="16" t="s">
        <v>2873</v>
      </c>
      <c r="K660" s="16" t="s">
        <v>2874</v>
      </c>
    </row>
    <row r="661" spans="1:11" ht="300" hidden="1" x14ac:dyDescent="0.25">
      <c r="A661" s="22">
        <v>658</v>
      </c>
      <c r="B661" s="16" t="s">
        <v>2875</v>
      </c>
      <c r="C661" s="16" t="s">
        <v>2876</v>
      </c>
      <c r="D661" s="16">
        <v>17383000</v>
      </c>
      <c r="E661" s="16">
        <v>2</v>
      </c>
      <c r="F661" s="16">
        <v>2</v>
      </c>
      <c r="G661" s="21" t="s">
        <v>2807</v>
      </c>
      <c r="H661" s="16"/>
      <c r="I661" s="16" t="s">
        <v>2877</v>
      </c>
      <c r="J661" s="16" t="s">
        <v>2878</v>
      </c>
      <c r="K661" s="16" t="s">
        <v>2879</v>
      </c>
    </row>
    <row r="662" spans="1:11" ht="345" hidden="1" x14ac:dyDescent="0.25">
      <c r="A662" s="22">
        <v>659</v>
      </c>
      <c r="B662" s="16" t="s">
        <v>2880</v>
      </c>
      <c r="C662" s="16" t="s">
        <v>2881</v>
      </c>
      <c r="D662" s="16">
        <v>7625000</v>
      </c>
      <c r="E662" s="16">
        <v>2</v>
      </c>
      <c r="F662" s="16">
        <v>2</v>
      </c>
      <c r="G662" s="21" t="s">
        <v>2807</v>
      </c>
      <c r="H662" s="16"/>
      <c r="I662" s="16" t="s">
        <v>2882</v>
      </c>
      <c r="J662" s="16" t="s">
        <v>2883</v>
      </c>
      <c r="K662" s="16" t="s">
        <v>2884</v>
      </c>
    </row>
    <row r="663" spans="1:11" ht="345" hidden="1" x14ac:dyDescent="0.25">
      <c r="A663" s="22">
        <v>660</v>
      </c>
      <c r="B663" s="16" t="s">
        <v>2885</v>
      </c>
      <c r="C663" s="16" t="s">
        <v>2886</v>
      </c>
      <c r="D663" s="16">
        <v>7053000</v>
      </c>
      <c r="E663" s="16">
        <v>2</v>
      </c>
      <c r="F663" s="16">
        <v>2</v>
      </c>
      <c r="G663" s="21" t="s">
        <v>2807</v>
      </c>
      <c r="H663" s="16"/>
      <c r="I663" s="16" t="s">
        <v>2887</v>
      </c>
      <c r="J663" s="16" t="s">
        <v>2888</v>
      </c>
      <c r="K663" s="16" t="s">
        <v>2884</v>
      </c>
    </row>
    <row r="664" spans="1:11" ht="390" hidden="1" x14ac:dyDescent="0.25">
      <c r="A664" s="22">
        <v>661</v>
      </c>
      <c r="B664" s="16" t="s">
        <v>2889</v>
      </c>
      <c r="C664" s="16" t="s">
        <v>2890</v>
      </c>
      <c r="D664" s="16">
        <v>23925000</v>
      </c>
      <c r="E664" s="16">
        <v>1</v>
      </c>
      <c r="F664" s="16">
        <v>3</v>
      </c>
      <c r="G664" s="21" t="s">
        <v>2807</v>
      </c>
      <c r="H664" s="16"/>
      <c r="I664" s="16" t="s">
        <v>2891</v>
      </c>
      <c r="J664" s="16" t="s">
        <v>2892</v>
      </c>
      <c r="K664" s="16" t="s">
        <v>2893</v>
      </c>
    </row>
    <row r="665" spans="1:11" ht="409.5" hidden="1" x14ac:dyDescent="0.25">
      <c r="A665" s="22">
        <v>662</v>
      </c>
      <c r="B665" s="16" t="s">
        <v>2894</v>
      </c>
      <c r="C665" s="16" t="s">
        <v>2895</v>
      </c>
      <c r="D665" s="16">
        <v>12370000</v>
      </c>
      <c r="E665" s="16">
        <v>2</v>
      </c>
      <c r="F665" s="16">
        <v>2</v>
      </c>
      <c r="G665" s="21" t="s">
        <v>2807</v>
      </c>
      <c r="H665" s="16"/>
      <c r="I665" s="16" t="s">
        <v>2896</v>
      </c>
      <c r="J665" s="16" t="s">
        <v>2897</v>
      </c>
      <c r="K665" s="16" t="s">
        <v>2898</v>
      </c>
    </row>
    <row r="666" spans="1:11" ht="315" hidden="1" x14ac:dyDescent="0.25">
      <c r="A666" s="22">
        <v>663</v>
      </c>
      <c r="B666" s="16" t="s">
        <v>2899</v>
      </c>
      <c r="C666" s="16" t="s">
        <v>2900</v>
      </c>
      <c r="D666" s="16">
        <v>21550000</v>
      </c>
      <c r="E666" s="16">
        <v>1</v>
      </c>
      <c r="F666" s="16">
        <v>3</v>
      </c>
      <c r="G666" s="21" t="s">
        <v>2807</v>
      </c>
      <c r="H666" s="16"/>
      <c r="I666" s="16" t="s">
        <v>2835</v>
      </c>
      <c r="J666" s="16" t="s">
        <v>2836</v>
      </c>
      <c r="K666" s="16" t="s">
        <v>2837</v>
      </c>
    </row>
    <row r="667" spans="1:11" ht="255" hidden="1" x14ac:dyDescent="0.25">
      <c r="A667" s="22">
        <v>664</v>
      </c>
      <c r="B667" s="16" t="s">
        <v>2901</v>
      </c>
      <c r="C667" s="16" t="s">
        <v>2902</v>
      </c>
      <c r="D667" s="16">
        <v>24329000</v>
      </c>
      <c r="E667" s="16">
        <v>1</v>
      </c>
      <c r="F667" s="16">
        <v>3</v>
      </c>
      <c r="G667" s="21" t="s">
        <v>2807</v>
      </c>
      <c r="H667" s="16"/>
      <c r="I667" s="16" t="s">
        <v>2840</v>
      </c>
      <c r="J667" s="16" t="s">
        <v>2841</v>
      </c>
      <c r="K667" s="16" t="s">
        <v>2842</v>
      </c>
    </row>
    <row r="668" spans="1:11" ht="210" hidden="1" x14ac:dyDescent="0.25">
      <c r="A668" s="22">
        <v>665</v>
      </c>
      <c r="B668" s="16" t="s">
        <v>2903</v>
      </c>
      <c r="C668" s="16" t="s">
        <v>2904</v>
      </c>
      <c r="D668" s="16">
        <v>11620000</v>
      </c>
      <c r="E668" s="16">
        <v>2</v>
      </c>
      <c r="F668" s="16">
        <v>2</v>
      </c>
      <c r="G668" s="21" t="s">
        <v>2807</v>
      </c>
      <c r="H668" s="16"/>
      <c r="I668" s="16" t="s">
        <v>2845</v>
      </c>
      <c r="J668" s="16" t="s">
        <v>2846</v>
      </c>
      <c r="K668" s="16" t="s">
        <v>2847</v>
      </c>
    </row>
    <row r="669" spans="1:11" ht="360" hidden="1" x14ac:dyDescent="0.25">
      <c r="A669" s="22">
        <v>666</v>
      </c>
      <c r="B669" s="16" t="s">
        <v>2905</v>
      </c>
      <c r="C669" s="16" t="s">
        <v>2906</v>
      </c>
      <c r="D669" s="16">
        <v>9180000</v>
      </c>
      <c r="E669" s="16">
        <v>2</v>
      </c>
      <c r="F669" s="16">
        <v>2</v>
      </c>
      <c r="G669" s="21" t="s">
        <v>2807</v>
      </c>
      <c r="H669" s="16"/>
      <c r="I669" s="16" t="s">
        <v>2907</v>
      </c>
      <c r="J669" s="16" t="s">
        <v>2908</v>
      </c>
      <c r="K669" s="16" t="s">
        <v>2909</v>
      </c>
    </row>
    <row r="670" spans="1:11" ht="210" hidden="1" x14ac:dyDescent="0.25">
      <c r="A670" s="22">
        <v>667</v>
      </c>
      <c r="B670" s="16" t="s">
        <v>2910</v>
      </c>
      <c r="C670" s="16" t="s">
        <v>2911</v>
      </c>
      <c r="D670" s="16">
        <v>9248000</v>
      </c>
      <c r="E670" s="16">
        <v>1</v>
      </c>
      <c r="F670" s="16">
        <v>3</v>
      </c>
      <c r="G670" s="21" t="s">
        <v>2807</v>
      </c>
      <c r="H670" s="16"/>
      <c r="I670" s="16" t="s">
        <v>2912</v>
      </c>
      <c r="J670" s="16" t="s">
        <v>2913</v>
      </c>
      <c r="K670" s="16" t="s">
        <v>2914</v>
      </c>
    </row>
    <row r="671" spans="1:11" ht="240" hidden="1" x14ac:dyDescent="0.25">
      <c r="A671" s="22">
        <v>668</v>
      </c>
      <c r="B671" s="16" t="s">
        <v>2915</v>
      </c>
      <c r="C671" s="16" t="s">
        <v>2916</v>
      </c>
      <c r="D671" s="16">
        <v>11609500</v>
      </c>
      <c r="E671" s="16">
        <v>1</v>
      </c>
      <c r="F671" s="16">
        <v>5</v>
      </c>
      <c r="G671" s="21" t="s">
        <v>2807</v>
      </c>
      <c r="H671" s="16"/>
      <c r="I671" s="16" t="s">
        <v>129</v>
      </c>
      <c r="J671" s="16" t="s">
        <v>130</v>
      </c>
      <c r="K671" s="16" t="s">
        <v>131</v>
      </c>
    </row>
    <row r="672" spans="1:11" ht="240" hidden="1" x14ac:dyDescent="0.25">
      <c r="A672" s="22">
        <v>669</v>
      </c>
      <c r="B672" s="16" t="s">
        <v>2917</v>
      </c>
      <c r="C672" s="16" t="s">
        <v>2918</v>
      </c>
      <c r="D672" s="16">
        <v>11643000</v>
      </c>
      <c r="E672" s="16">
        <v>1</v>
      </c>
      <c r="F672" s="16">
        <v>5</v>
      </c>
      <c r="G672" s="21" t="s">
        <v>2807</v>
      </c>
      <c r="H672" s="16"/>
      <c r="I672" s="16" t="s">
        <v>129</v>
      </c>
      <c r="J672" s="16" t="s">
        <v>130</v>
      </c>
      <c r="K672" s="16" t="s">
        <v>131</v>
      </c>
    </row>
    <row r="673" spans="1:11" ht="225" hidden="1" x14ac:dyDescent="0.25">
      <c r="A673" s="22">
        <v>670</v>
      </c>
      <c r="B673" s="16" t="s">
        <v>2919</v>
      </c>
      <c r="C673" s="16" t="s">
        <v>2920</v>
      </c>
      <c r="D673" s="16">
        <v>32600000</v>
      </c>
      <c r="E673" s="16">
        <v>1</v>
      </c>
      <c r="F673" s="16">
        <v>4</v>
      </c>
      <c r="G673" s="21" t="s">
        <v>2807</v>
      </c>
      <c r="H673" s="16"/>
      <c r="I673" s="16" t="s">
        <v>1599</v>
      </c>
      <c r="J673" s="16" t="s">
        <v>2921</v>
      </c>
      <c r="K673" s="16" t="s">
        <v>2922</v>
      </c>
    </row>
    <row r="674" spans="1:11" ht="240" hidden="1" x14ac:dyDescent="0.25">
      <c r="A674" s="22">
        <v>671</v>
      </c>
      <c r="B674" s="16" t="s">
        <v>2923</v>
      </c>
      <c r="C674" s="16" t="s">
        <v>2924</v>
      </c>
      <c r="D674" s="16">
        <v>10020000</v>
      </c>
      <c r="E674" s="16">
        <v>2</v>
      </c>
      <c r="F674" s="16">
        <v>2</v>
      </c>
      <c r="G674" s="21" t="s">
        <v>2807</v>
      </c>
      <c r="H674" s="16"/>
      <c r="I674" s="16" t="s">
        <v>2925</v>
      </c>
      <c r="J674" s="16" t="s">
        <v>2926</v>
      </c>
      <c r="K674" s="16" t="s">
        <v>2927</v>
      </c>
    </row>
    <row r="675" spans="1:11" ht="390" hidden="1" x14ac:dyDescent="0.25">
      <c r="A675" s="22">
        <v>672</v>
      </c>
      <c r="B675" s="16" t="s">
        <v>2928</v>
      </c>
      <c r="C675" s="16" t="s">
        <v>2929</v>
      </c>
      <c r="D675" s="16">
        <v>11900000</v>
      </c>
      <c r="E675" s="16">
        <v>1</v>
      </c>
      <c r="F675" s="16">
        <v>1</v>
      </c>
      <c r="G675" s="21" t="s">
        <v>2807</v>
      </c>
      <c r="H675" s="16"/>
      <c r="I675" s="16" t="s">
        <v>2930</v>
      </c>
      <c r="J675" s="16" t="s">
        <v>2931</v>
      </c>
      <c r="K675" s="16" t="s">
        <v>2932</v>
      </c>
    </row>
    <row r="676" spans="1:11" ht="390" hidden="1" x14ac:dyDescent="0.25">
      <c r="A676" s="22">
        <v>673</v>
      </c>
      <c r="B676" s="16" t="s">
        <v>2933</v>
      </c>
      <c r="C676" s="16" t="s">
        <v>2934</v>
      </c>
      <c r="D676" s="16">
        <v>132100000</v>
      </c>
      <c r="E676" s="16">
        <v>2</v>
      </c>
      <c r="F676" s="16">
        <v>2</v>
      </c>
      <c r="G676" s="21" t="s">
        <v>2807</v>
      </c>
      <c r="H676" s="16"/>
      <c r="I676" s="16" t="s">
        <v>2935</v>
      </c>
      <c r="J676" s="16" t="s">
        <v>2936</v>
      </c>
      <c r="K676" s="16" t="s">
        <v>2937</v>
      </c>
    </row>
    <row r="677" spans="1:11" ht="255" hidden="1" x14ac:dyDescent="0.25">
      <c r="A677" s="22">
        <v>674</v>
      </c>
      <c r="B677" s="16" t="s">
        <v>2938</v>
      </c>
      <c r="C677" s="16" t="s">
        <v>2939</v>
      </c>
      <c r="D677" s="16">
        <v>13000000</v>
      </c>
      <c r="E677" s="16">
        <v>2</v>
      </c>
      <c r="F677" s="16">
        <v>2</v>
      </c>
      <c r="G677" s="21" t="s">
        <v>2807</v>
      </c>
      <c r="H677" s="16"/>
      <c r="I677" s="16" t="s">
        <v>2940</v>
      </c>
      <c r="J677" s="16" t="s">
        <v>2941</v>
      </c>
      <c r="K677" s="16" t="s">
        <v>2942</v>
      </c>
    </row>
    <row r="678" spans="1:11" ht="165" hidden="1" x14ac:dyDescent="0.25">
      <c r="A678" s="22">
        <v>675</v>
      </c>
      <c r="B678" s="16" t="s">
        <v>2943</v>
      </c>
      <c r="C678" s="16" t="s">
        <v>2944</v>
      </c>
      <c r="D678" s="16">
        <v>7705000</v>
      </c>
      <c r="E678" s="16">
        <v>1</v>
      </c>
      <c r="F678" s="16">
        <v>3</v>
      </c>
      <c r="G678" s="21" t="s">
        <v>2807</v>
      </c>
      <c r="H678" s="16"/>
      <c r="I678" s="16" t="s">
        <v>2945</v>
      </c>
      <c r="J678" s="16" t="s">
        <v>2946</v>
      </c>
      <c r="K678" s="16" t="s">
        <v>2947</v>
      </c>
    </row>
    <row r="679" spans="1:11" ht="409.5" hidden="1" x14ac:dyDescent="0.25">
      <c r="A679" s="22">
        <v>676</v>
      </c>
      <c r="B679" s="16" t="s">
        <v>2948</v>
      </c>
      <c r="C679" s="16" t="s">
        <v>2949</v>
      </c>
      <c r="D679" s="16">
        <v>10000000</v>
      </c>
      <c r="E679" s="16">
        <v>1</v>
      </c>
      <c r="F679" s="16">
        <v>3</v>
      </c>
      <c r="G679" s="21" t="s">
        <v>2807</v>
      </c>
      <c r="H679" s="16"/>
      <c r="I679" s="16" t="s">
        <v>2950</v>
      </c>
      <c r="J679" s="16" t="s">
        <v>2951</v>
      </c>
      <c r="K679" s="16" t="s">
        <v>2952</v>
      </c>
    </row>
    <row r="680" spans="1:11" ht="409.5" hidden="1" x14ac:dyDescent="0.25">
      <c r="A680" s="22">
        <v>677</v>
      </c>
      <c r="B680" s="16" t="s">
        <v>2953</v>
      </c>
      <c r="C680" s="16" t="s">
        <v>2954</v>
      </c>
      <c r="D680" s="16">
        <v>6000000</v>
      </c>
      <c r="E680" s="16">
        <v>2</v>
      </c>
      <c r="F680" s="16">
        <v>1</v>
      </c>
      <c r="G680" s="21" t="s">
        <v>2807</v>
      </c>
      <c r="H680" s="16"/>
      <c r="I680" s="16" t="s">
        <v>2955</v>
      </c>
      <c r="J680" s="16" t="s">
        <v>2956</v>
      </c>
      <c r="K680" s="16" t="s">
        <v>2957</v>
      </c>
    </row>
    <row r="681" spans="1:11" ht="409.5" hidden="1" x14ac:dyDescent="0.25">
      <c r="A681" s="22">
        <v>678</v>
      </c>
      <c r="B681" s="16" t="s">
        <v>2958</v>
      </c>
      <c r="C681" s="16" t="s">
        <v>2959</v>
      </c>
      <c r="D681" s="16">
        <v>6000000</v>
      </c>
      <c r="E681" s="16">
        <v>2</v>
      </c>
      <c r="F681" s="16">
        <v>1</v>
      </c>
      <c r="G681" s="21" t="s">
        <v>2807</v>
      </c>
      <c r="H681" s="16"/>
      <c r="I681" s="16" t="s">
        <v>2960</v>
      </c>
      <c r="J681" s="16" t="s">
        <v>2961</v>
      </c>
      <c r="K681" s="16" t="s">
        <v>2957</v>
      </c>
    </row>
    <row r="682" spans="1:11" ht="285" hidden="1" x14ac:dyDescent="0.25">
      <c r="A682" s="22">
        <v>679</v>
      </c>
      <c r="B682" s="16" t="s">
        <v>2962</v>
      </c>
      <c r="C682" s="16" t="s">
        <v>2963</v>
      </c>
      <c r="D682" s="16">
        <v>23720000</v>
      </c>
      <c r="E682" s="16">
        <v>2</v>
      </c>
      <c r="F682" s="16">
        <v>2</v>
      </c>
      <c r="G682" s="21" t="s">
        <v>2807</v>
      </c>
      <c r="H682" s="16"/>
      <c r="I682" s="16" t="s">
        <v>2964</v>
      </c>
      <c r="J682" s="16" t="s">
        <v>2965</v>
      </c>
      <c r="K682" s="16" t="s">
        <v>2966</v>
      </c>
    </row>
    <row r="683" spans="1:11" ht="330" hidden="1" x14ac:dyDescent="0.25">
      <c r="A683" s="22">
        <v>680</v>
      </c>
      <c r="B683" s="16" t="s">
        <v>2967</v>
      </c>
      <c r="C683" s="16" t="s">
        <v>2968</v>
      </c>
      <c r="D683" s="16">
        <v>99230000</v>
      </c>
      <c r="E683" s="16">
        <v>1</v>
      </c>
      <c r="F683" s="16">
        <v>3</v>
      </c>
      <c r="G683" s="21" t="s">
        <v>2807</v>
      </c>
      <c r="H683" s="16"/>
      <c r="I683" s="16" t="s">
        <v>1663</v>
      </c>
      <c r="J683" s="16" t="s">
        <v>2969</v>
      </c>
      <c r="K683" s="16" t="s">
        <v>2970</v>
      </c>
    </row>
    <row r="684" spans="1:11" ht="180" hidden="1" x14ac:dyDescent="0.25">
      <c r="A684" s="22">
        <v>681</v>
      </c>
      <c r="B684" s="16" t="s">
        <v>2971</v>
      </c>
      <c r="C684" s="16" t="s">
        <v>2972</v>
      </c>
      <c r="D684" s="16">
        <v>4000000</v>
      </c>
      <c r="E684" s="16">
        <v>1</v>
      </c>
      <c r="F684" s="16">
        <v>1</v>
      </c>
      <c r="G684" s="21" t="s">
        <v>2807</v>
      </c>
      <c r="H684" s="16"/>
      <c r="I684" s="16" t="s">
        <v>2973</v>
      </c>
      <c r="J684" s="16" t="s">
        <v>2974</v>
      </c>
      <c r="K684" s="16" t="s">
        <v>2975</v>
      </c>
    </row>
    <row r="685" spans="1:11" ht="315" hidden="1" x14ac:dyDescent="0.25">
      <c r="A685" s="22">
        <v>682</v>
      </c>
      <c r="B685" s="16" t="s">
        <v>2976</v>
      </c>
      <c r="C685" s="16" t="s">
        <v>2977</v>
      </c>
      <c r="D685" s="16">
        <v>40600000</v>
      </c>
      <c r="E685" s="16">
        <v>1</v>
      </c>
      <c r="F685" s="16">
        <v>4</v>
      </c>
      <c r="G685" s="21" t="s">
        <v>2807</v>
      </c>
      <c r="H685" s="16"/>
      <c r="I685" s="16" t="s">
        <v>2978</v>
      </c>
      <c r="J685" s="16" t="s">
        <v>2979</v>
      </c>
      <c r="K685" s="16" t="s">
        <v>2311</v>
      </c>
    </row>
    <row r="686" spans="1:11" ht="360" hidden="1" x14ac:dyDescent="0.25">
      <c r="A686" s="22">
        <v>683</v>
      </c>
      <c r="B686" s="16" t="s">
        <v>2980</v>
      </c>
      <c r="C686" s="16" t="s">
        <v>2981</v>
      </c>
      <c r="D686" s="16">
        <v>29378750</v>
      </c>
      <c r="E686" s="16">
        <v>1</v>
      </c>
      <c r="F686" s="16">
        <v>5</v>
      </c>
      <c r="G686" s="21" t="s">
        <v>2807</v>
      </c>
      <c r="H686" s="16"/>
      <c r="I686" s="16" t="s">
        <v>2314</v>
      </c>
      <c r="J686" s="16" t="s">
        <v>2982</v>
      </c>
      <c r="K686" s="16" t="s">
        <v>2311</v>
      </c>
    </row>
    <row r="687" spans="1:11" ht="409.5" hidden="1" x14ac:dyDescent="0.25">
      <c r="A687" s="22">
        <v>684</v>
      </c>
      <c r="B687" s="16" t="s">
        <v>2983</v>
      </c>
      <c r="C687" s="16" t="s">
        <v>2984</v>
      </c>
      <c r="D687" s="16">
        <v>6000000</v>
      </c>
      <c r="E687" s="16">
        <v>2</v>
      </c>
      <c r="F687" s="16">
        <v>1</v>
      </c>
      <c r="G687" s="21" t="s">
        <v>2807</v>
      </c>
      <c r="H687" s="16"/>
      <c r="I687" s="16" t="s">
        <v>2985</v>
      </c>
      <c r="J687" s="16" t="s">
        <v>2986</v>
      </c>
      <c r="K687" s="16" t="s">
        <v>2987</v>
      </c>
    </row>
    <row r="688" spans="1:11" ht="225" hidden="1" x14ac:dyDescent="0.25">
      <c r="A688" s="22">
        <v>685</v>
      </c>
      <c r="B688" s="16" t="s">
        <v>2988</v>
      </c>
      <c r="C688" s="16" t="s">
        <v>2989</v>
      </c>
      <c r="D688" s="16">
        <v>7500000</v>
      </c>
      <c r="E688" s="16">
        <v>2</v>
      </c>
      <c r="F688" s="16">
        <v>2</v>
      </c>
      <c r="G688" s="21" t="s">
        <v>2807</v>
      </c>
      <c r="H688" s="16"/>
      <c r="I688" s="16" t="s">
        <v>2343</v>
      </c>
      <c r="J688" s="16" t="s">
        <v>2990</v>
      </c>
      <c r="K688" s="16" t="s">
        <v>2345</v>
      </c>
    </row>
    <row r="689" spans="1:11" ht="330" hidden="1" x14ac:dyDescent="0.25">
      <c r="A689" s="22">
        <v>686</v>
      </c>
      <c r="B689" s="16" t="s">
        <v>2991</v>
      </c>
      <c r="C689" s="16" t="s">
        <v>2992</v>
      </c>
      <c r="D689" s="16">
        <v>15150000</v>
      </c>
      <c r="E689" s="16">
        <v>2</v>
      </c>
      <c r="F689" s="16">
        <v>1</v>
      </c>
      <c r="G689" s="21" t="s">
        <v>2807</v>
      </c>
      <c r="H689" s="16"/>
      <c r="I689" s="16" t="s">
        <v>2993</v>
      </c>
      <c r="J689" s="16" t="s">
        <v>2994</v>
      </c>
      <c r="K689" s="16" t="s">
        <v>2995</v>
      </c>
    </row>
    <row r="690" spans="1:11" ht="405" hidden="1" x14ac:dyDescent="0.25">
      <c r="A690" s="22">
        <v>687</v>
      </c>
      <c r="B690" s="16" t="s">
        <v>2996</v>
      </c>
      <c r="C690" s="16" t="s">
        <v>2997</v>
      </c>
      <c r="D690" s="16">
        <v>4000000</v>
      </c>
      <c r="E690" s="16">
        <v>2</v>
      </c>
      <c r="F690" s="16">
        <v>2</v>
      </c>
      <c r="G690" s="21" t="s">
        <v>2807</v>
      </c>
      <c r="H690" s="16"/>
      <c r="I690" s="16" t="s">
        <v>2998</v>
      </c>
      <c r="J690" s="16" t="s">
        <v>2999</v>
      </c>
      <c r="K690" s="16" t="s">
        <v>3000</v>
      </c>
    </row>
    <row r="691" spans="1:11" ht="315" hidden="1" x14ac:dyDescent="0.25">
      <c r="A691" s="22">
        <v>688</v>
      </c>
      <c r="B691" s="16" t="s">
        <v>3001</v>
      </c>
      <c r="C691" s="16" t="s">
        <v>3002</v>
      </c>
      <c r="D691" s="16">
        <v>121200550</v>
      </c>
      <c r="E691" s="16">
        <v>1</v>
      </c>
      <c r="F691" s="16">
        <v>4</v>
      </c>
      <c r="G691" s="21" t="s">
        <v>2807</v>
      </c>
      <c r="H691" s="16"/>
      <c r="I691" s="16" t="s">
        <v>3003</v>
      </c>
      <c r="J691" s="16" t="s">
        <v>3004</v>
      </c>
      <c r="K691" s="16" t="s">
        <v>3005</v>
      </c>
    </row>
    <row r="692" spans="1:11" ht="409.5" hidden="1" x14ac:dyDescent="0.25">
      <c r="A692" s="22">
        <v>689</v>
      </c>
      <c r="B692" s="16" t="s">
        <v>3006</v>
      </c>
      <c r="C692" s="16" t="s">
        <v>3007</v>
      </c>
      <c r="D692" s="16">
        <v>15074000</v>
      </c>
      <c r="E692" s="16">
        <v>1</v>
      </c>
      <c r="F692" s="16">
        <v>5</v>
      </c>
      <c r="G692" s="21" t="s">
        <v>2807</v>
      </c>
      <c r="H692" s="16"/>
      <c r="I692" s="16" t="s">
        <v>3008</v>
      </c>
      <c r="J692" s="16" t="s">
        <v>3009</v>
      </c>
      <c r="K692" s="16" t="s">
        <v>3010</v>
      </c>
    </row>
    <row r="693" spans="1:11" ht="409.5" hidden="1" x14ac:dyDescent="0.25">
      <c r="A693" s="22">
        <v>690</v>
      </c>
      <c r="B693" s="16" t="s">
        <v>3011</v>
      </c>
      <c r="C693" s="16" t="s">
        <v>3012</v>
      </c>
      <c r="D693" s="16">
        <v>30000000</v>
      </c>
      <c r="E693" s="16">
        <v>1</v>
      </c>
      <c r="F693" s="16">
        <v>5</v>
      </c>
      <c r="G693" s="21" t="s">
        <v>2807</v>
      </c>
      <c r="H693" s="16"/>
      <c r="I693" s="16" t="s">
        <v>3008</v>
      </c>
      <c r="J693" s="16" t="s">
        <v>3013</v>
      </c>
      <c r="K693" s="16" t="s">
        <v>3014</v>
      </c>
    </row>
    <row r="694" spans="1:11" ht="255" hidden="1" x14ac:dyDescent="0.25">
      <c r="A694" s="22">
        <v>691</v>
      </c>
      <c r="B694" s="16" t="s">
        <v>3015</v>
      </c>
      <c r="C694" s="16" t="s">
        <v>3016</v>
      </c>
      <c r="D694" s="16">
        <v>7215000</v>
      </c>
      <c r="E694" s="16">
        <v>2</v>
      </c>
      <c r="F694" s="16">
        <v>1</v>
      </c>
      <c r="G694" s="21" t="s">
        <v>2807</v>
      </c>
      <c r="H694" s="16"/>
      <c r="I694" s="16" t="s">
        <v>3017</v>
      </c>
      <c r="J694" s="16" t="s">
        <v>3018</v>
      </c>
      <c r="K694" s="16" t="s">
        <v>3019</v>
      </c>
    </row>
    <row r="695" spans="1:11" ht="210" hidden="1" x14ac:dyDescent="0.25">
      <c r="A695" s="22">
        <v>692</v>
      </c>
      <c r="B695" s="16" t="s">
        <v>3020</v>
      </c>
      <c r="C695" s="16" t="s">
        <v>3021</v>
      </c>
      <c r="D695" s="16">
        <v>4275000</v>
      </c>
      <c r="E695" s="16">
        <v>2</v>
      </c>
      <c r="F695" s="16">
        <v>1</v>
      </c>
      <c r="G695" s="21" t="s">
        <v>2807</v>
      </c>
      <c r="H695" s="16"/>
      <c r="I695" s="16" t="s">
        <v>3022</v>
      </c>
      <c r="J695" s="16" t="s">
        <v>3023</v>
      </c>
      <c r="K695" s="16" t="s">
        <v>3024</v>
      </c>
    </row>
    <row r="696" spans="1:11" ht="270" hidden="1" x14ac:dyDescent="0.25">
      <c r="A696" s="22">
        <v>693</v>
      </c>
      <c r="B696" s="16" t="s">
        <v>3025</v>
      </c>
      <c r="C696" s="16" t="s">
        <v>3026</v>
      </c>
      <c r="D696" s="16">
        <v>6275000</v>
      </c>
      <c r="E696" s="16">
        <v>2</v>
      </c>
      <c r="F696" s="16">
        <v>1</v>
      </c>
      <c r="G696" s="21" t="s">
        <v>2807</v>
      </c>
      <c r="H696" s="16"/>
      <c r="I696" s="16" t="s">
        <v>3027</v>
      </c>
      <c r="J696" s="16" t="s">
        <v>3028</v>
      </c>
      <c r="K696" s="16" t="s">
        <v>3029</v>
      </c>
    </row>
    <row r="697" spans="1:11" ht="195" hidden="1" x14ac:dyDescent="0.25">
      <c r="A697" s="22">
        <v>694</v>
      </c>
      <c r="B697" s="16" t="s">
        <v>3030</v>
      </c>
      <c r="C697" s="16" t="s">
        <v>3031</v>
      </c>
      <c r="D697" s="16">
        <v>22608000</v>
      </c>
      <c r="E697" s="16">
        <v>1</v>
      </c>
      <c r="F697" s="16">
        <v>4</v>
      </c>
      <c r="G697" s="21" t="s">
        <v>2807</v>
      </c>
      <c r="H697" s="16"/>
      <c r="I697" s="16" t="s">
        <v>129</v>
      </c>
      <c r="J697" s="16" t="s">
        <v>3032</v>
      </c>
      <c r="K697" s="16"/>
    </row>
    <row r="698" spans="1:11" ht="409.5" hidden="1" x14ac:dyDescent="0.25">
      <c r="A698" s="22">
        <v>695</v>
      </c>
      <c r="B698" s="16" t="s">
        <v>3033</v>
      </c>
      <c r="C698" s="16" t="s">
        <v>3034</v>
      </c>
      <c r="D698" s="16">
        <v>20000000</v>
      </c>
      <c r="E698" s="16">
        <v>2</v>
      </c>
      <c r="F698" s="16">
        <v>2</v>
      </c>
      <c r="G698" s="21" t="s">
        <v>2807</v>
      </c>
      <c r="H698" s="16"/>
      <c r="I698" s="16" t="s">
        <v>3035</v>
      </c>
      <c r="J698" s="16" t="s">
        <v>3036</v>
      </c>
      <c r="K698" s="16" t="s">
        <v>2421</v>
      </c>
    </row>
    <row r="699" spans="1:11" ht="300" hidden="1" x14ac:dyDescent="0.25">
      <c r="A699" s="22">
        <v>696</v>
      </c>
      <c r="B699" s="16" t="s">
        <v>3037</v>
      </c>
      <c r="C699" s="16" t="s">
        <v>3038</v>
      </c>
      <c r="D699" s="16">
        <v>15000000</v>
      </c>
      <c r="E699" s="16">
        <v>1</v>
      </c>
      <c r="F699" s="16">
        <v>4</v>
      </c>
      <c r="G699" s="21" t="s">
        <v>2807</v>
      </c>
      <c r="H699" s="16"/>
      <c r="I699" s="16" t="s">
        <v>3039</v>
      </c>
      <c r="J699" s="16" t="s">
        <v>3040</v>
      </c>
      <c r="K699" s="16" t="s">
        <v>3041</v>
      </c>
    </row>
    <row r="700" spans="1:11" ht="105" hidden="1" x14ac:dyDescent="0.25">
      <c r="A700" s="22">
        <v>697</v>
      </c>
      <c r="B700" s="16" t="s">
        <v>3042</v>
      </c>
      <c r="C700" s="16" t="s">
        <v>3043</v>
      </c>
      <c r="D700" s="16">
        <v>10145000</v>
      </c>
      <c r="E700" s="16">
        <v>2</v>
      </c>
      <c r="F700" s="16">
        <v>2</v>
      </c>
      <c r="G700" s="21" t="s">
        <v>2807</v>
      </c>
      <c r="H700" s="16"/>
      <c r="I700" s="16" t="s">
        <v>2584</v>
      </c>
      <c r="J700" s="16" t="s">
        <v>3044</v>
      </c>
      <c r="K700" s="16" t="s">
        <v>3045</v>
      </c>
    </row>
    <row r="701" spans="1:11" ht="90" hidden="1" x14ac:dyDescent="0.25">
      <c r="A701" s="22">
        <v>698</v>
      </c>
      <c r="B701" s="16" t="s">
        <v>3046</v>
      </c>
      <c r="C701" s="16" t="s">
        <v>3047</v>
      </c>
      <c r="D701" s="16">
        <v>16200000</v>
      </c>
      <c r="E701" s="16">
        <v>2</v>
      </c>
      <c r="F701" s="16">
        <v>2</v>
      </c>
      <c r="G701" s="21" t="s">
        <v>2807</v>
      </c>
      <c r="H701" s="16"/>
      <c r="I701" s="16" t="s">
        <v>3048</v>
      </c>
      <c r="J701" s="16" t="s">
        <v>3049</v>
      </c>
      <c r="K701" s="16" t="s">
        <v>3050</v>
      </c>
    </row>
    <row r="702" spans="1:11" ht="105" hidden="1" x14ac:dyDescent="0.25">
      <c r="A702" s="22">
        <v>699</v>
      </c>
      <c r="B702" s="16" t="s">
        <v>3051</v>
      </c>
      <c r="C702" s="16" t="s">
        <v>3052</v>
      </c>
      <c r="D702" s="16">
        <v>10100000</v>
      </c>
      <c r="E702" s="16">
        <v>2</v>
      </c>
      <c r="F702" s="16">
        <v>2</v>
      </c>
      <c r="G702" s="21" t="s">
        <v>2807</v>
      </c>
      <c r="H702" s="16"/>
      <c r="I702" s="16" t="s">
        <v>3053</v>
      </c>
      <c r="J702" s="16" t="s">
        <v>3054</v>
      </c>
      <c r="K702" s="16" t="s">
        <v>3055</v>
      </c>
    </row>
    <row r="703" spans="1:11" ht="120" hidden="1" x14ac:dyDescent="0.25">
      <c r="A703" s="22">
        <v>700</v>
      </c>
      <c r="B703" s="16" t="s">
        <v>3056</v>
      </c>
      <c r="C703" s="16" t="s">
        <v>3057</v>
      </c>
      <c r="D703" s="16">
        <v>28330000</v>
      </c>
      <c r="E703" s="16">
        <v>1</v>
      </c>
      <c r="F703" s="16">
        <v>3</v>
      </c>
      <c r="G703" s="21" t="s">
        <v>2807</v>
      </c>
      <c r="H703" s="16"/>
      <c r="I703" s="16" t="s">
        <v>3058</v>
      </c>
      <c r="J703" s="16" t="s">
        <v>3059</v>
      </c>
      <c r="K703" s="16" t="s">
        <v>3060</v>
      </c>
    </row>
    <row r="704" spans="1:11" ht="165" hidden="1" x14ac:dyDescent="0.25">
      <c r="A704" s="22">
        <v>701</v>
      </c>
      <c r="B704" s="16" t="s">
        <v>3061</v>
      </c>
      <c r="C704" s="16" t="s">
        <v>3062</v>
      </c>
      <c r="D704" s="16">
        <v>29840000</v>
      </c>
      <c r="E704" s="16">
        <v>2</v>
      </c>
      <c r="F704" s="16">
        <v>2</v>
      </c>
      <c r="G704" s="21" t="s">
        <v>2807</v>
      </c>
      <c r="H704" s="16"/>
      <c r="I704" s="16" t="s">
        <v>3063</v>
      </c>
      <c r="J704" s="16" t="s">
        <v>3064</v>
      </c>
      <c r="K704" s="16" t="s">
        <v>3065</v>
      </c>
    </row>
    <row r="705" spans="1:11" ht="120" hidden="1" x14ac:dyDescent="0.25">
      <c r="A705" s="22">
        <v>702</v>
      </c>
      <c r="B705" s="16" t="s">
        <v>3066</v>
      </c>
      <c r="C705" s="16" t="s">
        <v>3067</v>
      </c>
      <c r="D705" s="16">
        <v>34400000</v>
      </c>
      <c r="E705" s="16">
        <v>1</v>
      </c>
      <c r="F705" s="16">
        <v>1</v>
      </c>
      <c r="G705" s="21" t="s">
        <v>2807</v>
      </c>
      <c r="H705" s="16"/>
      <c r="I705" s="16" t="s">
        <v>3068</v>
      </c>
      <c r="J705" s="16" t="s">
        <v>3069</v>
      </c>
      <c r="K705" s="16" t="s">
        <v>3070</v>
      </c>
    </row>
    <row r="706" spans="1:11" ht="120" hidden="1" x14ac:dyDescent="0.25">
      <c r="A706" s="22">
        <v>703</v>
      </c>
      <c r="B706" s="16" t="s">
        <v>3071</v>
      </c>
      <c r="C706" s="16" t="s">
        <v>3072</v>
      </c>
      <c r="D706" s="16">
        <v>6851000</v>
      </c>
      <c r="E706" s="16">
        <v>1</v>
      </c>
      <c r="F706" s="16">
        <v>1</v>
      </c>
      <c r="G706" s="21" t="s">
        <v>2807</v>
      </c>
      <c r="H706" s="16"/>
      <c r="I706" s="16" t="s">
        <v>3073</v>
      </c>
      <c r="J706" s="16" t="s">
        <v>3074</v>
      </c>
      <c r="K706" s="16" t="s">
        <v>3075</v>
      </c>
    </row>
    <row r="707" spans="1:11" ht="225" hidden="1" x14ac:dyDescent="0.25">
      <c r="A707" s="22">
        <v>704</v>
      </c>
      <c r="B707" s="16" t="s">
        <v>3076</v>
      </c>
      <c r="C707" s="16" t="s">
        <v>3077</v>
      </c>
      <c r="D707" s="16">
        <v>62435000</v>
      </c>
      <c r="E707" s="16">
        <v>1</v>
      </c>
      <c r="F707" s="16">
        <v>1</v>
      </c>
      <c r="G707" s="21" t="s">
        <v>2807</v>
      </c>
      <c r="H707" s="16"/>
      <c r="I707" s="16" t="s">
        <v>3078</v>
      </c>
      <c r="J707" s="16" t="s">
        <v>3079</v>
      </c>
      <c r="K707" s="16" t="s">
        <v>3080</v>
      </c>
    </row>
    <row r="708" spans="1:11" ht="240" hidden="1" x14ac:dyDescent="0.25">
      <c r="A708" s="22">
        <v>705</v>
      </c>
      <c r="B708" s="16" t="s">
        <v>3081</v>
      </c>
      <c r="C708" s="16" t="s">
        <v>3082</v>
      </c>
      <c r="D708" s="16">
        <v>230275000</v>
      </c>
      <c r="E708" s="16">
        <v>1</v>
      </c>
      <c r="F708" s="16">
        <v>5</v>
      </c>
      <c r="G708" s="21" t="s">
        <v>2807</v>
      </c>
      <c r="H708" s="16"/>
      <c r="I708" s="16" t="s">
        <v>3083</v>
      </c>
      <c r="J708" s="16" t="s">
        <v>3084</v>
      </c>
      <c r="K708" s="16" t="s">
        <v>3085</v>
      </c>
    </row>
    <row r="709" spans="1:11" ht="315" hidden="1" x14ac:dyDescent="0.25">
      <c r="A709" s="22">
        <v>706</v>
      </c>
      <c r="B709" s="16" t="s">
        <v>3086</v>
      </c>
      <c r="C709" s="16" t="s">
        <v>3087</v>
      </c>
      <c r="D709" s="16">
        <v>89905000</v>
      </c>
      <c r="E709" s="16">
        <v>1</v>
      </c>
      <c r="F709" s="16">
        <v>3</v>
      </c>
      <c r="G709" s="21" t="s">
        <v>2807</v>
      </c>
      <c r="H709" s="16"/>
      <c r="I709" s="16" t="s">
        <v>3088</v>
      </c>
      <c r="J709" s="16" t="s">
        <v>3089</v>
      </c>
      <c r="K709" s="16" t="s">
        <v>3090</v>
      </c>
    </row>
    <row r="710" spans="1:11" ht="270" hidden="1" x14ac:dyDescent="0.25">
      <c r="A710" s="22">
        <v>707</v>
      </c>
      <c r="B710" s="16" t="s">
        <v>3091</v>
      </c>
      <c r="C710" s="16" t="s">
        <v>3092</v>
      </c>
      <c r="D710" s="16">
        <v>181150000</v>
      </c>
      <c r="E710" s="16">
        <v>1</v>
      </c>
      <c r="F710" s="16">
        <v>5</v>
      </c>
      <c r="G710" s="21" t="s">
        <v>2807</v>
      </c>
      <c r="H710" s="16"/>
      <c r="I710" s="16" t="s">
        <v>3093</v>
      </c>
      <c r="J710" s="16" t="s">
        <v>3094</v>
      </c>
      <c r="K710" s="16" t="s">
        <v>3095</v>
      </c>
    </row>
    <row r="711" spans="1:11" ht="240" hidden="1" x14ac:dyDescent="0.25">
      <c r="A711" s="22">
        <v>708</v>
      </c>
      <c r="B711" s="16" t="s">
        <v>3096</v>
      </c>
      <c r="C711" s="16" t="s">
        <v>3097</v>
      </c>
      <c r="D711" s="16">
        <v>1491000000</v>
      </c>
      <c r="E711" s="16">
        <v>1</v>
      </c>
      <c r="F711" s="16">
        <v>5</v>
      </c>
      <c r="G711" s="21" t="s">
        <v>2807</v>
      </c>
      <c r="H711" s="16"/>
      <c r="I711" s="16" t="s">
        <v>3098</v>
      </c>
      <c r="J711" s="16" t="s">
        <v>2626</v>
      </c>
      <c r="K711" s="16" t="s">
        <v>753</v>
      </c>
    </row>
    <row r="712" spans="1:11" ht="300" hidden="1" x14ac:dyDescent="0.25">
      <c r="A712" s="22">
        <v>709</v>
      </c>
      <c r="B712" s="16" t="s">
        <v>3099</v>
      </c>
      <c r="C712" s="16" t="s">
        <v>3100</v>
      </c>
      <c r="D712" s="16">
        <v>150000000</v>
      </c>
      <c r="E712" s="16">
        <v>2</v>
      </c>
      <c r="F712" s="16">
        <v>2</v>
      </c>
      <c r="G712" s="21" t="s">
        <v>2807</v>
      </c>
      <c r="H712" s="16"/>
      <c r="I712" s="16" t="s">
        <v>3101</v>
      </c>
      <c r="J712" s="16" t="s">
        <v>3102</v>
      </c>
      <c r="K712" s="16" t="s">
        <v>788</v>
      </c>
    </row>
    <row r="713" spans="1:11" ht="270" hidden="1" x14ac:dyDescent="0.25">
      <c r="A713" s="22">
        <v>710</v>
      </c>
      <c r="B713" s="16" t="s">
        <v>3103</v>
      </c>
      <c r="C713" s="16" t="s">
        <v>3104</v>
      </c>
      <c r="D713" s="16">
        <v>78662790000</v>
      </c>
      <c r="E713" s="16">
        <v>1</v>
      </c>
      <c r="F713" s="16">
        <v>4</v>
      </c>
      <c r="G713" s="21" t="s">
        <v>2807</v>
      </c>
      <c r="H713" s="16"/>
      <c r="I713" s="16" t="s">
        <v>3105</v>
      </c>
      <c r="J713" s="16" t="s">
        <v>3106</v>
      </c>
      <c r="K713" s="16" t="s">
        <v>753</v>
      </c>
    </row>
    <row r="714" spans="1:11" ht="270" hidden="1" x14ac:dyDescent="0.25">
      <c r="A714" s="22">
        <v>711</v>
      </c>
      <c r="B714" s="16" t="s">
        <v>3107</v>
      </c>
      <c r="C714" s="16" t="s">
        <v>3108</v>
      </c>
      <c r="D714" s="16">
        <v>78662790000</v>
      </c>
      <c r="E714" s="16">
        <v>1</v>
      </c>
      <c r="F714" s="16">
        <v>4</v>
      </c>
      <c r="G714" s="21" t="s">
        <v>2807</v>
      </c>
      <c r="H714" s="16"/>
      <c r="I714" s="16" t="s">
        <v>3105</v>
      </c>
      <c r="J714" s="16" t="s">
        <v>3106</v>
      </c>
      <c r="K714" s="16" t="s">
        <v>753</v>
      </c>
    </row>
    <row r="715" spans="1:11" ht="240" hidden="1" x14ac:dyDescent="0.25">
      <c r="A715" s="22">
        <v>712</v>
      </c>
      <c r="B715" s="16" t="s">
        <v>3109</v>
      </c>
      <c r="C715" s="16" t="s">
        <v>3110</v>
      </c>
      <c r="D715" s="16">
        <v>1491000000</v>
      </c>
      <c r="E715" s="16">
        <v>1</v>
      </c>
      <c r="F715" s="16">
        <v>5</v>
      </c>
      <c r="G715" s="21" t="s">
        <v>2807</v>
      </c>
      <c r="H715" s="16"/>
      <c r="I715" s="16" t="s">
        <v>3098</v>
      </c>
      <c r="J715" s="16" t="s">
        <v>2626</v>
      </c>
      <c r="K715" s="16" t="s">
        <v>753</v>
      </c>
    </row>
    <row r="716" spans="1:11" ht="285" hidden="1" x14ac:dyDescent="0.25">
      <c r="A716" s="22">
        <v>713</v>
      </c>
      <c r="B716" s="16" t="s">
        <v>3111</v>
      </c>
      <c r="C716" s="16" t="s">
        <v>3112</v>
      </c>
      <c r="D716" s="16">
        <v>47155000</v>
      </c>
      <c r="E716" s="16">
        <v>2</v>
      </c>
      <c r="F716" s="16">
        <v>2</v>
      </c>
      <c r="G716" s="21" t="s">
        <v>2807</v>
      </c>
      <c r="H716" s="16"/>
      <c r="I716" s="16" t="s">
        <v>3113</v>
      </c>
      <c r="J716" s="16" t="s">
        <v>3114</v>
      </c>
      <c r="K716" s="16" t="s">
        <v>3115</v>
      </c>
    </row>
    <row r="717" spans="1:11" ht="225" hidden="1" x14ac:dyDescent="0.25">
      <c r="A717" s="22">
        <v>714</v>
      </c>
      <c r="B717" s="16" t="s">
        <v>3116</v>
      </c>
      <c r="C717" s="16" t="s">
        <v>3117</v>
      </c>
      <c r="D717" s="16">
        <v>47535000</v>
      </c>
      <c r="E717" s="16">
        <v>1</v>
      </c>
      <c r="F717" s="16">
        <v>1</v>
      </c>
      <c r="G717" s="21" t="s">
        <v>2807</v>
      </c>
      <c r="H717" s="16"/>
      <c r="I717" s="16" t="s">
        <v>3118</v>
      </c>
      <c r="J717" s="16" t="s">
        <v>3119</v>
      </c>
      <c r="K717" s="16" t="s">
        <v>2761</v>
      </c>
    </row>
  </sheetData>
  <autoFilter ref="A3:K717" xr:uid="{67F4741E-D944-4DA8-AD41-FAB58AE46DAD}">
    <filterColumn colId="1">
      <filters>
        <filter val="BPKU-16"/>
        <filter val="BPKU-20"/>
        <filter val="BPKU-24"/>
        <filter val="BPKU-25"/>
        <filter val="BPKU-28"/>
        <filter val="BPKU-29"/>
        <filter val="BPKU-3"/>
        <filter val="BPKU-30"/>
        <filter val="BPKU-4"/>
        <filter val="BPKU-6"/>
        <filter val="BPKU-7"/>
        <filter val="DEWAS-1"/>
      </filters>
    </filterColumn>
    <filterColumn colId="6">
      <filters>
        <filter val="MIDDLE"/>
      </filters>
    </filterColumn>
  </autoFilter>
  <mergeCells count="1">
    <mergeCell ref="B1:K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83287-8609-4543-B13A-40087F4F055E}">
  <sheetPr>
    <tabColor theme="5" tint="-0.249977111117893"/>
  </sheetPr>
  <dimension ref="B1:R997"/>
  <sheetViews>
    <sheetView topLeftCell="D20" zoomScaleNormal="100" workbookViewId="0">
      <selection activeCell="Q23" sqref="Q23"/>
    </sheetView>
  </sheetViews>
  <sheetFormatPr defaultColWidth="14.42578125" defaultRowHeight="15" customHeight="1" x14ac:dyDescent="0.25"/>
  <cols>
    <col min="1" max="1" width="8.7109375" customWidth="1"/>
    <col min="2" max="2" width="7.5703125" customWidth="1"/>
    <col min="3" max="3" width="4.42578125" customWidth="1"/>
    <col min="4" max="4" width="58.42578125" bestFit="1" customWidth="1"/>
    <col min="5" max="6" width="15.5703125" hidden="1" customWidth="1"/>
    <col min="7" max="7" width="15.140625" hidden="1" customWidth="1"/>
    <col min="8" max="8" width="17.42578125" hidden="1" customWidth="1"/>
    <col min="9" max="12" width="12.85546875" customWidth="1"/>
    <col min="13" max="13" width="12.85546875" style="30" customWidth="1"/>
    <col min="14" max="16" width="8.7109375" style="30" customWidth="1"/>
    <col min="17" max="25" width="8.7109375" customWidth="1"/>
  </cols>
  <sheetData>
    <row r="1" spans="2:17" ht="14.25" customHeight="1" x14ac:dyDescent="0.25"/>
    <row r="2" spans="2:17" ht="14.25" customHeight="1" x14ac:dyDescent="0.25">
      <c r="B2" s="31"/>
    </row>
    <row r="3" spans="2:17" ht="14.25" customHeight="1" x14ac:dyDescent="0.25">
      <c r="B3" s="31"/>
    </row>
    <row r="4" spans="2:17" ht="14.25" customHeight="1" x14ac:dyDescent="0.25"/>
    <row r="5" spans="2:17" ht="38.450000000000003" customHeight="1" x14ac:dyDescent="0.25">
      <c r="B5" s="32" t="s">
        <v>3132</v>
      </c>
      <c r="C5" s="231" t="s">
        <v>3133</v>
      </c>
      <c r="D5" s="232"/>
      <c r="E5" s="32" t="s">
        <v>3134</v>
      </c>
      <c r="F5" s="32" t="s">
        <v>3135</v>
      </c>
      <c r="G5" s="32" t="s">
        <v>3136</v>
      </c>
      <c r="H5" s="33" t="s">
        <v>3137</v>
      </c>
      <c r="I5" s="34" t="s">
        <v>3138</v>
      </c>
      <c r="J5" s="33" t="s">
        <v>3139</v>
      </c>
      <c r="K5" s="33" t="s">
        <v>3140</v>
      </c>
      <c r="L5" s="33" t="s">
        <v>3141</v>
      </c>
      <c r="M5" s="35"/>
    </row>
    <row r="6" spans="2:17" ht="38.450000000000003" customHeight="1" x14ac:dyDescent="0.25">
      <c r="B6" s="32"/>
      <c r="C6" s="231" t="s">
        <v>3142</v>
      </c>
      <c r="D6" s="231"/>
      <c r="E6" s="32"/>
      <c r="F6" s="32"/>
      <c r="G6" s="32"/>
      <c r="H6" s="33"/>
      <c r="I6" s="34">
        <v>2800</v>
      </c>
      <c r="J6" s="33"/>
      <c r="K6" s="33"/>
      <c r="L6" s="33"/>
      <c r="M6" s="35"/>
    </row>
    <row r="7" spans="2:17" ht="14.25" customHeight="1" x14ac:dyDescent="0.25">
      <c r="B7" s="226"/>
      <c r="C7" s="227"/>
      <c r="D7" s="228"/>
      <c r="E7" s="36"/>
      <c r="F7" s="36"/>
      <c r="G7" s="36"/>
      <c r="H7" s="36"/>
      <c r="I7" s="37"/>
      <c r="J7" s="38">
        <v>1680</v>
      </c>
      <c r="K7" s="39">
        <v>280</v>
      </c>
      <c r="L7" s="39">
        <v>280</v>
      </c>
      <c r="M7" s="40"/>
    </row>
    <row r="8" spans="2:17" ht="14.25" customHeight="1" x14ac:dyDescent="0.25">
      <c r="B8" s="41">
        <v>1</v>
      </c>
      <c r="C8" s="233" t="s">
        <v>3143</v>
      </c>
      <c r="D8" s="234"/>
      <c r="E8" s="42" t="s">
        <v>3144</v>
      </c>
      <c r="F8" s="42" t="s">
        <v>3144</v>
      </c>
      <c r="G8" s="42" t="s">
        <v>3144</v>
      </c>
      <c r="H8" s="42" t="s">
        <v>3144</v>
      </c>
      <c r="I8" s="43">
        <f>SUM(I9:I14)</f>
        <v>665</v>
      </c>
      <c r="J8" s="44">
        <f>SUM(J9:J14)</f>
        <v>399</v>
      </c>
      <c r="K8" s="44">
        <f>SUM(K9:K14)</f>
        <v>66.5</v>
      </c>
      <c r="L8" s="44">
        <f>SUM(L9:L14)</f>
        <v>66.5</v>
      </c>
      <c r="M8" s="40"/>
      <c r="P8" s="45" t="s">
        <v>3145</v>
      </c>
      <c r="Q8" s="31" t="s">
        <v>3146</v>
      </c>
    </row>
    <row r="9" spans="2:17" ht="14.25" customHeight="1" x14ac:dyDescent="0.25">
      <c r="B9" s="46"/>
      <c r="C9" s="46">
        <v>1</v>
      </c>
      <c r="D9" s="36" t="s">
        <v>3147</v>
      </c>
      <c r="E9" s="46" t="s">
        <v>3148</v>
      </c>
      <c r="F9" s="46" t="s">
        <v>3148</v>
      </c>
      <c r="G9" s="46" t="s">
        <v>3148</v>
      </c>
      <c r="H9" s="46" t="s">
        <v>3148</v>
      </c>
      <c r="I9" s="46">
        <v>97</v>
      </c>
      <c r="J9" s="47">
        <f>I9/I$6*J$7</f>
        <v>58.199999999999996</v>
      </c>
      <c r="K9" s="47">
        <f>I9/I$6*K$7</f>
        <v>9.6999999999999993</v>
      </c>
      <c r="L9" s="47">
        <f>I9/I$6*L$7</f>
        <v>9.6999999999999993</v>
      </c>
      <c r="M9" s="40">
        <f>J9/$J$8</f>
        <v>0.14586466165413534</v>
      </c>
      <c r="N9" s="40">
        <f>K9/$K$8</f>
        <v>0.14586466165413534</v>
      </c>
      <c r="O9" s="40">
        <f>L9/$L$8</f>
        <v>0.14586466165413534</v>
      </c>
      <c r="P9" s="30">
        <f>SUM(M9:O9)</f>
        <v>0.43759398496240598</v>
      </c>
      <c r="Q9" s="48">
        <f>AVERAGE(M9:O9)</f>
        <v>0.14586466165413534</v>
      </c>
    </row>
    <row r="10" spans="2:17" ht="14.25" customHeight="1" x14ac:dyDescent="0.25">
      <c r="B10" s="46"/>
      <c r="C10" s="46">
        <v>2</v>
      </c>
      <c r="D10" s="36" t="s">
        <v>3149</v>
      </c>
      <c r="E10" s="46" t="s">
        <v>3148</v>
      </c>
      <c r="F10" s="46" t="s">
        <v>3148</v>
      </c>
      <c r="G10" s="46" t="s">
        <v>3148</v>
      </c>
      <c r="H10" s="46" t="s">
        <v>3148</v>
      </c>
      <c r="I10" s="46">
        <v>119</v>
      </c>
      <c r="J10" s="47">
        <f t="shared" ref="J10:J14" si="0">I10/I$6*J$7</f>
        <v>71.400000000000006</v>
      </c>
      <c r="K10" s="47">
        <f t="shared" ref="K10:K14" si="1">I10/I$6*K$7</f>
        <v>11.9</v>
      </c>
      <c r="L10" s="47">
        <f t="shared" ref="L10:L14" si="2">I10/I$6*L$7</f>
        <v>11.9</v>
      </c>
      <c r="M10" s="40">
        <f t="shared" ref="M10:M14" si="3">J10/$J$8</f>
        <v>0.17894736842105263</v>
      </c>
      <c r="N10" s="40">
        <f t="shared" ref="N10:N14" si="4">K10/$K$8</f>
        <v>0.17894736842105263</v>
      </c>
      <c r="O10" s="40">
        <f t="shared" ref="O10:O14" si="5">L10/$L$8</f>
        <v>0.17894736842105263</v>
      </c>
      <c r="P10" s="30">
        <f t="shared" ref="P10:P14" si="6">SUM(M10:O10)</f>
        <v>0.5368421052631579</v>
      </c>
      <c r="Q10" s="49">
        <f t="shared" ref="Q10:Q14" si="7">AVERAGE(M10:O10)</f>
        <v>0.17894736842105263</v>
      </c>
    </row>
    <row r="11" spans="2:17" ht="14.25" customHeight="1" x14ac:dyDescent="0.25">
      <c r="B11" s="46"/>
      <c r="C11" s="46">
        <v>3</v>
      </c>
      <c r="D11" s="36" t="s">
        <v>3150</v>
      </c>
      <c r="E11" s="46"/>
      <c r="F11" s="46"/>
      <c r="G11" s="46"/>
      <c r="H11" s="46"/>
      <c r="I11" s="46">
        <v>100</v>
      </c>
      <c r="J11" s="47">
        <f t="shared" si="0"/>
        <v>60</v>
      </c>
      <c r="K11" s="47">
        <f t="shared" si="1"/>
        <v>10</v>
      </c>
      <c r="L11" s="47">
        <f t="shared" si="2"/>
        <v>10</v>
      </c>
      <c r="M11" s="40">
        <f t="shared" si="3"/>
        <v>0.15037593984962405</v>
      </c>
      <c r="N11" s="40">
        <f t="shared" si="4"/>
        <v>0.15037593984962405</v>
      </c>
      <c r="O11" s="40">
        <f t="shared" si="5"/>
        <v>0.15037593984962405</v>
      </c>
      <c r="P11" s="30">
        <f t="shared" si="6"/>
        <v>0.45112781954887216</v>
      </c>
      <c r="Q11" s="48">
        <f t="shared" si="7"/>
        <v>0.15037593984962405</v>
      </c>
    </row>
    <row r="12" spans="2:17" ht="14.25" customHeight="1" x14ac:dyDescent="0.25">
      <c r="B12" s="46"/>
      <c r="C12" s="46">
        <v>4</v>
      </c>
      <c r="D12" s="36" t="s">
        <v>3151</v>
      </c>
      <c r="E12" s="46"/>
      <c r="F12" s="46"/>
      <c r="G12" s="46"/>
      <c r="H12" s="46"/>
      <c r="I12" s="46">
        <v>118</v>
      </c>
      <c r="J12" s="47">
        <f t="shared" si="0"/>
        <v>70.8</v>
      </c>
      <c r="K12" s="47">
        <f t="shared" si="1"/>
        <v>11.799999999999999</v>
      </c>
      <c r="L12" s="47">
        <f t="shared" si="2"/>
        <v>11.799999999999999</v>
      </c>
      <c r="M12" s="40">
        <f t="shared" si="3"/>
        <v>0.17744360902255638</v>
      </c>
      <c r="N12" s="40">
        <f t="shared" si="4"/>
        <v>0.17744360902255638</v>
      </c>
      <c r="O12" s="40">
        <f t="shared" si="5"/>
        <v>0.17744360902255638</v>
      </c>
      <c r="P12" s="30">
        <f t="shared" si="6"/>
        <v>0.5323308270676691</v>
      </c>
      <c r="Q12" s="49">
        <f t="shared" si="7"/>
        <v>0.17744360902255638</v>
      </c>
    </row>
    <row r="13" spans="2:17" ht="14.25" customHeight="1" x14ac:dyDescent="0.25">
      <c r="B13" s="46"/>
      <c r="C13" s="46">
        <v>5</v>
      </c>
      <c r="D13" s="36" t="s">
        <v>3152</v>
      </c>
      <c r="E13" s="46"/>
      <c r="F13" s="46"/>
      <c r="G13" s="46"/>
      <c r="H13" s="46"/>
      <c r="I13" s="46">
        <v>120</v>
      </c>
      <c r="J13" s="47">
        <f t="shared" si="0"/>
        <v>72</v>
      </c>
      <c r="K13" s="47">
        <f t="shared" si="1"/>
        <v>12</v>
      </c>
      <c r="L13" s="47">
        <f t="shared" si="2"/>
        <v>12</v>
      </c>
      <c r="M13" s="40">
        <f t="shared" si="3"/>
        <v>0.18045112781954886</v>
      </c>
      <c r="N13" s="40">
        <f t="shared" si="4"/>
        <v>0.18045112781954886</v>
      </c>
      <c r="O13" s="40">
        <f t="shared" si="5"/>
        <v>0.18045112781954886</v>
      </c>
      <c r="P13" s="30">
        <f t="shared" si="6"/>
        <v>0.54135338345864659</v>
      </c>
      <c r="Q13" s="49">
        <f t="shared" si="7"/>
        <v>0.18045112781954886</v>
      </c>
    </row>
    <row r="14" spans="2:17" ht="14.25" customHeight="1" x14ac:dyDescent="0.25">
      <c r="B14" s="46"/>
      <c r="C14" s="46">
        <v>6</v>
      </c>
      <c r="D14" s="36" t="s">
        <v>3153</v>
      </c>
      <c r="E14" s="46"/>
      <c r="F14" s="46"/>
      <c r="G14" s="46"/>
      <c r="H14" s="46"/>
      <c r="I14" s="46">
        <v>111</v>
      </c>
      <c r="J14" s="47">
        <f t="shared" si="0"/>
        <v>66.599999999999994</v>
      </c>
      <c r="K14" s="47">
        <f t="shared" si="1"/>
        <v>11.1</v>
      </c>
      <c r="L14" s="47">
        <f t="shared" si="2"/>
        <v>11.1</v>
      </c>
      <c r="M14" s="40">
        <f t="shared" si="3"/>
        <v>0.16691729323308269</v>
      </c>
      <c r="N14" s="40">
        <f t="shared" si="4"/>
        <v>0.16691729323308271</v>
      </c>
      <c r="O14" s="40">
        <f t="shared" si="5"/>
        <v>0.16691729323308271</v>
      </c>
      <c r="P14" s="30">
        <f t="shared" si="6"/>
        <v>0.50075187969924806</v>
      </c>
      <c r="Q14" s="48">
        <f t="shared" si="7"/>
        <v>0.16691729323308269</v>
      </c>
    </row>
    <row r="15" spans="2:17" ht="14.25" customHeight="1" x14ac:dyDescent="0.25">
      <c r="B15" s="226"/>
      <c r="C15" s="227"/>
      <c r="D15" s="228"/>
      <c r="E15" s="36"/>
      <c r="F15" s="36"/>
      <c r="G15" s="36"/>
      <c r="H15" s="36"/>
      <c r="I15" s="50"/>
      <c r="J15" s="36"/>
      <c r="K15" s="51"/>
      <c r="L15" s="51"/>
      <c r="M15" s="40"/>
    </row>
    <row r="16" spans="2:17" ht="14.25" customHeight="1" x14ac:dyDescent="0.25">
      <c r="B16" s="41">
        <v>2</v>
      </c>
      <c r="C16" s="233" t="s">
        <v>3154</v>
      </c>
      <c r="D16" s="234"/>
      <c r="E16" s="42" t="s">
        <v>3155</v>
      </c>
      <c r="F16" s="42" t="s">
        <v>3155</v>
      </c>
      <c r="G16" s="42" t="s">
        <v>3155</v>
      </c>
      <c r="H16" s="42" t="s">
        <v>3155</v>
      </c>
      <c r="I16" s="43">
        <f>SUM(I17:I20)</f>
        <v>350</v>
      </c>
      <c r="J16" s="44">
        <f>SUM(J17:J20)</f>
        <v>210</v>
      </c>
      <c r="K16" s="44">
        <f>SUM(K17:K20)</f>
        <v>35</v>
      </c>
      <c r="L16" s="44">
        <f>SUM(L17:L20)</f>
        <v>35</v>
      </c>
      <c r="M16" s="40"/>
    </row>
    <row r="17" spans="2:18" ht="14.25" customHeight="1" x14ac:dyDescent="0.25">
      <c r="B17" s="46"/>
      <c r="C17" s="46">
        <v>7</v>
      </c>
      <c r="D17" s="36" t="s">
        <v>3156</v>
      </c>
      <c r="E17" s="46" t="s">
        <v>3148</v>
      </c>
      <c r="F17" s="46" t="s">
        <v>3148</v>
      </c>
      <c r="G17" s="46" t="s">
        <v>3148</v>
      </c>
      <c r="H17" s="46" t="s">
        <v>3148</v>
      </c>
      <c r="I17" s="46">
        <v>62</v>
      </c>
      <c r="J17" s="47">
        <f t="shared" ref="J17:J20" si="8">I17/I$6*J$7</f>
        <v>37.199999999999996</v>
      </c>
      <c r="K17" s="47">
        <f t="shared" ref="K17:K20" si="9">I17/I$6*K$7</f>
        <v>6.1999999999999993</v>
      </c>
      <c r="L17" s="47">
        <f t="shared" ref="L17:L20" si="10">I17/I$6*L$7</f>
        <v>6.1999999999999993</v>
      </c>
      <c r="M17" s="40">
        <f>J17/$J$16</f>
        <v>0.17714285714285713</v>
      </c>
      <c r="N17" s="30">
        <f>K17/$K$16</f>
        <v>0.17714285714285713</v>
      </c>
      <c r="O17" s="30">
        <f>L17/$L$16</f>
        <v>0.17714285714285713</v>
      </c>
      <c r="P17" s="30">
        <f t="shared" ref="P17:P19" si="11">SUM(M17:O17)</f>
        <v>0.53142857142857136</v>
      </c>
      <c r="Q17" s="48">
        <f t="shared" ref="Q17:Q19" si="12">AVERAGE(M17:O17)</f>
        <v>0.17714285714285713</v>
      </c>
    </row>
    <row r="18" spans="2:18" ht="14.25" customHeight="1" x14ac:dyDescent="0.25">
      <c r="B18" s="46"/>
      <c r="C18" s="46">
        <v>8</v>
      </c>
      <c r="D18" s="36" t="s">
        <v>3157</v>
      </c>
      <c r="E18" s="46" t="s">
        <v>3148</v>
      </c>
      <c r="F18" s="46" t="s">
        <v>3148</v>
      </c>
      <c r="G18" s="46" t="s">
        <v>3148</v>
      </c>
      <c r="H18" s="46" t="s">
        <v>3148</v>
      </c>
      <c r="I18" s="46">
        <v>105</v>
      </c>
      <c r="J18" s="47">
        <f t="shared" si="8"/>
        <v>63</v>
      </c>
      <c r="K18" s="47">
        <f t="shared" si="9"/>
        <v>10.5</v>
      </c>
      <c r="L18" s="47">
        <f t="shared" si="10"/>
        <v>10.5</v>
      </c>
      <c r="M18" s="40">
        <f t="shared" ref="M18:M19" si="13">J18/$J$16</f>
        <v>0.3</v>
      </c>
      <c r="N18" s="30">
        <f t="shared" ref="N18:N19" si="14">K18/$K$16</f>
        <v>0.3</v>
      </c>
      <c r="O18" s="30">
        <f t="shared" ref="O18:O19" si="15">L18/$L$16</f>
        <v>0.3</v>
      </c>
      <c r="P18" s="30">
        <f t="shared" si="11"/>
        <v>0.89999999999999991</v>
      </c>
      <c r="Q18" s="49">
        <f t="shared" si="12"/>
        <v>0.3</v>
      </c>
    </row>
    <row r="19" spans="2:18" ht="14.25" customHeight="1" x14ac:dyDescent="0.25">
      <c r="B19" s="46"/>
      <c r="C19" s="46">
        <v>9</v>
      </c>
      <c r="D19" s="36" t="s">
        <v>3158</v>
      </c>
      <c r="E19" s="46"/>
      <c r="F19" s="46"/>
      <c r="G19" s="46"/>
      <c r="H19" s="46"/>
      <c r="I19" s="46">
        <v>183</v>
      </c>
      <c r="J19" s="47">
        <f t="shared" si="8"/>
        <v>109.80000000000001</v>
      </c>
      <c r="K19" s="47">
        <f t="shared" si="9"/>
        <v>18.3</v>
      </c>
      <c r="L19" s="47">
        <f t="shared" si="10"/>
        <v>18.3</v>
      </c>
      <c r="M19" s="40">
        <f t="shared" si="13"/>
        <v>0.52285714285714291</v>
      </c>
      <c r="N19" s="30">
        <f t="shared" si="14"/>
        <v>0.52285714285714291</v>
      </c>
      <c r="O19" s="30">
        <f t="shared" si="15"/>
        <v>0.52285714285714291</v>
      </c>
      <c r="P19" s="30">
        <f t="shared" si="11"/>
        <v>1.5685714285714287</v>
      </c>
      <c r="Q19" s="49">
        <f t="shared" si="12"/>
        <v>0.52285714285714291</v>
      </c>
      <c r="R19">
        <v>1</v>
      </c>
    </row>
    <row r="20" spans="2:18" ht="14.25" customHeight="1" x14ac:dyDescent="0.25">
      <c r="B20" s="46"/>
      <c r="C20" s="46">
        <v>10</v>
      </c>
      <c r="D20" s="36" t="s">
        <v>3159</v>
      </c>
      <c r="E20" s="46"/>
      <c r="F20" s="46"/>
      <c r="G20" s="46"/>
      <c r="H20" s="46"/>
      <c r="I20" s="46">
        <v>0</v>
      </c>
      <c r="J20" s="47">
        <f t="shared" si="8"/>
        <v>0</v>
      </c>
      <c r="K20" s="47">
        <f t="shared" si="9"/>
        <v>0</v>
      </c>
      <c r="L20" s="47">
        <f t="shared" si="10"/>
        <v>0</v>
      </c>
      <c r="M20" s="40"/>
    </row>
    <row r="21" spans="2:18" ht="14.25" customHeight="1" x14ac:dyDescent="0.25">
      <c r="B21" s="226"/>
      <c r="C21" s="227"/>
      <c r="D21" s="228"/>
      <c r="E21" s="36"/>
      <c r="F21" s="36"/>
      <c r="G21" s="36"/>
      <c r="H21" s="36"/>
      <c r="I21" s="46"/>
      <c r="J21" s="36"/>
      <c r="K21" s="51"/>
      <c r="L21" s="51"/>
      <c r="M21" s="40"/>
    </row>
    <row r="22" spans="2:18" ht="14.25" customHeight="1" x14ac:dyDescent="0.25">
      <c r="B22" s="41">
        <v>3</v>
      </c>
      <c r="C22" s="233" t="s">
        <v>3160</v>
      </c>
      <c r="D22" s="234"/>
      <c r="E22" s="42" t="s">
        <v>3155</v>
      </c>
      <c r="F22" s="42" t="s">
        <v>3155</v>
      </c>
      <c r="G22" s="42" t="s">
        <v>3155</v>
      </c>
      <c r="H22" s="42" t="s">
        <v>3155</v>
      </c>
      <c r="I22" s="43">
        <f>SUM(I23:I27)</f>
        <v>330</v>
      </c>
      <c r="J22" s="44">
        <f>SUM(J23:J27)</f>
        <v>198</v>
      </c>
      <c r="K22" s="44">
        <f>SUM(K23:K27)</f>
        <v>33</v>
      </c>
      <c r="L22" s="44">
        <f>SUM(L23:L27)</f>
        <v>33</v>
      </c>
      <c r="M22" s="40"/>
    </row>
    <row r="23" spans="2:18" ht="14.25" customHeight="1" x14ac:dyDescent="0.25">
      <c r="B23" s="46"/>
      <c r="C23" s="46">
        <v>11</v>
      </c>
      <c r="D23" s="36" t="s">
        <v>3161</v>
      </c>
      <c r="E23" s="46" t="s">
        <v>3148</v>
      </c>
      <c r="F23" s="46" t="s">
        <v>3148</v>
      </c>
      <c r="G23" s="46" t="s">
        <v>3148</v>
      </c>
      <c r="H23" s="46" t="s">
        <v>3148</v>
      </c>
      <c r="I23" s="46">
        <v>174</v>
      </c>
      <c r="J23" s="47">
        <f t="shared" ref="J23:J27" si="16">I23/I$6*J$7</f>
        <v>104.4</v>
      </c>
      <c r="K23" s="47">
        <f t="shared" ref="K23:K27" si="17">I23/I$6*K$7</f>
        <v>17.400000000000002</v>
      </c>
      <c r="L23" s="47">
        <f t="shared" ref="L23:L27" si="18">I23/I$6*L$7</f>
        <v>17.400000000000002</v>
      </c>
      <c r="M23" s="40">
        <f>J23/$J$22</f>
        <v>0.52727272727272734</v>
      </c>
      <c r="N23" s="30">
        <f>K23/$K$22</f>
        <v>0.52727272727272734</v>
      </c>
      <c r="O23" s="30">
        <f>L23/$L$22</f>
        <v>0.52727272727272734</v>
      </c>
      <c r="P23" s="30">
        <f t="shared" ref="P23:P27" si="19">SUM(M23:O23)</f>
        <v>1.581818181818182</v>
      </c>
      <c r="Q23" s="49">
        <f t="shared" ref="Q23:Q27" si="20">AVERAGE(M23:O23)</f>
        <v>0.52727272727272734</v>
      </c>
      <c r="R23">
        <v>2</v>
      </c>
    </row>
    <row r="24" spans="2:18" ht="14.25" customHeight="1" x14ac:dyDescent="0.25">
      <c r="B24" s="46"/>
      <c r="C24" s="46">
        <v>12</v>
      </c>
      <c r="D24" s="36" t="s">
        <v>3162</v>
      </c>
      <c r="E24" s="46" t="s">
        <v>3148</v>
      </c>
      <c r="F24" s="46" t="s">
        <v>3148</v>
      </c>
      <c r="G24" s="46" t="s">
        <v>3148</v>
      </c>
      <c r="H24" s="46" t="s">
        <v>3148</v>
      </c>
      <c r="I24" s="46">
        <v>0</v>
      </c>
      <c r="J24" s="47">
        <f t="shared" si="16"/>
        <v>0</v>
      </c>
      <c r="K24" s="47">
        <f t="shared" si="17"/>
        <v>0</v>
      </c>
      <c r="L24" s="47">
        <f t="shared" si="18"/>
        <v>0</v>
      </c>
      <c r="M24" s="40">
        <f t="shared" ref="M24:M27" si="21">J24/$J$22</f>
        <v>0</v>
      </c>
      <c r="N24" s="30">
        <f t="shared" ref="N24:N27" si="22">K24/$K$22</f>
        <v>0</v>
      </c>
      <c r="O24" s="30">
        <f t="shared" ref="O24:O27" si="23">L24/$L$22</f>
        <v>0</v>
      </c>
      <c r="P24" s="30">
        <f t="shared" si="19"/>
        <v>0</v>
      </c>
      <c r="Q24" s="48">
        <f t="shared" si="20"/>
        <v>0</v>
      </c>
    </row>
    <row r="25" spans="2:18" ht="14.25" customHeight="1" x14ac:dyDescent="0.25">
      <c r="B25" s="46"/>
      <c r="C25" s="46">
        <v>13</v>
      </c>
      <c r="D25" s="36" t="s">
        <v>3163</v>
      </c>
      <c r="E25" s="46" t="s">
        <v>3148</v>
      </c>
      <c r="F25" s="46" t="s">
        <v>3148</v>
      </c>
      <c r="G25" s="46" t="s">
        <v>3148</v>
      </c>
      <c r="H25" s="46" t="s">
        <v>3148</v>
      </c>
      <c r="I25" s="46">
        <v>87</v>
      </c>
      <c r="J25" s="47">
        <f t="shared" si="16"/>
        <v>52.2</v>
      </c>
      <c r="K25" s="47">
        <f t="shared" si="17"/>
        <v>8.7000000000000011</v>
      </c>
      <c r="L25" s="47">
        <f t="shared" si="18"/>
        <v>8.7000000000000011</v>
      </c>
      <c r="M25" s="40">
        <f t="shared" si="21"/>
        <v>0.26363636363636367</v>
      </c>
      <c r="N25" s="30">
        <f t="shared" si="22"/>
        <v>0.26363636363636367</v>
      </c>
      <c r="O25" s="30">
        <f t="shared" si="23"/>
        <v>0.26363636363636367</v>
      </c>
      <c r="P25" s="30">
        <f t="shared" si="19"/>
        <v>0.79090909090909101</v>
      </c>
      <c r="Q25" s="49">
        <f t="shared" si="20"/>
        <v>0.26363636363636367</v>
      </c>
    </row>
    <row r="26" spans="2:18" ht="14.25" customHeight="1" x14ac:dyDescent="0.25">
      <c r="B26" s="46"/>
      <c r="C26" s="46">
        <v>14</v>
      </c>
      <c r="D26" s="36" t="s">
        <v>3164</v>
      </c>
      <c r="E26" s="46"/>
      <c r="F26" s="46"/>
      <c r="G26" s="46"/>
      <c r="H26" s="46"/>
      <c r="I26" s="46">
        <v>47</v>
      </c>
      <c r="J26" s="47">
        <f t="shared" si="16"/>
        <v>28.2</v>
      </c>
      <c r="K26" s="47">
        <f t="shared" si="17"/>
        <v>4.7</v>
      </c>
      <c r="L26" s="47">
        <f t="shared" si="18"/>
        <v>4.7</v>
      </c>
      <c r="M26" s="40">
        <f t="shared" si="21"/>
        <v>0.14242424242424243</v>
      </c>
      <c r="N26" s="30">
        <f t="shared" si="22"/>
        <v>0.14242424242424243</v>
      </c>
      <c r="O26" s="30">
        <f t="shared" si="23"/>
        <v>0.14242424242424243</v>
      </c>
      <c r="P26" s="30">
        <f t="shared" si="19"/>
        <v>0.42727272727272725</v>
      </c>
      <c r="Q26" s="48">
        <f t="shared" si="20"/>
        <v>0.14242424242424243</v>
      </c>
    </row>
    <row r="27" spans="2:18" ht="14.25" customHeight="1" x14ac:dyDescent="0.25">
      <c r="B27" s="46"/>
      <c r="C27" s="46">
        <v>15</v>
      </c>
      <c r="D27" s="36" t="s">
        <v>3165</v>
      </c>
      <c r="E27" s="46"/>
      <c r="F27" s="46"/>
      <c r="G27" s="46"/>
      <c r="H27" s="46"/>
      <c r="I27" s="46">
        <v>22</v>
      </c>
      <c r="J27" s="47">
        <f t="shared" si="16"/>
        <v>13.200000000000001</v>
      </c>
      <c r="K27" s="47">
        <f t="shared" si="17"/>
        <v>2.2000000000000002</v>
      </c>
      <c r="L27" s="47">
        <f t="shared" si="18"/>
        <v>2.2000000000000002</v>
      </c>
      <c r="M27" s="40">
        <f t="shared" si="21"/>
        <v>6.6666666666666666E-2</v>
      </c>
      <c r="N27" s="30">
        <f t="shared" si="22"/>
        <v>6.6666666666666666E-2</v>
      </c>
      <c r="O27" s="30">
        <f t="shared" si="23"/>
        <v>6.6666666666666666E-2</v>
      </c>
      <c r="P27" s="30">
        <f t="shared" si="19"/>
        <v>0.2</v>
      </c>
      <c r="Q27" s="48">
        <f t="shared" si="20"/>
        <v>6.6666666666666666E-2</v>
      </c>
    </row>
    <row r="28" spans="2:18" ht="14.25" customHeight="1" x14ac:dyDescent="0.25">
      <c r="B28" s="226"/>
      <c r="C28" s="227"/>
      <c r="D28" s="228"/>
      <c r="E28" s="36"/>
      <c r="F28" s="36"/>
      <c r="G28" s="36"/>
      <c r="H28" s="36"/>
      <c r="I28" s="46"/>
      <c r="J28" s="36"/>
      <c r="K28" s="51"/>
      <c r="L28" s="51"/>
      <c r="M28" s="40"/>
    </row>
    <row r="29" spans="2:18" ht="14.25" customHeight="1" x14ac:dyDescent="0.25">
      <c r="B29" s="41">
        <v>4</v>
      </c>
      <c r="C29" s="52" t="s">
        <v>3166</v>
      </c>
      <c r="D29" s="42"/>
      <c r="E29" s="42"/>
      <c r="F29" s="42"/>
      <c r="G29" s="42"/>
      <c r="H29" s="42"/>
      <c r="I29" s="43">
        <f>SUM(I30:I31)</f>
        <v>262</v>
      </c>
      <c r="J29" s="44">
        <f>SUM(J30:J31)</f>
        <v>157.19999999999999</v>
      </c>
      <c r="K29" s="44">
        <f>SUM(K30:K31)</f>
        <v>26.2</v>
      </c>
      <c r="L29" s="44">
        <f>SUM(L30:L31)</f>
        <v>26.2</v>
      </c>
      <c r="M29" s="40"/>
    </row>
    <row r="30" spans="2:18" ht="14.25" customHeight="1" x14ac:dyDescent="0.25">
      <c r="B30" s="46"/>
      <c r="C30" s="46">
        <v>16</v>
      </c>
      <c r="D30" s="36" t="s">
        <v>3167</v>
      </c>
      <c r="E30" s="36"/>
      <c r="F30" s="36"/>
      <c r="G30" s="36"/>
      <c r="H30" s="36"/>
      <c r="I30" s="46">
        <v>120</v>
      </c>
      <c r="J30" s="47">
        <f t="shared" ref="J30:J31" si="24">I30/I$6*J$7</f>
        <v>72</v>
      </c>
      <c r="K30" s="47">
        <f t="shared" ref="K30:K31" si="25">I30/I$6*K$7</f>
        <v>12</v>
      </c>
      <c r="L30" s="47">
        <f t="shared" ref="L30:L31" si="26">I30/I$6*L$7</f>
        <v>12</v>
      </c>
      <c r="M30" s="40">
        <f>J30/$J$29</f>
        <v>0.45801526717557256</v>
      </c>
      <c r="N30" s="30">
        <f>K30/$K$29</f>
        <v>0.4580152671755725</v>
      </c>
      <c r="O30" s="30">
        <f>L30/$L$29</f>
        <v>0.4580152671755725</v>
      </c>
      <c r="P30" s="30">
        <f t="shared" ref="P30:P31" si="27">SUM(M30:O30)</f>
        <v>1.3740458015267176</v>
      </c>
      <c r="Q30" s="49">
        <f t="shared" ref="Q30:Q31" si="28">AVERAGE(M30:O30)</f>
        <v>0.45801526717557256</v>
      </c>
      <c r="R30">
        <v>4</v>
      </c>
    </row>
    <row r="31" spans="2:18" ht="14.25" customHeight="1" x14ac:dyDescent="0.25">
      <c r="B31" s="46"/>
      <c r="C31" s="46">
        <v>17</v>
      </c>
      <c r="D31" s="36" t="s">
        <v>3168</v>
      </c>
      <c r="E31" s="36"/>
      <c r="F31" s="36"/>
      <c r="G31" s="36"/>
      <c r="H31" s="36"/>
      <c r="I31" s="46">
        <v>142</v>
      </c>
      <c r="J31" s="47">
        <f t="shared" si="24"/>
        <v>85.199999999999989</v>
      </c>
      <c r="K31" s="47">
        <f t="shared" si="25"/>
        <v>14.2</v>
      </c>
      <c r="L31" s="47">
        <f t="shared" si="26"/>
        <v>14.2</v>
      </c>
      <c r="M31" s="40">
        <f>J31/$J$29</f>
        <v>0.5419847328244275</v>
      </c>
      <c r="N31" s="30">
        <f>K31/$K$29</f>
        <v>0.5419847328244275</v>
      </c>
      <c r="O31" s="30">
        <f>L31/$L$29</f>
        <v>0.5419847328244275</v>
      </c>
      <c r="P31" s="30">
        <f t="shared" si="27"/>
        <v>1.6259541984732824</v>
      </c>
      <c r="Q31" s="49">
        <f t="shared" si="28"/>
        <v>0.5419847328244275</v>
      </c>
      <c r="R31">
        <v>3</v>
      </c>
    </row>
    <row r="32" spans="2:18" ht="14.25" customHeight="1" x14ac:dyDescent="0.25">
      <c r="B32" s="226"/>
      <c r="C32" s="227"/>
      <c r="D32" s="228"/>
      <c r="E32" s="36"/>
      <c r="F32" s="36"/>
      <c r="G32" s="36"/>
      <c r="H32" s="36"/>
      <c r="I32" s="46"/>
      <c r="J32" s="46"/>
      <c r="K32" s="51"/>
      <c r="L32" s="51"/>
      <c r="M32" s="40"/>
    </row>
    <row r="33" spans="2:18" ht="14.25" customHeight="1" x14ac:dyDescent="0.25">
      <c r="B33" s="41">
        <v>5</v>
      </c>
      <c r="C33" s="53" t="s">
        <v>3169</v>
      </c>
      <c r="D33" s="42"/>
      <c r="E33" s="42"/>
      <c r="F33" s="42"/>
      <c r="G33" s="42"/>
      <c r="H33" s="42"/>
      <c r="I33" s="43">
        <f>SUM(I34:I36)</f>
        <v>449</v>
      </c>
      <c r="J33" s="44">
        <f>SUM(J34:J36)</f>
        <v>269.40000000000003</v>
      </c>
      <c r="K33" s="54">
        <f>SUM(K34:K36)</f>
        <v>44.9</v>
      </c>
      <c r="L33" s="44">
        <f>SUM(L34:L36)</f>
        <v>44.9</v>
      </c>
      <c r="M33" s="40"/>
    </row>
    <row r="34" spans="2:18" ht="14.25" customHeight="1" x14ac:dyDescent="0.25">
      <c r="B34" s="46"/>
      <c r="C34" s="46">
        <v>18</v>
      </c>
      <c r="D34" s="36" t="s">
        <v>3170</v>
      </c>
      <c r="E34" s="36"/>
      <c r="F34" s="36"/>
      <c r="G34" s="36"/>
      <c r="H34" s="36"/>
      <c r="I34" s="46">
        <v>213</v>
      </c>
      <c r="J34" s="47">
        <f t="shared" ref="J34:J36" si="29">I34/I$6*J$7</f>
        <v>127.8</v>
      </c>
      <c r="K34" s="47">
        <f t="shared" ref="K34:K36" si="30">I34/I$6*K$7</f>
        <v>21.299999999999997</v>
      </c>
      <c r="L34" s="47">
        <f t="shared" ref="L34:L36" si="31">I34/I$6*L$7</f>
        <v>21.299999999999997</v>
      </c>
      <c r="M34" s="40">
        <f>J34/$J$33</f>
        <v>0.47438752783964361</v>
      </c>
      <c r="N34" s="30">
        <f>K34/$K$33</f>
        <v>0.47438752783964361</v>
      </c>
      <c r="O34" s="30">
        <f>L34/$L$33</f>
        <v>0.47438752783964361</v>
      </c>
      <c r="P34" s="30">
        <f t="shared" ref="P34:P36" si="32">SUM(M34:O34)</f>
        <v>1.4231625835189308</v>
      </c>
      <c r="Q34" s="49">
        <f t="shared" ref="Q34:Q36" si="33">AVERAGE(M34:O34)</f>
        <v>0.47438752783964361</v>
      </c>
      <c r="R34">
        <v>5</v>
      </c>
    </row>
    <row r="35" spans="2:18" ht="14.25" customHeight="1" x14ac:dyDescent="0.25">
      <c r="B35" s="46"/>
      <c r="C35" s="46">
        <v>19</v>
      </c>
      <c r="D35" s="36" t="s">
        <v>3171</v>
      </c>
      <c r="E35" s="36"/>
      <c r="F35" s="36"/>
      <c r="G35" s="36"/>
      <c r="H35" s="36"/>
      <c r="I35" s="46">
        <v>85</v>
      </c>
      <c r="J35" s="47">
        <f t="shared" si="29"/>
        <v>51</v>
      </c>
      <c r="K35" s="47">
        <f t="shared" si="30"/>
        <v>8.5</v>
      </c>
      <c r="L35" s="47">
        <f t="shared" si="31"/>
        <v>8.5</v>
      </c>
      <c r="M35" s="40">
        <f t="shared" ref="M35:M36" si="34">J35/$J$33</f>
        <v>0.18930957683741645</v>
      </c>
      <c r="N35" s="30">
        <f t="shared" ref="N35:N36" si="35">K35/$K$33</f>
        <v>0.18930957683741648</v>
      </c>
      <c r="O35" s="30">
        <f t="shared" ref="O35:O36" si="36">L35/$L$33</f>
        <v>0.18930957683741648</v>
      </c>
      <c r="P35" s="30">
        <f t="shared" si="32"/>
        <v>0.56792873051224935</v>
      </c>
      <c r="Q35" s="48">
        <f t="shared" si="33"/>
        <v>0.18930957683741645</v>
      </c>
    </row>
    <row r="36" spans="2:18" ht="14.25" customHeight="1" x14ac:dyDescent="0.25">
      <c r="B36" s="46"/>
      <c r="C36" s="46">
        <v>20</v>
      </c>
      <c r="D36" s="36" t="s">
        <v>3172</v>
      </c>
      <c r="E36" s="36"/>
      <c r="F36" s="36"/>
      <c r="G36" s="36"/>
      <c r="H36" s="36"/>
      <c r="I36" s="46">
        <v>151</v>
      </c>
      <c r="J36" s="47">
        <f t="shared" si="29"/>
        <v>90.600000000000009</v>
      </c>
      <c r="K36" s="47">
        <f t="shared" si="30"/>
        <v>15.1</v>
      </c>
      <c r="L36" s="47">
        <f t="shared" si="31"/>
        <v>15.1</v>
      </c>
      <c r="M36" s="40">
        <f t="shared" si="34"/>
        <v>0.33630289532293983</v>
      </c>
      <c r="N36" s="30">
        <f t="shared" si="35"/>
        <v>0.33630289532293989</v>
      </c>
      <c r="O36" s="30">
        <f t="shared" si="36"/>
        <v>0.33630289532293989</v>
      </c>
      <c r="P36" s="30">
        <f t="shared" si="32"/>
        <v>1.0089086859688197</v>
      </c>
      <c r="Q36" s="49">
        <f t="shared" si="33"/>
        <v>0.33630289532293989</v>
      </c>
    </row>
    <row r="37" spans="2:18" ht="14.25" customHeight="1" x14ac:dyDescent="0.25">
      <c r="B37" s="226"/>
      <c r="C37" s="227"/>
      <c r="D37" s="228"/>
      <c r="E37" s="36"/>
      <c r="F37" s="36"/>
      <c r="G37" s="36"/>
      <c r="H37" s="36"/>
      <c r="I37" s="46"/>
      <c r="J37" s="46"/>
      <c r="K37" s="51"/>
      <c r="L37" s="51"/>
      <c r="M37" s="40"/>
    </row>
    <row r="38" spans="2:18" ht="14.25" customHeight="1" x14ac:dyDescent="0.25">
      <c r="B38" s="41">
        <v>6</v>
      </c>
      <c r="C38" s="52" t="s">
        <v>3173</v>
      </c>
      <c r="D38" s="42"/>
      <c r="E38" s="42"/>
      <c r="F38" s="42"/>
      <c r="G38" s="42"/>
      <c r="H38" s="42"/>
      <c r="I38" s="43">
        <f>SUM(I39:I44)</f>
        <v>469</v>
      </c>
      <c r="J38" s="44">
        <f>SUM(J39:J44)</f>
        <v>281.39999999999998</v>
      </c>
      <c r="K38" s="44">
        <f>SUM(K39:K44)</f>
        <v>46.9</v>
      </c>
      <c r="L38" s="44">
        <f>SUM(L39:L44)</f>
        <v>46.9</v>
      </c>
      <c r="M38" s="40"/>
    </row>
    <row r="39" spans="2:18" ht="14.25" customHeight="1" x14ac:dyDescent="0.25">
      <c r="B39" s="46"/>
      <c r="C39" s="46">
        <v>21</v>
      </c>
      <c r="D39" s="36" t="s">
        <v>3174</v>
      </c>
      <c r="E39" s="36"/>
      <c r="F39" s="36"/>
      <c r="G39" s="36"/>
      <c r="H39" s="36"/>
      <c r="I39" s="46">
        <v>176</v>
      </c>
      <c r="J39" s="47">
        <f t="shared" ref="J39:J44" si="37">I39/I$6*J$7</f>
        <v>105.60000000000001</v>
      </c>
      <c r="K39" s="47">
        <f t="shared" ref="K39:K44" si="38">I39/I$6*K$7</f>
        <v>17.600000000000001</v>
      </c>
      <c r="L39" s="47">
        <f t="shared" ref="L39:L44" si="39">I39/I$6*L$7</f>
        <v>17.600000000000001</v>
      </c>
      <c r="M39" s="40">
        <f>J39/$J$38</f>
        <v>0.37526652452025594</v>
      </c>
      <c r="N39" s="30">
        <f>K39/$K$38</f>
        <v>0.37526652452025588</v>
      </c>
      <c r="O39" s="30">
        <f>L39/$L$38</f>
        <v>0.37526652452025588</v>
      </c>
      <c r="P39" s="30">
        <f t="shared" ref="P39:P44" si="40">SUM(M39:O39)</f>
        <v>1.1257995735607675</v>
      </c>
      <c r="Q39" s="49">
        <f t="shared" ref="Q39:Q44" si="41">AVERAGE(M39:O39)</f>
        <v>0.37526652452025583</v>
      </c>
    </row>
    <row r="40" spans="2:18" ht="14.25" customHeight="1" x14ac:dyDescent="0.25">
      <c r="B40" s="46"/>
      <c r="C40" s="46">
        <v>22</v>
      </c>
      <c r="D40" s="36" t="s">
        <v>3175</v>
      </c>
      <c r="E40" s="36"/>
      <c r="F40" s="36"/>
      <c r="G40" s="36"/>
      <c r="H40" s="36"/>
      <c r="I40" s="46">
        <v>9</v>
      </c>
      <c r="J40" s="47">
        <f t="shared" si="37"/>
        <v>5.3999999999999995</v>
      </c>
      <c r="K40" s="47">
        <f t="shared" si="38"/>
        <v>0.9</v>
      </c>
      <c r="L40" s="47">
        <f t="shared" si="39"/>
        <v>0.9</v>
      </c>
      <c r="M40" s="40">
        <f t="shared" ref="M40:M44" si="42">J40/$J$38</f>
        <v>1.9189765458422176E-2</v>
      </c>
      <c r="N40" s="30">
        <f t="shared" ref="N40:N44" si="43">K40/$K$38</f>
        <v>1.9189765458422176E-2</v>
      </c>
      <c r="O40" s="30">
        <f t="shared" ref="O40:O44" si="44">L40/$L$38</f>
        <v>1.9189765458422176E-2</v>
      </c>
      <c r="P40" s="30">
        <f t="shared" si="40"/>
        <v>5.7569296375266532E-2</v>
      </c>
      <c r="Q40" s="48">
        <f t="shared" si="41"/>
        <v>1.9189765458422176E-2</v>
      </c>
    </row>
    <row r="41" spans="2:18" ht="14.25" customHeight="1" x14ac:dyDescent="0.25">
      <c r="B41" s="46"/>
      <c r="C41" s="46">
        <v>23</v>
      </c>
      <c r="D41" s="36" t="s">
        <v>3176</v>
      </c>
      <c r="E41" s="36"/>
      <c r="F41" s="36"/>
      <c r="G41" s="36"/>
      <c r="H41" s="36"/>
      <c r="I41" s="46">
        <v>0</v>
      </c>
      <c r="J41" s="47">
        <f t="shared" si="37"/>
        <v>0</v>
      </c>
      <c r="K41" s="47">
        <f t="shared" si="38"/>
        <v>0</v>
      </c>
      <c r="L41" s="47">
        <f t="shared" si="39"/>
        <v>0</v>
      </c>
      <c r="M41" s="40">
        <f t="shared" si="42"/>
        <v>0</v>
      </c>
      <c r="N41" s="30">
        <f t="shared" si="43"/>
        <v>0</v>
      </c>
      <c r="O41" s="30">
        <f t="shared" si="44"/>
        <v>0</v>
      </c>
      <c r="P41" s="30">
        <f t="shared" si="40"/>
        <v>0</v>
      </c>
      <c r="Q41" s="48">
        <f t="shared" si="41"/>
        <v>0</v>
      </c>
    </row>
    <row r="42" spans="2:18" ht="14.25" customHeight="1" x14ac:dyDescent="0.25">
      <c r="B42" s="46"/>
      <c r="C42" s="46">
        <v>24</v>
      </c>
      <c r="D42" s="36" t="s">
        <v>3177</v>
      </c>
      <c r="E42" s="36"/>
      <c r="F42" s="36"/>
      <c r="G42" s="36"/>
      <c r="H42" s="36"/>
      <c r="I42" s="46">
        <v>0</v>
      </c>
      <c r="J42" s="47">
        <f t="shared" si="37"/>
        <v>0</v>
      </c>
      <c r="K42" s="47">
        <f t="shared" si="38"/>
        <v>0</v>
      </c>
      <c r="L42" s="47">
        <f t="shared" si="39"/>
        <v>0</v>
      </c>
      <c r="M42" s="40">
        <f t="shared" si="42"/>
        <v>0</v>
      </c>
      <c r="N42" s="30">
        <f t="shared" si="43"/>
        <v>0</v>
      </c>
      <c r="O42" s="30">
        <f t="shared" si="44"/>
        <v>0</v>
      </c>
      <c r="P42" s="30">
        <f t="shared" si="40"/>
        <v>0</v>
      </c>
      <c r="Q42" s="48">
        <f t="shared" si="41"/>
        <v>0</v>
      </c>
    </row>
    <row r="43" spans="2:18" ht="14.25" customHeight="1" x14ac:dyDescent="0.25">
      <c r="B43" s="46"/>
      <c r="C43" s="46">
        <v>25</v>
      </c>
      <c r="D43" s="36" t="s">
        <v>3178</v>
      </c>
      <c r="E43" s="36"/>
      <c r="F43" s="36"/>
      <c r="G43" s="36"/>
      <c r="H43" s="36"/>
      <c r="I43" s="46">
        <v>79</v>
      </c>
      <c r="J43" s="47">
        <f t="shared" si="37"/>
        <v>47.4</v>
      </c>
      <c r="K43" s="47">
        <f t="shared" si="38"/>
        <v>7.8999999999999995</v>
      </c>
      <c r="L43" s="47">
        <f t="shared" si="39"/>
        <v>7.8999999999999995</v>
      </c>
      <c r="M43" s="40">
        <f t="shared" si="42"/>
        <v>0.16844349680170576</v>
      </c>
      <c r="N43" s="30">
        <f t="shared" si="43"/>
        <v>0.16844349680170576</v>
      </c>
      <c r="O43" s="30">
        <f t="shared" si="44"/>
        <v>0.16844349680170576</v>
      </c>
      <c r="P43" s="30">
        <f t="shared" si="40"/>
        <v>0.50533049040511724</v>
      </c>
      <c r="Q43" s="48">
        <f t="shared" si="41"/>
        <v>0.16844349680170576</v>
      </c>
    </row>
    <row r="44" spans="2:18" ht="14.25" customHeight="1" x14ac:dyDescent="0.25">
      <c r="B44" s="46"/>
      <c r="C44" s="46">
        <v>26</v>
      </c>
      <c r="D44" s="36" t="s">
        <v>3179</v>
      </c>
      <c r="E44" s="36"/>
      <c r="F44" s="36"/>
      <c r="G44" s="36"/>
      <c r="H44" s="36"/>
      <c r="I44" s="46">
        <v>205</v>
      </c>
      <c r="J44" s="47">
        <f t="shared" si="37"/>
        <v>123</v>
      </c>
      <c r="K44" s="47">
        <f t="shared" si="38"/>
        <v>20.5</v>
      </c>
      <c r="L44" s="47">
        <f t="shared" si="39"/>
        <v>20.5</v>
      </c>
      <c r="M44" s="40">
        <f t="shared" si="42"/>
        <v>0.43710021321961623</v>
      </c>
      <c r="N44" s="30">
        <f t="shared" si="43"/>
        <v>0.43710021321961623</v>
      </c>
      <c r="O44" s="30">
        <f t="shared" si="44"/>
        <v>0.43710021321961623</v>
      </c>
      <c r="P44" s="30">
        <f t="shared" si="40"/>
        <v>1.3113006396588487</v>
      </c>
      <c r="Q44" s="49">
        <f t="shared" si="41"/>
        <v>0.43710021321961623</v>
      </c>
    </row>
    <row r="45" spans="2:18" ht="14.25" customHeight="1" x14ac:dyDescent="0.25">
      <c r="B45" s="226"/>
      <c r="C45" s="227"/>
      <c r="D45" s="228"/>
      <c r="E45" s="36"/>
      <c r="F45" s="36"/>
      <c r="G45" s="36"/>
      <c r="H45" s="36"/>
      <c r="I45" s="46"/>
      <c r="J45" s="46"/>
      <c r="K45" s="51"/>
      <c r="L45" s="51"/>
      <c r="M45" s="40"/>
    </row>
    <row r="46" spans="2:18" ht="14.25" customHeight="1" x14ac:dyDescent="0.25">
      <c r="B46" s="41">
        <v>7</v>
      </c>
      <c r="C46" s="53" t="s">
        <v>3180</v>
      </c>
      <c r="D46" s="42"/>
      <c r="E46" s="42"/>
      <c r="F46" s="42"/>
      <c r="G46" s="42"/>
      <c r="H46" s="42"/>
      <c r="I46" s="43">
        <f>SUM(I47:I49)</f>
        <v>352</v>
      </c>
      <c r="J46" s="44">
        <f>SUM(J47:J49)</f>
        <v>211.2</v>
      </c>
      <c r="K46" s="44">
        <f>SUM(K47:K49)</f>
        <v>35.200000000000003</v>
      </c>
      <c r="L46" s="44">
        <f>SUM(L47:L49)</f>
        <v>35.200000000000003</v>
      </c>
      <c r="M46" s="40"/>
    </row>
    <row r="47" spans="2:18" ht="14.25" customHeight="1" x14ac:dyDescent="0.25">
      <c r="B47" s="46"/>
      <c r="C47" s="46">
        <v>27</v>
      </c>
      <c r="D47" s="36" t="s">
        <v>3181</v>
      </c>
      <c r="E47" s="36"/>
      <c r="F47" s="36"/>
      <c r="G47" s="36"/>
      <c r="H47" s="36"/>
      <c r="I47" s="46">
        <v>192</v>
      </c>
      <c r="J47" s="47">
        <f t="shared" ref="J47:J49" si="45">I47/I$6*J$7</f>
        <v>115.2</v>
      </c>
      <c r="K47" s="47">
        <f t="shared" ref="K47:K49" si="46">I47/I$6*K$7</f>
        <v>19.2</v>
      </c>
      <c r="L47" s="47">
        <f t="shared" ref="L47:L49" si="47">I47/I$6*L$7</f>
        <v>19.2</v>
      </c>
      <c r="M47" s="40">
        <f>J47/$J$46</f>
        <v>0.54545454545454553</v>
      </c>
      <c r="N47" s="30">
        <f>K47/$K$46</f>
        <v>0.54545454545454541</v>
      </c>
      <c r="O47" s="30">
        <f>L47/$L$46</f>
        <v>0.54545454545454541</v>
      </c>
      <c r="P47" s="30">
        <f t="shared" ref="P47:P48" si="48">SUM(M47:O47)</f>
        <v>1.6363636363636362</v>
      </c>
      <c r="Q47" s="49">
        <f t="shared" ref="Q47:Q48" si="49">AVERAGE(M47:O47)</f>
        <v>0.54545454545454541</v>
      </c>
      <c r="R47">
        <v>6</v>
      </c>
    </row>
    <row r="48" spans="2:18" ht="14.25" customHeight="1" x14ac:dyDescent="0.25">
      <c r="B48" s="46"/>
      <c r="C48" s="46">
        <v>28</v>
      </c>
      <c r="D48" s="36" t="s">
        <v>3182</v>
      </c>
      <c r="E48" s="36"/>
      <c r="F48" s="36"/>
      <c r="G48" s="36"/>
      <c r="H48" s="36"/>
      <c r="I48" s="46">
        <v>160</v>
      </c>
      <c r="J48" s="47">
        <f t="shared" si="45"/>
        <v>96</v>
      </c>
      <c r="K48" s="47">
        <f t="shared" si="46"/>
        <v>16</v>
      </c>
      <c r="L48" s="47">
        <f t="shared" si="47"/>
        <v>16</v>
      </c>
      <c r="M48" s="40">
        <f>J48/$J$46</f>
        <v>0.45454545454545459</v>
      </c>
      <c r="N48" s="30">
        <f>K48/$K$46</f>
        <v>0.45454545454545453</v>
      </c>
      <c r="O48" s="30">
        <f>L48/$L$46</f>
        <v>0.45454545454545453</v>
      </c>
      <c r="P48" s="30">
        <f t="shared" si="48"/>
        <v>1.3636363636363638</v>
      </c>
      <c r="Q48" s="49">
        <f t="shared" si="49"/>
        <v>0.45454545454545459</v>
      </c>
      <c r="R48">
        <v>7</v>
      </c>
    </row>
    <row r="49" spans="2:17" ht="14.25" customHeight="1" x14ac:dyDescent="0.25">
      <c r="B49" s="46"/>
      <c r="C49" s="46">
        <v>29</v>
      </c>
      <c r="D49" s="36" t="s">
        <v>3183</v>
      </c>
      <c r="E49" s="36"/>
      <c r="F49" s="36"/>
      <c r="G49" s="36"/>
      <c r="H49" s="36"/>
      <c r="I49" s="46">
        <v>0</v>
      </c>
      <c r="J49" s="47">
        <f t="shared" si="45"/>
        <v>0</v>
      </c>
      <c r="K49" s="47">
        <f t="shared" si="46"/>
        <v>0</v>
      </c>
      <c r="L49" s="47">
        <f t="shared" si="47"/>
        <v>0</v>
      </c>
      <c r="M49" s="40"/>
    </row>
    <row r="50" spans="2:17" ht="14.25" customHeight="1" x14ac:dyDescent="0.25">
      <c r="B50" s="226"/>
      <c r="C50" s="227"/>
      <c r="D50" s="228"/>
      <c r="E50" s="36"/>
      <c r="F50" s="36"/>
      <c r="G50" s="36"/>
      <c r="H50" s="36"/>
      <c r="I50" s="46"/>
      <c r="J50" s="46"/>
      <c r="K50" s="51"/>
      <c r="L50" s="36"/>
      <c r="M50" s="40"/>
    </row>
    <row r="51" spans="2:17" ht="14.25" customHeight="1" x14ac:dyDescent="0.25">
      <c r="B51" s="41">
        <v>8</v>
      </c>
      <c r="C51" s="53" t="s">
        <v>3184</v>
      </c>
      <c r="D51" s="42"/>
      <c r="E51" s="42"/>
      <c r="F51" s="42"/>
      <c r="G51" s="42"/>
      <c r="H51" s="42"/>
      <c r="I51" s="43">
        <f>SUM(I52:I57)</f>
        <v>395</v>
      </c>
      <c r="J51" s="44">
        <f>SUM(J52:J57)</f>
        <v>237</v>
      </c>
      <c r="K51" s="44">
        <f>SUM(K52:K57)</f>
        <v>39.5</v>
      </c>
      <c r="L51" s="44">
        <f>SUM(L52:L57)</f>
        <v>39.5</v>
      </c>
      <c r="M51" s="40"/>
    </row>
    <row r="52" spans="2:17" ht="14.25" customHeight="1" x14ac:dyDescent="0.25">
      <c r="B52" s="46"/>
      <c r="C52" s="55">
        <v>30</v>
      </c>
      <c r="D52" s="36" t="s">
        <v>3185</v>
      </c>
      <c r="E52" s="36"/>
      <c r="F52" s="36"/>
      <c r="G52" s="36"/>
      <c r="H52" s="36"/>
      <c r="I52" s="46">
        <v>0</v>
      </c>
      <c r="J52" s="47">
        <f t="shared" ref="J52:J57" si="50">I52/I$6*J$7</f>
        <v>0</v>
      </c>
      <c r="K52" s="47">
        <f t="shared" ref="K52:K57" si="51">I52/I$6*K$7</f>
        <v>0</v>
      </c>
      <c r="L52" s="47">
        <f t="shared" ref="L52:L57" si="52">I52/I$6*L$7</f>
        <v>0</v>
      </c>
      <c r="M52" s="40"/>
    </row>
    <row r="53" spans="2:17" ht="14.25" customHeight="1" x14ac:dyDescent="0.25">
      <c r="B53" s="46"/>
      <c r="C53" s="55">
        <v>31</v>
      </c>
      <c r="D53" s="36" t="s">
        <v>3186</v>
      </c>
      <c r="E53" s="36"/>
      <c r="F53" s="36"/>
      <c r="G53" s="36"/>
      <c r="H53" s="36"/>
      <c r="I53" s="46">
        <v>0</v>
      </c>
      <c r="J53" s="47">
        <f t="shared" si="50"/>
        <v>0</v>
      </c>
      <c r="K53" s="47">
        <f t="shared" si="51"/>
        <v>0</v>
      </c>
      <c r="L53" s="47">
        <f t="shared" si="52"/>
        <v>0</v>
      </c>
      <c r="M53" s="40"/>
    </row>
    <row r="54" spans="2:17" ht="14.25" customHeight="1" x14ac:dyDescent="0.25">
      <c r="B54" s="46"/>
      <c r="C54" s="55">
        <v>32</v>
      </c>
      <c r="D54" s="36" t="s">
        <v>3187</v>
      </c>
      <c r="E54" s="36"/>
      <c r="F54" s="36"/>
      <c r="G54" s="36"/>
      <c r="H54" s="36"/>
      <c r="I54" s="46">
        <v>0</v>
      </c>
      <c r="J54" s="47">
        <f t="shared" si="50"/>
        <v>0</v>
      </c>
      <c r="K54" s="47">
        <f t="shared" si="51"/>
        <v>0</v>
      </c>
      <c r="L54" s="47">
        <f t="shared" si="52"/>
        <v>0</v>
      </c>
      <c r="M54" s="40"/>
    </row>
    <row r="55" spans="2:17" ht="14.25" customHeight="1" x14ac:dyDescent="0.25">
      <c r="B55" s="46"/>
      <c r="C55" s="55">
        <v>33</v>
      </c>
      <c r="D55" s="36" t="s">
        <v>3188</v>
      </c>
      <c r="E55" s="36"/>
      <c r="F55" s="36"/>
      <c r="G55" s="36"/>
      <c r="H55" s="36"/>
      <c r="I55" s="46">
        <v>132</v>
      </c>
      <c r="J55" s="47">
        <f t="shared" si="50"/>
        <v>79.2</v>
      </c>
      <c r="K55" s="47">
        <f t="shared" si="51"/>
        <v>13.200000000000001</v>
      </c>
      <c r="L55" s="47">
        <f t="shared" si="52"/>
        <v>13.200000000000001</v>
      </c>
      <c r="M55" s="40">
        <f>J55/$J$51</f>
        <v>0.33417721518987342</v>
      </c>
      <c r="N55" s="30">
        <f>K55/$K$51</f>
        <v>0.33417721518987342</v>
      </c>
      <c r="O55" s="30">
        <f>L55/$L$51</f>
        <v>0.33417721518987342</v>
      </c>
      <c r="P55" s="30">
        <f t="shared" ref="P55:P57" si="53">SUM(M55:O55)</f>
        <v>1.0025316455696203</v>
      </c>
      <c r="Q55" s="49">
        <f t="shared" ref="Q55:Q57" si="54">AVERAGE(M55:O55)</f>
        <v>0.33417721518987342</v>
      </c>
    </row>
    <row r="56" spans="2:17" ht="14.25" customHeight="1" x14ac:dyDescent="0.25">
      <c r="B56" s="46"/>
      <c r="C56" s="55">
        <v>34</v>
      </c>
      <c r="D56" s="36" t="s">
        <v>3189</v>
      </c>
      <c r="E56" s="36"/>
      <c r="F56" s="36"/>
      <c r="G56" s="36"/>
      <c r="H56" s="36"/>
      <c r="I56" s="46">
        <v>135</v>
      </c>
      <c r="J56" s="47">
        <f t="shared" si="50"/>
        <v>81</v>
      </c>
      <c r="K56" s="47">
        <f t="shared" si="51"/>
        <v>13.5</v>
      </c>
      <c r="L56" s="47">
        <f t="shared" si="52"/>
        <v>13.5</v>
      </c>
      <c r="M56" s="40">
        <f t="shared" ref="M56:M57" si="55">J56/$J$51</f>
        <v>0.34177215189873417</v>
      </c>
      <c r="N56" s="30">
        <f t="shared" ref="N56:N57" si="56">K56/$K$51</f>
        <v>0.34177215189873417</v>
      </c>
      <c r="O56" s="30">
        <f t="shared" ref="O56:O57" si="57">L56/$L$51</f>
        <v>0.34177215189873417</v>
      </c>
      <c r="P56" s="30">
        <f t="shared" si="53"/>
        <v>1.0253164556962024</v>
      </c>
      <c r="Q56" s="49">
        <f t="shared" si="54"/>
        <v>0.34177215189873417</v>
      </c>
    </row>
    <row r="57" spans="2:17" ht="14.25" customHeight="1" x14ac:dyDescent="0.25">
      <c r="B57" s="46"/>
      <c r="C57" s="55">
        <v>35</v>
      </c>
      <c r="D57" s="36" t="s">
        <v>3190</v>
      </c>
      <c r="E57" s="36"/>
      <c r="F57" s="36"/>
      <c r="G57" s="36"/>
      <c r="H57" s="36"/>
      <c r="I57" s="46">
        <v>128</v>
      </c>
      <c r="J57" s="47">
        <f t="shared" si="50"/>
        <v>76.8</v>
      </c>
      <c r="K57" s="47">
        <f t="shared" si="51"/>
        <v>12.8</v>
      </c>
      <c r="L57" s="47">
        <f t="shared" si="52"/>
        <v>12.8</v>
      </c>
      <c r="M57" s="40">
        <f t="shared" si="55"/>
        <v>0.32405063291139241</v>
      </c>
      <c r="N57" s="30">
        <f t="shared" si="56"/>
        <v>0.32405063291139241</v>
      </c>
      <c r="O57" s="30">
        <f t="shared" si="57"/>
        <v>0.32405063291139241</v>
      </c>
      <c r="P57" s="30">
        <f t="shared" si="53"/>
        <v>0.97215189873417729</v>
      </c>
      <c r="Q57" s="49">
        <f t="shared" si="54"/>
        <v>0.32405063291139241</v>
      </c>
    </row>
    <row r="58" spans="2:17" ht="14.25" customHeight="1" x14ac:dyDescent="0.25">
      <c r="B58" s="226"/>
      <c r="C58" s="227"/>
      <c r="D58" s="228"/>
      <c r="E58" s="36"/>
      <c r="F58" s="36"/>
      <c r="G58" s="36"/>
      <c r="H58" s="36"/>
      <c r="I58" s="46"/>
      <c r="J58" s="46"/>
      <c r="K58" s="36"/>
      <c r="L58" s="51"/>
      <c r="M58" s="40"/>
    </row>
    <row r="59" spans="2:17" ht="14.25" customHeight="1" x14ac:dyDescent="0.25">
      <c r="B59" s="41">
        <v>9</v>
      </c>
      <c r="C59" s="53" t="s">
        <v>3191</v>
      </c>
      <c r="D59" s="42"/>
      <c r="E59" s="42"/>
      <c r="F59" s="42"/>
      <c r="G59" s="42"/>
      <c r="H59" s="42"/>
      <c r="I59" s="43">
        <v>0</v>
      </c>
      <c r="J59" s="43">
        <v>0</v>
      </c>
      <c r="K59" s="43">
        <v>0</v>
      </c>
      <c r="L59" s="43">
        <v>0</v>
      </c>
      <c r="M59" s="40"/>
    </row>
    <row r="60" spans="2:17" ht="14.25" customHeight="1" x14ac:dyDescent="0.25">
      <c r="B60" s="46"/>
      <c r="C60" s="55">
        <v>36</v>
      </c>
      <c r="D60" s="36" t="s">
        <v>3192</v>
      </c>
      <c r="E60" s="36"/>
      <c r="F60" s="36"/>
      <c r="G60" s="36"/>
      <c r="H60" s="36"/>
      <c r="I60" s="46">
        <v>0</v>
      </c>
      <c r="J60" s="47">
        <f t="shared" ref="J60:J63" si="58">I60/I$6*J$7</f>
        <v>0</v>
      </c>
      <c r="K60" s="46">
        <f t="shared" ref="K60:K63" si="59">I60/I$6*K$7</f>
        <v>0</v>
      </c>
      <c r="L60" s="47">
        <f t="shared" ref="L60:L63" si="60">I60/I$6*L$7</f>
        <v>0</v>
      </c>
      <c r="M60" s="40"/>
    </row>
    <row r="61" spans="2:17" ht="14.25" customHeight="1" x14ac:dyDescent="0.25">
      <c r="B61" s="46"/>
      <c r="C61" s="55">
        <v>37</v>
      </c>
      <c r="D61" s="36" t="s">
        <v>3193</v>
      </c>
      <c r="E61" s="36"/>
      <c r="F61" s="36"/>
      <c r="G61" s="36"/>
      <c r="H61" s="36"/>
      <c r="I61" s="46">
        <v>0</v>
      </c>
      <c r="J61" s="47">
        <f t="shared" si="58"/>
        <v>0</v>
      </c>
      <c r="K61" s="46">
        <f t="shared" si="59"/>
        <v>0</v>
      </c>
      <c r="L61" s="47">
        <f t="shared" si="60"/>
        <v>0</v>
      </c>
      <c r="M61" s="40"/>
    </row>
    <row r="62" spans="2:17" ht="14.25" customHeight="1" x14ac:dyDescent="0.25">
      <c r="B62" s="46"/>
      <c r="C62" s="55">
        <v>38</v>
      </c>
      <c r="D62" s="36" t="s">
        <v>3194</v>
      </c>
      <c r="E62" s="36"/>
      <c r="F62" s="36"/>
      <c r="G62" s="36"/>
      <c r="H62" s="36"/>
      <c r="I62" s="46">
        <v>0</v>
      </c>
      <c r="J62" s="47">
        <f t="shared" si="58"/>
        <v>0</v>
      </c>
      <c r="K62" s="46">
        <f t="shared" si="59"/>
        <v>0</v>
      </c>
      <c r="L62" s="47">
        <f t="shared" si="60"/>
        <v>0</v>
      </c>
      <c r="M62" s="40"/>
    </row>
    <row r="63" spans="2:17" ht="14.25" customHeight="1" x14ac:dyDescent="0.25">
      <c r="B63" s="46"/>
      <c r="C63" s="55">
        <v>39</v>
      </c>
      <c r="D63" s="36" t="s">
        <v>3195</v>
      </c>
      <c r="E63" s="36"/>
      <c r="F63" s="36"/>
      <c r="G63" s="36"/>
      <c r="H63" s="36"/>
      <c r="I63" s="46">
        <v>0</v>
      </c>
      <c r="J63" s="47">
        <f t="shared" si="58"/>
        <v>0</v>
      </c>
      <c r="K63" s="46">
        <f t="shared" si="59"/>
        <v>0</v>
      </c>
      <c r="L63" s="47">
        <f t="shared" si="60"/>
        <v>0</v>
      </c>
      <c r="M63" s="40"/>
    </row>
    <row r="64" spans="2:17" ht="14.25" customHeight="1" x14ac:dyDescent="0.25">
      <c r="B64" s="226"/>
      <c r="C64" s="227"/>
      <c r="D64" s="228"/>
      <c r="E64" s="36"/>
      <c r="F64" s="36"/>
      <c r="G64" s="36"/>
      <c r="H64" s="36"/>
      <c r="I64" s="46"/>
      <c r="J64" s="46"/>
      <c r="K64" s="36"/>
      <c r="L64" s="51"/>
      <c r="M64" s="40"/>
    </row>
    <row r="65" spans="2:13" ht="14.25" customHeight="1" x14ac:dyDescent="0.25">
      <c r="B65" s="41">
        <v>10</v>
      </c>
      <c r="C65" s="53" t="s">
        <v>3196</v>
      </c>
      <c r="D65" s="42"/>
      <c r="E65" s="42"/>
      <c r="F65" s="42"/>
      <c r="G65" s="42"/>
      <c r="H65" s="42"/>
      <c r="I65" s="43">
        <v>0</v>
      </c>
      <c r="J65" s="43">
        <v>0</v>
      </c>
      <c r="K65" s="43">
        <v>0</v>
      </c>
      <c r="L65" s="43">
        <v>0</v>
      </c>
      <c r="M65" s="40"/>
    </row>
    <row r="66" spans="2:13" ht="14.25" customHeight="1" x14ac:dyDescent="0.25">
      <c r="B66" s="46"/>
      <c r="C66" s="55">
        <v>40</v>
      </c>
      <c r="D66" s="36" t="s">
        <v>3197</v>
      </c>
      <c r="E66" s="36"/>
      <c r="F66" s="36"/>
      <c r="G66" s="36"/>
      <c r="H66" s="36"/>
      <c r="I66" s="46">
        <v>0</v>
      </c>
      <c r="J66" s="47">
        <f t="shared" ref="J66:J68" si="61">I66/I$6*J$7</f>
        <v>0</v>
      </c>
      <c r="K66" s="46">
        <f t="shared" ref="K66:K68" si="62">I66/I$6*K$7</f>
        <v>0</v>
      </c>
      <c r="L66" s="47">
        <f t="shared" ref="L66:L68" si="63">I66/I$6*L$7</f>
        <v>0</v>
      </c>
      <c r="M66" s="40"/>
    </row>
    <row r="67" spans="2:13" ht="14.25" customHeight="1" x14ac:dyDescent="0.25">
      <c r="B67" s="46"/>
      <c r="C67" s="55">
        <v>41</v>
      </c>
      <c r="D67" s="36" t="s">
        <v>3198</v>
      </c>
      <c r="E67" s="36"/>
      <c r="F67" s="36"/>
      <c r="G67" s="36"/>
      <c r="H67" s="36"/>
      <c r="I67" s="46">
        <v>0</v>
      </c>
      <c r="J67" s="47">
        <f t="shared" si="61"/>
        <v>0</v>
      </c>
      <c r="K67" s="46">
        <f t="shared" si="62"/>
        <v>0</v>
      </c>
      <c r="L67" s="47">
        <f t="shared" si="63"/>
        <v>0</v>
      </c>
      <c r="M67" s="40"/>
    </row>
    <row r="68" spans="2:13" ht="14.25" customHeight="1" x14ac:dyDescent="0.25">
      <c r="B68" s="46"/>
      <c r="C68" s="55">
        <v>42</v>
      </c>
      <c r="D68" s="36" t="s">
        <v>3199</v>
      </c>
      <c r="E68" s="36"/>
      <c r="F68" s="36"/>
      <c r="G68" s="36"/>
      <c r="H68" s="36"/>
      <c r="I68" s="46">
        <v>0</v>
      </c>
      <c r="J68" s="47">
        <f t="shared" si="61"/>
        <v>0</v>
      </c>
      <c r="K68" s="46">
        <f t="shared" si="62"/>
        <v>0</v>
      </c>
      <c r="L68" s="47">
        <f t="shared" si="63"/>
        <v>0</v>
      </c>
      <c r="M68" s="40"/>
    </row>
    <row r="69" spans="2:13" ht="14.25" customHeight="1" x14ac:dyDescent="0.25">
      <c r="B69" s="46"/>
      <c r="C69" s="226"/>
      <c r="D69" s="228"/>
      <c r="E69" s="36"/>
      <c r="F69" s="36"/>
      <c r="G69" s="36"/>
      <c r="H69" s="36"/>
      <c r="I69" s="36"/>
      <c r="J69" s="36"/>
      <c r="K69" s="36"/>
      <c r="L69" s="36"/>
      <c r="M69" s="40"/>
    </row>
    <row r="70" spans="2:13" ht="14.25" customHeight="1" x14ac:dyDescent="0.25">
      <c r="B70" s="36"/>
      <c r="C70" s="229" t="s">
        <v>3200</v>
      </c>
      <c r="D70" s="230"/>
      <c r="E70" s="36" t="s">
        <v>3201</v>
      </c>
      <c r="F70" s="36" t="s">
        <v>3201</v>
      </c>
      <c r="G70" s="36" t="s">
        <v>3201</v>
      </c>
      <c r="H70" s="36" t="s">
        <v>3201</v>
      </c>
      <c r="I70" s="56">
        <f>SUM(I8,I16,I22,I29,I33,I38,I46,I51,I59,I65)</f>
        <v>3272</v>
      </c>
      <c r="J70" s="57">
        <f>SUM(J8,J16,J22,J29,J33,J38,J46,J51,J59,J65,)</f>
        <v>1963.2</v>
      </c>
      <c r="K70" s="56">
        <f>SUM(K8,K16,K22,K29,K33,K38,K46,K51,K59,K65)</f>
        <v>327.2</v>
      </c>
      <c r="L70" s="57">
        <f>SUM(L8,L16,L22,L29,L33,L38,L46,L51,L59,L65,)</f>
        <v>327.2</v>
      </c>
      <c r="M70" s="40"/>
    </row>
    <row r="71" spans="2:13" ht="14.25" customHeight="1" x14ac:dyDescent="0.25">
      <c r="M71" s="58"/>
    </row>
    <row r="72" spans="2:13" ht="14.25" customHeight="1" x14ac:dyDescent="0.25"/>
    <row r="73" spans="2:13" ht="14.25" customHeight="1" x14ac:dyDescent="0.25"/>
    <row r="74" spans="2:13" ht="14.25" customHeight="1" x14ac:dyDescent="0.25"/>
    <row r="75" spans="2:13" ht="14.25" customHeight="1" x14ac:dyDescent="0.25"/>
    <row r="76" spans="2:13" ht="14.25" customHeight="1" x14ac:dyDescent="0.25"/>
    <row r="77" spans="2:13" ht="14.25" customHeight="1" x14ac:dyDescent="0.25"/>
    <row r="78" spans="2:13" ht="14.25" customHeight="1" x14ac:dyDescent="0.25"/>
    <row r="79" spans="2:13" ht="14.25" customHeight="1" x14ac:dyDescent="0.25"/>
    <row r="80" spans="2:13"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sheetData>
  <mergeCells count="17">
    <mergeCell ref="B45:D45"/>
    <mergeCell ref="C5:D5"/>
    <mergeCell ref="C6:D6"/>
    <mergeCell ref="B7:D7"/>
    <mergeCell ref="C8:D8"/>
    <mergeCell ref="B15:D15"/>
    <mergeCell ref="C16:D16"/>
    <mergeCell ref="B21:D21"/>
    <mergeCell ref="C22:D22"/>
    <mergeCell ref="B28:D28"/>
    <mergeCell ref="B32:D32"/>
    <mergeCell ref="B37:D37"/>
    <mergeCell ref="B50:D50"/>
    <mergeCell ref="B58:D58"/>
    <mergeCell ref="B64:D64"/>
    <mergeCell ref="C69:D69"/>
    <mergeCell ref="C70:D70"/>
  </mergeCells>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CBC8-4F31-4036-BBB5-1E1E757EC714}">
  <sheetPr filterMode="1"/>
  <dimension ref="A1:K717"/>
  <sheetViews>
    <sheetView topLeftCell="A3" zoomScale="70" zoomScaleNormal="70" workbookViewId="0">
      <selection activeCell="A405" sqref="A405:XFD405"/>
    </sheetView>
  </sheetViews>
  <sheetFormatPr defaultColWidth="8.85546875" defaultRowHeight="15" x14ac:dyDescent="0.25"/>
  <cols>
    <col min="1" max="1" width="8.85546875" style="22"/>
    <col min="2" max="11" width="20" style="14" customWidth="1"/>
    <col min="12" max="16384" width="8.85546875" style="14"/>
  </cols>
  <sheetData>
    <row r="1" spans="1:11" ht="18.75" x14ac:dyDescent="0.3">
      <c r="B1" s="215" t="s">
        <v>18</v>
      </c>
      <c r="C1" s="216"/>
      <c r="D1" s="216"/>
      <c r="E1" s="216"/>
      <c r="F1" s="216"/>
      <c r="G1" s="216"/>
      <c r="H1" s="216"/>
      <c r="I1" s="216"/>
      <c r="J1" s="216"/>
      <c r="K1" s="216"/>
    </row>
    <row r="3" spans="1:11" x14ac:dyDescent="0.25">
      <c r="B3" s="15" t="s">
        <v>19</v>
      </c>
      <c r="C3" s="15" t="s">
        <v>20</v>
      </c>
      <c r="D3" s="15" t="s">
        <v>21</v>
      </c>
      <c r="E3" s="15" t="s">
        <v>22</v>
      </c>
      <c r="F3" s="15" t="s">
        <v>23</v>
      </c>
      <c r="G3" s="15" t="s">
        <v>24</v>
      </c>
      <c r="H3" s="15" t="s">
        <v>25</v>
      </c>
      <c r="I3" s="15" t="s">
        <v>26</v>
      </c>
      <c r="J3" s="15" t="s">
        <v>27</v>
      </c>
      <c r="K3" s="15" t="s">
        <v>28</v>
      </c>
    </row>
    <row r="4" spans="1:11" ht="225" hidden="1" x14ac:dyDescent="0.25">
      <c r="A4" s="22">
        <v>1</v>
      </c>
      <c r="B4" s="16" t="s">
        <v>29</v>
      </c>
      <c r="C4" s="16" t="s">
        <v>30</v>
      </c>
      <c r="D4" s="16">
        <v>15790000</v>
      </c>
      <c r="E4" s="16">
        <v>5</v>
      </c>
      <c r="F4" s="16">
        <v>5</v>
      </c>
      <c r="G4" s="17" t="s">
        <v>31</v>
      </c>
      <c r="H4" s="16"/>
      <c r="I4" s="16" t="s">
        <v>32</v>
      </c>
      <c r="J4" s="16" t="s">
        <v>33</v>
      </c>
      <c r="K4" s="16" t="s">
        <v>34</v>
      </c>
    </row>
    <row r="5" spans="1:11" ht="225" hidden="1" x14ac:dyDescent="0.25">
      <c r="A5" s="22">
        <v>2</v>
      </c>
      <c r="B5" s="16" t="s">
        <v>35</v>
      </c>
      <c r="C5" s="16" t="s">
        <v>36</v>
      </c>
      <c r="D5" s="16">
        <v>8320000</v>
      </c>
      <c r="E5" s="16">
        <v>5</v>
      </c>
      <c r="F5" s="16">
        <v>5</v>
      </c>
      <c r="G5" s="17" t="s">
        <v>31</v>
      </c>
      <c r="H5" s="16"/>
      <c r="I5" s="16" t="s">
        <v>32</v>
      </c>
      <c r="J5" s="16" t="s">
        <v>33</v>
      </c>
      <c r="K5" s="16" t="s">
        <v>34</v>
      </c>
    </row>
    <row r="6" spans="1:11" ht="225" hidden="1" x14ac:dyDescent="0.25">
      <c r="A6" s="22">
        <v>3</v>
      </c>
      <c r="B6" s="16" t="s">
        <v>37</v>
      </c>
      <c r="C6" s="16" t="s">
        <v>38</v>
      </c>
      <c r="D6" s="16">
        <v>28817500</v>
      </c>
      <c r="E6" s="16">
        <v>5</v>
      </c>
      <c r="F6" s="16">
        <v>5</v>
      </c>
      <c r="G6" s="17" t="s">
        <v>31</v>
      </c>
      <c r="H6" s="16"/>
      <c r="I6" s="16" t="s">
        <v>32</v>
      </c>
      <c r="J6" s="16" t="s">
        <v>33</v>
      </c>
      <c r="K6" s="16" t="s">
        <v>34</v>
      </c>
    </row>
    <row r="7" spans="1:11" ht="240" hidden="1" x14ac:dyDescent="0.25">
      <c r="A7" s="22">
        <v>4</v>
      </c>
      <c r="B7" s="16" t="s">
        <v>39</v>
      </c>
      <c r="C7" s="16" t="s">
        <v>40</v>
      </c>
      <c r="D7" s="16">
        <v>21845000</v>
      </c>
      <c r="E7" s="16">
        <v>5</v>
      </c>
      <c r="F7" s="16">
        <v>5</v>
      </c>
      <c r="G7" s="17" t="s">
        <v>31</v>
      </c>
      <c r="H7" s="16"/>
      <c r="I7" s="16" t="s">
        <v>41</v>
      </c>
      <c r="J7" s="16" t="s">
        <v>42</v>
      </c>
      <c r="K7" s="16" t="s">
        <v>43</v>
      </c>
    </row>
    <row r="8" spans="1:11" ht="315" hidden="1" x14ac:dyDescent="0.25">
      <c r="A8" s="22">
        <v>5</v>
      </c>
      <c r="B8" s="16" t="s">
        <v>44</v>
      </c>
      <c r="C8" s="16" t="s">
        <v>45</v>
      </c>
      <c r="D8" s="16">
        <v>13821000</v>
      </c>
      <c r="E8" s="16">
        <v>5</v>
      </c>
      <c r="F8" s="16">
        <v>5</v>
      </c>
      <c r="G8" s="17" t="s">
        <v>31</v>
      </c>
      <c r="H8" s="16"/>
      <c r="I8" s="16" t="s">
        <v>46</v>
      </c>
      <c r="J8" s="16" t="s">
        <v>47</v>
      </c>
      <c r="K8" s="16" t="s">
        <v>48</v>
      </c>
    </row>
    <row r="9" spans="1:11" ht="300" hidden="1" x14ac:dyDescent="0.25">
      <c r="A9" s="22">
        <v>6</v>
      </c>
      <c r="B9" s="16" t="s">
        <v>49</v>
      </c>
      <c r="C9" s="16" t="s">
        <v>50</v>
      </c>
      <c r="D9" s="16">
        <v>40887000</v>
      </c>
      <c r="E9" s="16">
        <v>5</v>
      </c>
      <c r="F9" s="16">
        <v>5</v>
      </c>
      <c r="G9" s="17" t="s">
        <v>31</v>
      </c>
      <c r="H9" s="16"/>
      <c r="I9" s="16" t="s">
        <v>51</v>
      </c>
      <c r="J9" s="16" t="s">
        <v>52</v>
      </c>
      <c r="K9" s="16" t="s">
        <v>53</v>
      </c>
    </row>
    <row r="10" spans="1:11" ht="330" hidden="1" x14ac:dyDescent="0.25">
      <c r="A10" s="22">
        <v>7</v>
      </c>
      <c r="B10" s="16" t="s">
        <v>54</v>
      </c>
      <c r="C10" s="16" t="s">
        <v>55</v>
      </c>
      <c r="D10" s="16">
        <v>44084580</v>
      </c>
      <c r="E10" s="16">
        <v>5</v>
      </c>
      <c r="F10" s="16">
        <v>5</v>
      </c>
      <c r="G10" s="17" t="s">
        <v>31</v>
      </c>
      <c r="H10" s="16"/>
      <c r="I10" s="16" t="s">
        <v>56</v>
      </c>
      <c r="J10" s="16" t="s">
        <v>57</v>
      </c>
      <c r="K10" s="16" t="s">
        <v>58</v>
      </c>
    </row>
    <row r="11" spans="1:11" ht="300" hidden="1" x14ac:dyDescent="0.25">
      <c r="A11" s="22">
        <v>8</v>
      </c>
      <c r="B11" s="16" t="s">
        <v>59</v>
      </c>
      <c r="C11" s="16" t="s">
        <v>60</v>
      </c>
      <c r="D11" s="16">
        <v>12760000</v>
      </c>
      <c r="E11" s="16">
        <v>5</v>
      </c>
      <c r="F11" s="16">
        <v>5</v>
      </c>
      <c r="G11" s="17" t="s">
        <v>31</v>
      </c>
      <c r="H11" s="16"/>
      <c r="I11" s="16" t="s">
        <v>61</v>
      </c>
      <c r="J11" s="16" t="s">
        <v>62</v>
      </c>
      <c r="K11" s="16" t="s">
        <v>63</v>
      </c>
    </row>
    <row r="12" spans="1:11" ht="255" hidden="1" x14ac:dyDescent="0.25">
      <c r="A12" s="22">
        <v>9</v>
      </c>
      <c r="B12" s="16" t="s">
        <v>64</v>
      </c>
      <c r="C12" s="16" t="s">
        <v>65</v>
      </c>
      <c r="D12" s="16">
        <v>4095000</v>
      </c>
      <c r="E12" s="16">
        <v>5</v>
      </c>
      <c r="F12" s="16">
        <v>5</v>
      </c>
      <c r="G12" s="17" t="s">
        <v>31</v>
      </c>
      <c r="H12" s="16"/>
      <c r="I12" s="16" t="s">
        <v>66</v>
      </c>
      <c r="J12" s="16" t="s">
        <v>67</v>
      </c>
      <c r="K12" s="16" t="s">
        <v>68</v>
      </c>
    </row>
    <row r="13" spans="1:11" ht="390" hidden="1" x14ac:dyDescent="0.25">
      <c r="A13" s="22">
        <v>10</v>
      </c>
      <c r="B13" s="16" t="s">
        <v>69</v>
      </c>
      <c r="C13" s="16" t="s">
        <v>70</v>
      </c>
      <c r="D13" s="16">
        <v>4595000</v>
      </c>
      <c r="E13" s="16">
        <v>5</v>
      </c>
      <c r="F13" s="16">
        <v>5</v>
      </c>
      <c r="G13" s="17" t="s">
        <v>31</v>
      </c>
      <c r="H13" s="16"/>
      <c r="I13" s="16"/>
      <c r="J13" s="16" t="s">
        <v>71</v>
      </c>
      <c r="K13" s="16" t="s">
        <v>72</v>
      </c>
    </row>
    <row r="14" spans="1:11" ht="360" hidden="1" x14ac:dyDescent="0.25">
      <c r="A14" s="22">
        <v>11</v>
      </c>
      <c r="B14" s="16" t="s">
        <v>73</v>
      </c>
      <c r="C14" s="16" t="s">
        <v>74</v>
      </c>
      <c r="D14" s="16">
        <v>6455000</v>
      </c>
      <c r="E14" s="16">
        <v>5</v>
      </c>
      <c r="F14" s="16">
        <v>5</v>
      </c>
      <c r="G14" s="17" t="s">
        <v>31</v>
      </c>
      <c r="H14" s="16"/>
      <c r="I14" s="16" t="s">
        <v>75</v>
      </c>
      <c r="J14" s="16" t="s">
        <v>76</v>
      </c>
      <c r="K14" s="16" t="s">
        <v>77</v>
      </c>
    </row>
    <row r="15" spans="1:11" ht="225" hidden="1" x14ac:dyDescent="0.25">
      <c r="A15" s="22">
        <v>12</v>
      </c>
      <c r="B15" s="16" t="s">
        <v>78</v>
      </c>
      <c r="C15" s="16" t="s">
        <v>79</v>
      </c>
      <c r="D15" s="16">
        <v>17500000</v>
      </c>
      <c r="E15" s="16">
        <v>5</v>
      </c>
      <c r="F15" s="16">
        <v>5</v>
      </c>
      <c r="G15" s="17" t="s">
        <v>31</v>
      </c>
      <c r="H15" s="16"/>
      <c r="I15" s="16" t="s">
        <v>80</v>
      </c>
      <c r="J15" s="16" t="s">
        <v>81</v>
      </c>
      <c r="K15" s="16" t="s">
        <v>82</v>
      </c>
    </row>
    <row r="16" spans="1:11" ht="330" hidden="1" x14ac:dyDescent="0.25">
      <c r="A16" s="22">
        <v>13</v>
      </c>
      <c r="B16" s="16" t="s">
        <v>83</v>
      </c>
      <c r="C16" s="16" t="s">
        <v>84</v>
      </c>
      <c r="D16" s="16">
        <v>5440155000</v>
      </c>
      <c r="E16" s="16">
        <v>5</v>
      </c>
      <c r="F16" s="16">
        <v>5</v>
      </c>
      <c r="G16" s="17" t="s">
        <v>31</v>
      </c>
      <c r="H16" s="16"/>
      <c r="I16" s="16" t="s">
        <v>85</v>
      </c>
      <c r="J16" s="16" t="s">
        <v>86</v>
      </c>
      <c r="K16" s="16" t="s">
        <v>87</v>
      </c>
    </row>
    <row r="17" spans="1:11" ht="210" hidden="1" x14ac:dyDescent="0.25">
      <c r="A17" s="22">
        <v>14</v>
      </c>
      <c r="B17" s="16" t="s">
        <v>88</v>
      </c>
      <c r="C17" s="16" t="s">
        <v>89</v>
      </c>
      <c r="D17" s="16">
        <v>77080000</v>
      </c>
      <c r="E17" s="16">
        <v>5</v>
      </c>
      <c r="F17" s="16">
        <v>5</v>
      </c>
      <c r="G17" s="17" t="s">
        <v>31</v>
      </c>
      <c r="H17" s="16"/>
      <c r="I17" s="16" t="s">
        <v>90</v>
      </c>
      <c r="J17" s="16" t="s">
        <v>91</v>
      </c>
      <c r="K17" s="16" t="s">
        <v>92</v>
      </c>
    </row>
    <row r="18" spans="1:11" ht="409.5" hidden="1" x14ac:dyDescent="0.25">
      <c r="A18" s="22">
        <v>15</v>
      </c>
      <c r="B18" s="16" t="s">
        <v>93</v>
      </c>
      <c r="C18" s="16" t="s">
        <v>94</v>
      </c>
      <c r="D18" s="16">
        <v>302568000</v>
      </c>
      <c r="E18" s="16">
        <v>5</v>
      </c>
      <c r="F18" s="16">
        <v>5</v>
      </c>
      <c r="G18" s="17" t="s">
        <v>31</v>
      </c>
      <c r="H18" s="16"/>
      <c r="I18" s="16" t="s">
        <v>95</v>
      </c>
      <c r="J18" s="16" t="s">
        <v>96</v>
      </c>
      <c r="K18" s="16" t="s">
        <v>97</v>
      </c>
    </row>
    <row r="19" spans="1:11" ht="210" hidden="1" x14ac:dyDescent="0.25">
      <c r="A19" s="22">
        <v>16</v>
      </c>
      <c r="B19" s="16" t="s">
        <v>98</v>
      </c>
      <c r="C19" s="16" t="s">
        <v>99</v>
      </c>
      <c r="D19" s="16">
        <v>40556300000</v>
      </c>
      <c r="E19" s="16">
        <v>5</v>
      </c>
      <c r="F19" s="16">
        <v>5</v>
      </c>
      <c r="G19" s="17" t="s">
        <v>31</v>
      </c>
      <c r="H19" s="16"/>
      <c r="I19" s="16" t="s">
        <v>100</v>
      </c>
      <c r="J19" s="16" t="s">
        <v>101</v>
      </c>
      <c r="K19" s="16" t="s">
        <v>102</v>
      </c>
    </row>
    <row r="20" spans="1:11" ht="210" hidden="1" x14ac:dyDescent="0.25">
      <c r="A20" s="22">
        <v>17</v>
      </c>
      <c r="B20" s="16" t="s">
        <v>103</v>
      </c>
      <c r="C20" s="16" t="s">
        <v>104</v>
      </c>
      <c r="D20" s="16">
        <v>87468000000</v>
      </c>
      <c r="E20" s="16">
        <v>5</v>
      </c>
      <c r="F20" s="16">
        <v>5</v>
      </c>
      <c r="G20" s="17" t="s">
        <v>31</v>
      </c>
      <c r="H20" s="16"/>
      <c r="I20" s="16" t="s">
        <v>100</v>
      </c>
      <c r="J20" s="16" t="s">
        <v>101</v>
      </c>
      <c r="K20" s="16" t="s">
        <v>105</v>
      </c>
    </row>
    <row r="21" spans="1:11" ht="285" hidden="1" x14ac:dyDescent="0.25">
      <c r="A21" s="22">
        <v>18</v>
      </c>
      <c r="B21" s="16" t="s">
        <v>106</v>
      </c>
      <c r="C21" s="16" t="s">
        <v>107</v>
      </c>
      <c r="D21" s="16">
        <v>204269000</v>
      </c>
      <c r="E21" s="16">
        <v>4</v>
      </c>
      <c r="F21" s="16">
        <v>4</v>
      </c>
      <c r="G21" s="18" t="s">
        <v>108</v>
      </c>
      <c r="H21" s="16"/>
      <c r="I21" s="16" t="s">
        <v>109</v>
      </c>
      <c r="J21" s="16" t="s">
        <v>110</v>
      </c>
      <c r="K21" s="16" t="s">
        <v>111</v>
      </c>
    </row>
    <row r="22" spans="1:11" ht="240" hidden="1" x14ac:dyDescent="0.25">
      <c r="A22" s="22">
        <v>19</v>
      </c>
      <c r="B22" s="16" t="s">
        <v>112</v>
      </c>
      <c r="C22" s="16" t="s">
        <v>113</v>
      </c>
      <c r="D22" s="16">
        <v>122758000</v>
      </c>
      <c r="E22" s="16">
        <v>4</v>
      </c>
      <c r="F22" s="16">
        <v>4</v>
      </c>
      <c r="G22" s="18" t="s">
        <v>108</v>
      </c>
      <c r="H22" s="16"/>
      <c r="I22" s="16" t="s">
        <v>114</v>
      </c>
      <c r="J22" s="16" t="s">
        <v>115</v>
      </c>
      <c r="K22" s="16" t="s">
        <v>116</v>
      </c>
    </row>
    <row r="23" spans="1:11" ht="240" hidden="1" x14ac:dyDescent="0.25">
      <c r="A23" s="22">
        <v>20</v>
      </c>
      <c r="B23" s="16" t="s">
        <v>117</v>
      </c>
      <c r="C23" s="16" t="s">
        <v>118</v>
      </c>
      <c r="D23" s="16">
        <v>47600000</v>
      </c>
      <c r="E23" s="16">
        <v>4</v>
      </c>
      <c r="F23" s="16">
        <v>5</v>
      </c>
      <c r="G23" s="18" t="s">
        <v>108</v>
      </c>
      <c r="H23" s="16"/>
      <c r="I23" s="16" t="s">
        <v>119</v>
      </c>
      <c r="J23" s="16" t="s">
        <v>120</v>
      </c>
      <c r="K23" s="16" t="s">
        <v>121</v>
      </c>
    </row>
    <row r="24" spans="1:11" ht="210" hidden="1" x14ac:dyDescent="0.25">
      <c r="A24" s="22">
        <v>21</v>
      </c>
      <c r="B24" s="16" t="s">
        <v>122</v>
      </c>
      <c r="C24" s="16" t="s">
        <v>123</v>
      </c>
      <c r="D24" s="16">
        <v>17240000</v>
      </c>
      <c r="E24" s="16">
        <v>4</v>
      </c>
      <c r="F24" s="16">
        <v>5</v>
      </c>
      <c r="G24" s="18" t="s">
        <v>108</v>
      </c>
      <c r="H24" s="16"/>
      <c r="I24" s="16" t="s">
        <v>124</v>
      </c>
      <c r="J24" s="16" t="s">
        <v>125</v>
      </c>
      <c r="K24" s="16" t="s">
        <v>126</v>
      </c>
    </row>
    <row r="25" spans="1:11" ht="240" hidden="1" x14ac:dyDescent="0.25">
      <c r="A25" s="22">
        <v>22</v>
      </c>
      <c r="B25" s="16" t="s">
        <v>127</v>
      </c>
      <c r="C25" s="16" t="s">
        <v>128</v>
      </c>
      <c r="D25" s="16">
        <v>11312000</v>
      </c>
      <c r="E25" s="16">
        <v>4</v>
      </c>
      <c r="F25" s="16">
        <v>5</v>
      </c>
      <c r="G25" s="18" t="s">
        <v>108</v>
      </c>
      <c r="H25" s="16"/>
      <c r="I25" s="16" t="s">
        <v>129</v>
      </c>
      <c r="J25" s="16" t="s">
        <v>130</v>
      </c>
      <c r="K25" s="16" t="s">
        <v>131</v>
      </c>
    </row>
    <row r="26" spans="1:11" ht="240" hidden="1" x14ac:dyDescent="0.25">
      <c r="A26" s="22">
        <v>23</v>
      </c>
      <c r="B26" s="16" t="s">
        <v>132</v>
      </c>
      <c r="C26" s="16" t="s">
        <v>133</v>
      </c>
      <c r="D26" s="16">
        <v>11312000</v>
      </c>
      <c r="E26" s="16">
        <v>4</v>
      </c>
      <c r="F26" s="16">
        <v>5</v>
      </c>
      <c r="G26" s="18" t="s">
        <v>108</v>
      </c>
      <c r="H26" s="16"/>
      <c r="I26" s="16" t="s">
        <v>129</v>
      </c>
      <c r="J26" s="16" t="s">
        <v>130</v>
      </c>
      <c r="K26" s="16" t="s">
        <v>131</v>
      </c>
    </row>
    <row r="27" spans="1:11" ht="240" hidden="1" x14ac:dyDescent="0.25">
      <c r="A27" s="22">
        <v>24</v>
      </c>
      <c r="B27" s="16" t="s">
        <v>134</v>
      </c>
      <c r="C27" s="16" t="s">
        <v>135</v>
      </c>
      <c r="D27" s="16">
        <v>29470000</v>
      </c>
      <c r="E27" s="16">
        <v>4</v>
      </c>
      <c r="F27" s="16">
        <v>5</v>
      </c>
      <c r="G27" s="18" t="s">
        <v>108</v>
      </c>
      <c r="H27" s="16"/>
      <c r="I27" s="16" t="s">
        <v>136</v>
      </c>
      <c r="J27" s="16" t="s">
        <v>120</v>
      </c>
      <c r="K27" s="16" t="s">
        <v>137</v>
      </c>
    </row>
    <row r="28" spans="1:11" ht="270" hidden="1" x14ac:dyDescent="0.25">
      <c r="A28" s="22">
        <v>25</v>
      </c>
      <c r="B28" s="16" t="s">
        <v>138</v>
      </c>
      <c r="C28" s="16" t="s">
        <v>139</v>
      </c>
      <c r="D28" s="16">
        <v>139690303</v>
      </c>
      <c r="E28" s="16">
        <v>4</v>
      </c>
      <c r="F28" s="16">
        <v>5</v>
      </c>
      <c r="G28" s="18" t="s">
        <v>108</v>
      </c>
      <c r="H28" s="16"/>
      <c r="I28" s="16" t="s">
        <v>140</v>
      </c>
      <c r="J28" s="16" t="s">
        <v>141</v>
      </c>
      <c r="K28" s="16" t="s">
        <v>142</v>
      </c>
    </row>
    <row r="29" spans="1:11" ht="270" hidden="1" x14ac:dyDescent="0.25">
      <c r="A29" s="22">
        <v>26</v>
      </c>
      <c r="B29" s="16" t="s">
        <v>143</v>
      </c>
      <c r="C29" s="16" t="s">
        <v>144</v>
      </c>
      <c r="D29" s="16">
        <v>45000000</v>
      </c>
      <c r="E29" s="16">
        <v>4</v>
      </c>
      <c r="F29" s="16">
        <v>5</v>
      </c>
      <c r="G29" s="18" t="s">
        <v>108</v>
      </c>
      <c r="H29" s="16"/>
      <c r="I29" s="16" t="s">
        <v>145</v>
      </c>
      <c r="J29" s="16" t="s">
        <v>146</v>
      </c>
      <c r="K29" s="16" t="s">
        <v>147</v>
      </c>
    </row>
    <row r="30" spans="1:11" ht="240" hidden="1" x14ac:dyDescent="0.25">
      <c r="A30" s="22">
        <v>27</v>
      </c>
      <c r="B30" s="16" t="s">
        <v>148</v>
      </c>
      <c r="C30" s="16" t="s">
        <v>149</v>
      </c>
      <c r="D30" s="16">
        <v>22190700</v>
      </c>
      <c r="E30" s="16">
        <v>4</v>
      </c>
      <c r="F30" s="16">
        <v>5</v>
      </c>
      <c r="G30" s="18" t="s">
        <v>108</v>
      </c>
      <c r="H30" s="16"/>
      <c r="I30" s="16" t="s">
        <v>119</v>
      </c>
      <c r="J30" s="16" t="s">
        <v>120</v>
      </c>
      <c r="K30" s="16" t="s">
        <v>121</v>
      </c>
    </row>
    <row r="31" spans="1:11" ht="225" hidden="1" x14ac:dyDescent="0.25">
      <c r="A31" s="22">
        <v>28</v>
      </c>
      <c r="B31" s="16" t="s">
        <v>150</v>
      </c>
      <c r="C31" s="16" t="s">
        <v>151</v>
      </c>
      <c r="D31" s="16">
        <v>17315000</v>
      </c>
      <c r="E31" s="16">
        <v>4</v>
      </c>
      <c r="F31" s="16">
        <v>4</v>
      </c>
      <c r="G31" s="18" t="s">
        <v>108</v>
      </c>
      <c r="H31" s="16"/>
      <c r="I31" s="16" t="s">
        <v>152</v>
      </c>
      <c r="J31" s="16" t="s">
        <v>153</v>
      </c>
      <c r="K31" s="16" t="s">
        <v>154</v>
      </c>
    </row>
    <row r="32" spans="1:11" ht="255" hidden="1" x14ac:dyDescent="0.25">
      <c r="A32" s="22">
        <v>29</v>
      </c>
      <c r="B32" s="16" t="s">
        <v>155</v>
      </c>
      <c r="C32" s="16" t="s">
        <v>156</v>
      </c>
      <c r="D32" s="16">
        <v>13295000</v>
      </c>
      <c r="E32" s="16">
        <v>4</v>
      </c>
      <c r="F32" s="16">
        <v>4</v>
      </c>
      <c r="G32" s="18" t="s">
        <v>108</v>
      </c>
      <c r="H32" s="16"/>
      <c r="I32" s="16" t="s">
        <v>157</v>
      </c>
      <c r="J32" s="16" t="s">
        <v>158</v>
      </c>
      <c r="K32" s="16" t="s">
        <v>159</v>
      </c>
    </row>
    <row r="33" spans="1:11" ht="300" hidden="1" x14ac:dyDescent="0.25">
      <c r="A33" s="22">
        <v>30</v>
      </c>
      <c r="B33" s="16" t="s">
        <v>160</v>
      </c>
      <c r="C33" s="16" t="s">
        <v>161</v>
      </c>
      <c r="D33" s="16">
        <v>37675000</v>
      </c>
      <c r="E33" s="16">
        <v>4</v>
      </c>
      <c r="F33" s="16">
        <v>4</v>
      </c>
      <c r="G33" s="18" t="s">
        <v>108</v>
      </c>
      <c r="H33" s="16"/>
      <c r="I33" s="16" t="s">
        <v>162</v>
      </c>
      <c r="J33" s="16" t="s">
        <v>163</v>
      </c>
      <c r="K33" s="16" t="s">
        <v>164</v>
      </c>
    </row>
    <row r="34" spans="1:11" ht="409.5" hidden="1" x14ac:dyDescent="0.25">
      <c r="A34" s="22">
        <v>31</v>
      </c>
      <c r="B34" s="16" t="s">
        <v>165</v>
      </c>
      <c r="C34" s="16" t="s">
        <v>166</v>
      </c>
      <c r="D34" s="16">
        <v>26095000</v>
      </c>
      <c r="E34" s="16">
        <v>4</v>
      </c>
      <c r="F34" s="16">
        <v>4</v>
      </c>
      <c r="G34" s="18" t="s">
        <v>108</v>
      </c>
      <c r="H34" s="16"/>
      <c r="I34" s="16" t="s">
        <v>167</v>
      </c>
      <c r="J34" s="16" t="s">
        <v>168</v>
      </c>
      <c r="K34" s="16" t="s">
        <v>169</v>
      </c>
    </row>
    <row r="35" spans="1:11" ht="345" hidden="1" x14ac:dyDescent="0.25">
      <c r="A35" s="22">
        <v>32</v>
      </c>
      <c r="B35" s="16" t="s">
        <v>170</v>
      </c>
      <c r="C35" s="16" t="s">
        <v>171</v>
      </c>
      <c r="D35" s="16">
        <v>43415000</v>
      </c>
      <c r="E35" s="16">
        <v>4</v>
      </c>
      <c r="F35" s="16">
        <v>4</v>
      </c>
      <c r="G35" s="18" t="s">
        <v>108</v>
      </c>
      <c r="H35" s="16"/>
      <c r="I35" s="16" t="s">
        <v>172</v>
      </c>
      <c r="J35" s="16" t="s">
        <v>173</v>
      </c>
      <c r="K35" s="16" t="s">
        <v>174</v>
      </c>
    </row>
    <row r="36" spans="1:11" ht="390" hidden="1" x14ac:dyDescent="0.25">
      <c r="A36" s="22">
        <v>33</v>
      </c>
      <c r="B36" s="16" t="s">
        <v>175</v>
      </c>
      <c r="C36" s="16" t="s">
        <v>176</v>
      </c>
      <c r="D36" s="16">
        <v>26147000</v>
      </c>
      <c r="E36" s="16">
        <v>4</v>
      </c>
      <c r="F36" s="16">
        <v>4</v>
      </c>
      <c r="G36" s="18" t="s">
        <v>108</v>
      </c>
      <c r="H36" s="16"/>
      <c r="I36" s="16" t="s">
        <v>177</v>
      </c>
      <c r="J36" s="16" t="s">
        <v>178</v>
      </c>
      <c r="K36" s="16" t="s">
        <v>179</v>
      </c>
    </row>
    <row r="37" spans="1:11" ht="300" hidden="1" x14ac:dyDescent="0.25">
      <c r="A37" s="22">
        <v>34</v>
      </c>
      <c r="B37" s="16" t="s">
        <v>180</v>
      </c>
      <c r="C37" s="16" t="s">
        <v>181</v>
      </c>
      <c r="D37" s="16">
        <v>25835000</v>
      </c>
      <c r="E37" s="16">
        <v>4</v>
      </c>
      <c r="F37" s="16">
        <v>4</v>
      </c>
      <c r="G37" s="18" t="s">
        <v>108</v>
      </c>
      <c r="H37" s="16"/>
      <c r="I37" s="16" t="s">
        <v>182</v>
      </c>
      <c r="J37" s="16" t="s">
        <v>183</v>
      </c>
      <c r="K37" s="16" t="s">
        <v>184</v>
      </c>
    </row>
    <row r="38" spans="1:11" ht="285" hidden="1" x14ac:dyDescent="0.25">
      <c r="A38" s="22">
        <v>35</v>
      </c>
      <c r="B38" s="16" t="s">
        <v>185</v>
      </c>
      <c r="C38" s="16" t="s">
        <v>186</v>
      </c>
      <c r="D38" s="16">
        <v>17315000</v>
      </c>
      <c r="E38" s="16">
        <v>4</v>
      </c>
      <c r="F38" s="16">
        <v>4</v>
      </c>
      <c r="G38" s="18" t="s">
        <v>108</v>
      </c>
      <c r="H38" s="16"/>
      <c r="I38" s="16" t="s">
        <v>187</v>
      </c>
      <c r="J38" s="16" t="s">
        <v>188</v>
      </c>
      <c r="K38" s="16" t="s">
        <v>189</v>
      </c>
    </row>
    <row r="39" spans="1:11" ht="225" hidden="1" x14ac:dyDescent="0.25">
      <c r="A39" s="22">
        <v>36</v>
      </c>
      <c r="B39" s="16" t="s">
        <v>190</v>
      </c>
      <c r="C39" s="16" t="s">
        <v>191</v>
      </c>
      <c r="D39" s="16">
        <v>21123000</v>
      </c>
      <c r="E39" s="16">
        <v>4</v>
      </c>
      <c r="F39" s="16">
        <v>4</v>
      </c>
      <c r="G39" s="18" t="s">
        <v>108</v>
      </c>
      <c r="H39" s="16"/>
      <c r="I39" s="16" t="s">
        <v>192</v>
      </c>
      <c r="J39" s="16" t="s">
        <v>193</v>
      </c>
      <c r="K39" s="16" t="s">
        <v>194</v>
      </c>
    </row>
    <row r="40" spans="1:11" ht="195" hidden="1" x14ac:dyDescent="0.25">
      <c r="A40" s="22">
        <v>37</v>
      </c>
      <c r="B40" s="16" t="s">
        <v>195</v>
      </c>
      <c r="C40" s="16" t="s">
        <v>196</v>
      </c>
      <c r="D40" s="16">
        <v>52275000</v>
      </c>
      <c r="E40" s="16">
        <v>4</v>
      </c>
      <c r="F40" s="16">
        <v>4</v>
      </c>
      <c r="G40" s="18" t="s">
        <v>108</v>
      </c>
      <c r="H40" s="16"/>
      <c r="I40" s="16" t="s">
        <v>197</v>
      </c>
      <c r="J40" s="16" t="s">
        <v>198</v>
      </c>
      <c r="K40" s="16" t="s">
        <v>199</v>
      </c>
    </row>
    <row r="41" spans="1:11" ht="240" hidden="1" x14ac:dyDescent="0.25">
      <c r="A41" s="22">
        <v>38</v>
      </c>
      <c r="B41" s="16" t="s">
        <v>200</v>
      </c>
      <c r="C41" s="16" t="s">
        <v>201</v>
      </c>
      <c r="D41" s="16">
        <v>66910600</v>
      </c>
      <c r="E41" s="16">
        <v>4</v>
      </c>
      <c r="F41" s="16">
        <v>4</v>
      </c>
      <c r="G41" s="18" t="s">
        <v>108</v>
      </c>
      <c r="H41" s="16"/>
      <c r="I41" s="16" t="s">
        <v>202</v>
      </c>
      <c r="J41" s="16" t="s">
        <v>203</v>
      </c>
      <c r="K41" s="16" t="s">
        <v>204</v>
      </c>
    </row>
    <row r="42" spans="1:11" ht="195" hidden="1" x14ac:dyDescent="0.25">
      <c r="A42" s="22">
        <v>39</v>
      </c>
      <c r="B42" s="16" t="s">
        <v>205</v>
      </c>
      <c r="C42" s="16" t="s">
        <v>206</v>
      </c>
      <c r="D42" s="16">
        <v>43664618</v>
      </c>
      <c r="E42" s="16">
        <v>4</v>
      </c>
      <c r="F42" s="16">
        <v>4</v>
      </c>
      <c r="G42" s="18" t="s">
        <v>108</v>
      </c>
      <c r="H42" s="16"/>
      <c r="I42" s="16" t="s">
        <v>207</v>
      </c>
      <c r="J42" s="16" t="s">
        <v>208</v>
      </c>
      <c r="K42" s="16" t="s">
        <v>209</v>
      </c>
    </row>
    <row r="43" spans="1:11" ht="409.5" hidden="1" x14ac:dyDescent="0.25">
      <c r="A43" s="22">
        <v>40</v>
      </c>
      <c r="B43" s="16" t="s">
        <v>210</v>
      </c>
      <c r="C43" s="16" t="s">
        <v>211</v>
      </c>
      <c r="D43" s="16">
        <v>190009000</v>
      </c>
      <c r="E43" s="16">
        <v>4</v>
      </c>
      <c r="F43" s="16">
        <v>5</v>
      </c>
      <c r="G43" s="18" t="s">
        <v>108</v>
      </c>
      <c r="H43" s="16"/>
      <c r="I43" s="16" t="s">
        <v>212</v>
      </c>
      <c r="J43" s="16" t="s">
        <v>212</v>
      </c>
      <c r="K43" s="16" t="s">
        <v>213</v>
      </c>
    </row>
    <row r="44" spans="1:11" ht="409.5" hidden="1" x14ac:dyDescent="0.25">
      <c r="A44" s="22">
        <v>41</v>
      </c>
      <c r="B44" s="16" t="s">
        <v>214</v>
      </c>
      <c r="C44" s="16" t="s">
        <v>215</v>
      </c>
      <c r="D44" s="16">
        <v>191788500</v>
      </c>
      <c r="E44" s="16">
        <v>4</v>
      </c>
      <c r="F44" s="16">
        <v>5</v>
      </c>
      <c r="G44" s="18" t="s">
        <v>108</v>
      </c>
      <c r="H44" s="16"/>
      <c r="I44" s="16" t="s">
        <v>212</v>
      </c>
      <c r="J44" s="16" t="s">
        <v>212</v>
      </c>
      <c r="K44" s="16" t="s">
        <v>213</v>
      </c>
    </row>
    <row r="45" spans="1:11" ht="409.5" hidden="1" x14ac:dyDescent="0.25">
      <c r="A45" s="22">
        <v>42</v>
      </c>
      <c r="B45" s="16" t="s">
        <v>216</v>
      </c>
      <c r="C45" s="16" t="s">
        <v>217</v>
      </c>
      <c r="D45" s="16">
        <v>7000000</v>
      </c>
      <c r="E45" s="16">
        <v>4</v>
      </c>
      <c r="F45" s="16">
        <v>4</v>
      </c>
      <c r="G45" s="18" t="s">
        <v>108</v>
      </c>
      <c r="H45" s="16"/>
      <c r="I45" s="16" t="s">
        <v>218</v>
      </c>
      <c r="J45" s="16" t="s">
        <v>219</v>
      </c>
      <c r="K45" s="16" t="s">
        <v>220</v>
      </c>
    </row>
    <row r="46" spans="1:11" ht="285" hidden="1" x14ac:dyDescent="0.25">
      <c r="A46" s="22">
        <v>43</v>
      </c>
      <c r="B46" s="16" t="s">
        <v>221</v>
      </c>
      <c r="C46" s="16" t="s">
        <v>222</v>
      </c>
      <c r="D46" s="16">
        <v>7000000</v>
      </c>
      <c r="E46" s="16">
        <v>4</v>
      </c>
      <c r="F46" s="16">
        <v>5</v>
      </c>
      <c r="G46" s="18" t="s">
        <v>108</v>
      </c>
      <c r="H46" s="16"/>
      <c r="I46" s="16" t="s">
        <v>223</v>
      </c>
      <c r="J46" s="16" t="s">
        <v>224</v>
      </c>
      <c r="K46" s="16" t="s">
        <v>225</v>
      </c>
    </row>
    <row r="47" spans="1:11" ht="405" hidden="1" x14ac:dyDescent="0.25">
      <c r="A47" s="22">
        <v>44</v>
      </c>
      <c r="B47" s="16" t="s">
        <v>226</v>
      </c>
      <c r="C47" s="16" t="s">
        <v>227</v>
      </c>
      <c r="D47" s="16">
        <v>191851600</v>
      </c>
      <c r="E47" s="16">
        <v>4</v>
      </c>
      <c r="F47" s="16">
        <v>5</v>
      </c>
      <c r="G47" s="18" t="s">
        <v>108</v>
      </c>
      <c r="H47" s="16"/>
      <c r="I47" s="16" t="s">
        <v>228</v>
      </c>
      <c r="J47" s="16" t="s">
        <v>229</v>
      </c>
      <c r="K47" s="16" t="s">
        <v>230</v>
      </c>
    </row>
    <row r="48" spans="1:11" ht="270" hidden="1" x14ac:dyDescent="0.25">
      <c r="A48" s="22">
        <v>45</v>
      </c>
      <c r="B48" s="16" t="s">
        <v>231</v>
      </c>
      <c r="C48" s="16" t="s">
        <v>232</v>
      </c>
      <c r="D48" s="16">
        <v>111679000</v>
      </c>
      <c r="E48" s="16">
        <v>4</v>
      </c>
      <c r="F48" s="16">
        <v>5</v>
      </c>
      <c r="G48" s="18" t="s">
        <v>108</v>
      </c>
      <c r="H48" s="16"/>
      <c r="I48" s="16" t="s">
        <v>233</v>
      </c>
      <c r="J48" s="16" t="s">
        <v>234</v>
      </c>
      <c r="K48" s="16" t="s">
        <v>235</v>
      </c>
    </row>
    <row r="49" spans="1:11" ht="315" hidden="1" x14ac:dyDescent="0.25">
      <c r="A49" s="22">
        <v>46</v>
      </c>
      <c r="B49" s="16" t="s">
        <v>236</v>
      </c>
      <c r="C49" s="16" t="s">
        <v>237</v>
      </c>
      <c r="D49" s="16">
        <v>6870000</v>
      </c>
      <c r="E49" s="16">
        <v>4</v>
      </c>
      <c r="F49" s="16">
        <v>5</v>
      </c>
      <c r="G49" s="18" t="s">
        <v>108</v>
      </c>
      <c r="H49" s="16"/>
      <c r="I49" s="16" t="s">
        <v>238</v>
      </c>
      <c r="J49" s="16" t="s">
        <v>239</v>
      </c>
      <c r="K49" s="16" t="s">
        <v>240</v>
      </c>
    </row>
    <row r="50" spans="1:11" ht="135" hidden="1" x14ac:dyDescent="0.25">
      <c r="A50" s="22">
        <v>47</v>
      </c>
      <c r="B50" s="16" t="s">
        <v>241</v>
      </c>
      <c r="C50" s="16" t="s">
        <v>242</v>
      </c>
      <c r="D50" s="16">
        <v>8310000</v>
      </c>
      <c r="E50" s="16">
        <v>4</v>
      </c>
      <c r="F50" s="16">
        <v>5</v>
      </c>
      <c r="G50" s="18" t="s">
        <v>108</v>
      </c>
      <c r="H50" s="16"/>
      <c r="I50" s="16" t="s">
        <v>243</v>
      </c>
      <c r="J50" s="16" t="s">
        <v>244</v>
      </c>
      <c r="K50" s="16" t="s">
        <v>245</v>
      </c>
    </row>
    <row r="51" spans="1:11" ht="270" hidden="1" x14ac:dyDescent="0.25">
      <c r="A51" s="22">
        <v>48</v>
      </c>
      <c r="B51" s="16" t="s">
        <v>246</v>
      </c>
      <c r="C51" s="16" t="s">
        <v>247</v>
      </c>
      <c r="D51" s="16">
        <v>6980000</v>
      </c>
      <c r="E51" s="16">
        <v>4</v>
      </c>
      <c r="F51" s="16">
        <v>5</v>
      </c>
      <c r="G51" s="18" t="s">
        <v>108</v>
      </c>
      <c r="H51" s="16"/>
      <c r="I51" s="16" t="s">
        <v>248</v>
      </c>
      <c r="J51" s="16" t="s">
        <v>249</v>
      </c>
      <c r="K51" s="16" t="s">
        <v>250</v>
      </c>
    </row>
    <row r="52" spans="1:11" ht="285" hidden="1" x14ac:dyDescent="0.25">
      <c r="A52" s="22">
        <v>49</v>
      </c>
      <c r="B52" s="16" t="s">
        <v>251</v>
      </c>
      <c r="C52" s="16" t="s">
        <v>252</v>
      </c>
      <c r="D52" s="16">
        <v>18350000</v>
      </c>
      <c r="E52" s="16">
        <v>4</v>
      </c>
      <c r="F52" s="16">
        <v>5</v>
      </c>
      <c r="G52" s="18" t="s">
        <v>108</v>
      </c>
      <c r="H52" s="16"/>
      <c r="I52" s="16" t="s">
        <v>253</v>
      </c>
      <c r="J52" s="16" t="s">
        <v>254</v>
      </c>
      <c r="K52" s="16" t="s">
        <v>255</v>
      </c>
    </row>
    <row r="53" spans="1:11" ht="360" hidden="1" x14ac:dyDescent="0.25">
      <c r="A53" s="22">
        <v>50</v>
      </c>
      <c r="B53" s="16" t="s">
        <v>256</v>
      </c>
      <c r="C53" s="16" t="s">
        <v>257</v>
      </c>
      <c r="D53" s="16">
        <v>6640000</v>
      </c>
      <c r="E53" s="16">
        <v>4</v>
      </c>
      <c r="F53" s="16">
        <v>4</v>
      </c>
      <c r="G53" s="18" t="s">
        <v>108</v>
      </c>
      <c r="H53" s="16"/>
      <c r="I53" s="16" t="s">
        <v>258</v>
      </c>
      <c r="J53" s="16" t="s">
        <v>259</v>
      </c>
      <c r="K53" s="16" t="s">
        <v>260</v>
      </c>
    </row>
    <row r="54" spans="1:11" ht="375" hidden="1" x14ac:dyDescent="0.25">
      <c r="A54" s="22">
        <v>51</v>
      </c>
      <c r="B54" s="16" t="s">
        <v>261</v>
      </c>
      <c r="C54" s="16" t="s">
        <v>262</v>
      </c>
      <c r="D54" s="16">
        <v>11060000</v>
      </c>
      <c r="E54" s="16">
        <v>4</v>
      </c>
      <c r="F54" s="16">
        <v>4</v>
      </c>
      <c r="G54" s="18" t="s">
        <v>108</v>
      </c>
      <c r="H54" s="16"/>
      <c r="I54" s="16" t="s">
        <v>263</v>
      </c>
      <c r="J54" s="16" t="s">
        <v>264</v>
      </c>
      <c r="K54" s="16" t="s">
        <v>265</v>
      </c>
    </row>
    <row r="55" spans="1:11" ht="270" hidden="1" x14ac:dyDescent="0.25">
      <c r="A55" s="22">
        <v>52</v>
      </c>
      <c r="B55" s="16" t="s">
        <v>266</v>
      </c>
      <c r="C55" s="16" t="s">
        <v>267</v>
      </c>
      <c r="D55" s="16">
        <v>49900000</v>
      </c>
      <c r="E55" s="16">
        <v>4</v>
      </c>
      <c r="F55" s="16">
        <v>5</v>
      </c>
      <c r="G55" s="18" t="s">
        <v>108</v>
      </c>
      <c r="H55" s="16"/>
      <c r="I55" s="16" t="s">
        <v>145</v>
      </c>
      <c r="J55" s="16" t="s">
        <v>146</v>
      </c>
      <c r="K55" s="16" t="s">
        <v>268</v>
      </c>
    </row>
    <row r="56" spans="1:11" ht="240" hidden="1" x14ac:dyDescent="0.25">
      <c r="A56" s="22">
        <v>53</v>
      </c>
      <c r="B56" s="16" t="s">
        <v>269</v>
      </c>
      <c r="C56" s="16" t="s">
        <v>270</v>
      </c>
      <c r="D56" s="16">
        <v>33614000</v>
      </c>
      <c r="E56" s="16">
        <v>4</v>
      </c>
      <c r="F56" s="16">
        <v>5</v>
      </c>
      <c r="G56" s="18" t="s">
        <v>108</v>
      </c>
      <c r="H56" s="16"/>
      <c r="I56" s="16" t="s">
        <v>119</v>
      </c>
      <c r="J56" s="16" t="s">
        <v>120</v>
      </c>
      <c r="K56" s="16" t="s">
        <v>121</v>
      </c>
    </row>
    <row r="57" spans="1:11" ht="240" hidden="1" x14ac:dyDescent="0.25">
      <c r="A57" s="22">
        <v>54</v>
      </c>
      <c r="B57" s="16" t="s">
        <v>271</v>
      </c>
      <c r="C57" s="16" t="s">
        <v>272</v>
      </c>
      <c r="D57" s="16">
        <v>9640000</v>
      </c>
      <c r="E57" s="16">
        <v>4</v>
      </c>
      <c r="F57" s="16">
        <v>5</v>
      </c>
      <c r="G57" s="18" t="s">
        <v>108</v>
      </c>
      <c r="H57" s="16"/>
      <c r="I57" s="16" t="s">
        <v>119</v>
      </c>
      <c r="J57" s="16" t="s">
        <v>120</v>
      </c>
      <c r="K57" s="16" t="s">
        <v>121</v>
      </c>
    </row>
    <row r="58" spans="1:11" ht="240" hidden="1" x14ac:dyDescent="0.25">
      <c r="A58" s="22">
        <v>55</v>
      </c>
      <c r="B58" s="16" t="s">
        <v>273</v>
      </c>
      <c r="C58" s="16" t="s">
        <v>274</v>
      </c>
      <c r="D58" s="16">
        <v>12420400</v>
      </c>
      <c r="E58" s="16">
        <v>4</v>
      </c>
      <c r="F58" s="16">
        <v>4</v>
      </c>
      <c r="G58" s="18" t="s">
        <v>108</v>
      </c>
      <c r="H58" s="16"/>
      <c r="I58" s="16" t="s">
        <v>275</v>
      </c>
      <c r="J58" s="16" t="s">
        <v>276</v>
      </c>
      <c r="K58" s="16" t="s">
        <v>277</v>
      </c>
    </row>
    <row r="59" spans="1:11" ht="285" hidden="1" x14ac:dyDescent="0.25">
      <c r="A59" s="22">
        <v>56</v>
      </c>
      <c r="B59" s="16" t="s">
        <v>278</v>
      </c>
      <c r="C59" s="16" t="s">
        <v>279</v>
      </c>
      <c r="D59" s="16">
        <v>154135000</v>
      </c>
      <c r="E59" s="16">
        <v>4</v>
      </c>
      <c r="F59" s="16">
        <v>4</v>
      </c>
      <c r="G59" s="18" t="s">
        <v>108</v>
      </c>
      <c r="H59" s="16"/>
      <c r="I59" s="16" t="s">
        <v>280</v>
      </c>
      <c r="J59" s="16" t="s">
        <v>281</v>
      </c>
      <c r="K59" s="16" t="s">
        <v>282</v>
      </c>
    </row>
    <row r="60" spans="1:11" ht="300" hidden="1" x14ac:dyDescent="0.25">
      <c r="A60" s="22">
        <v>57</v>
      </c>
      <c r="B60" s="16" t="s">
        <v>283</v>
      </c>
      <c r="C60" s="16" t="s">
        <v>284</v>
      </c>
      <c r="D60" s="16">
        <v>62700000</v>
      </c>
      <c r="E60" s="16">
        <v>4</v>
      </c>
      <c r="F60" s="16">
        <v>4</v>
      </c>
      <c r="G60" s="18" t="s">
        <v>108</v>
      </c>
      <c r="H60" s="16"/>
      <c r="I60" s="16" t="s">
        <v>285</v>
      </c>
      <c r="J60" s="16" t="s">
        <v>286</v>
      </c>
      <c r="K60" s="16" t="s">
        <v>287</v>
      </c>
    </row>
    <row r="61" spans="1:11" ht="180" hidden="1" x14ac:dyDescent="0.25">
      <c r="A61" s="22">
        <v>58</v>
      </c>
      <c r="B61" s="16" t="s">
        <v>288</v>
      </c>
      <c r="C61" s="16" t="s">
        <v>289</v>
      </c>
      <c r="D61" s="16">
        <v>4298000</v>
      </c>
      <c r="E61" s="16">
        <v>4</v>
      </c>
      <c r="F61" s="16">
        <v>4</v>
      </c>
      <c r="G61" s="18" t="s">
        <v>108</v>
      </c>
      <c r="H61" s="16"/>
      <c r="I61" s="16" t="s">
        <v>290</v>
      </c>
      <c r="J61" s="16" t="s">
        <v>291</v>
      </c>
      <c r="K61" s="16" t="s">
        <v>292</v>
      </c>
    </row>
    <row r="62" spans="1:11" ht="390" hidden="1" x14ac:dyDescent="0.25">
      <c r="A62" s="22">
        <v>59</v>
      </c>
      <c r="B62" s="16" t="s">
        <v>293</v>
      </c>
      <c r="C62" s="16" t="s">
        <v>294</v>
      </c>
      <c r="D62" s="16">
        <v>19320000</v>
      </c>
      <c r="E62" s="16">
        <v>4</v>
      </c>
      <c r="F62" s="16">
        <v>4</v>
      </c>
      <c r="G62" s="18" t="s">
        <v>108</v>
      </c>
      <c r="H62" s="16"/>
      <c r="I62" s="16" t="s">
        <v>295</v>
      </c>
      <c r="J62" s="16" t="s">
        <v>296</v>
      </c>
      <c r="K62" s="16" t="s">
        <v>292</v>
      </c>
    </row>
    <row r="63" spans="1:11" ht="405" hidden="1" x14ac:dyDescent="0.25">
      <c r="A63" s="22">
        <v>60</v>
      </c>
      <c r="B63" s="16" t="s">
        <v>297</v>
      </c>
      <c r="C63" s="16" t="s">
        <v>298</v>
      </c>
      <c r="D63" s="16">
        <v>12306000</v>
      </c>
      <c r="E63" s="16">
        <v>4</v>
      </c>
      <c r="F63" s="16">
        <v>4</v>
      </c>
      <c r="G63" s="18" t="s">
        <v>108</v>
      </c>
      <c r="H63" s="16"/>
      <c r="I63" s="16" t="s">
        <v>299</v>
      </c>
      <c r="J63" s="16" t="s">
        <v>300</v>
      </c>
      <c r="K63" s="16" t="s">
        <v>292</v>
      </c>
    </row>
    <row r="64" spans="1:11" ht="409.5" hidden="1" x14ac:dyDescent="0.25">
      <c r="A64" s="22">
        <v>61</v>
      </c>
      <c r="B64" s="16" t="s">
        <v>301</v>
      </c>
      <c r="C64" s="16" t="s">
        <v>302</v>
      </c>
      <c r="D64" s="16">
        <v>34175000</v>
      </c>
      <c r="E64" s="16">
        <v>4</v>
      </c>
      <c r="F64" s="16">
        <v>4</v>
      </c>
      <c r="G64" s="18" t="s">
        <v>108</v>
      </c>
      <c r="H64" s="16"/>
      <c r="I64" s="16" t="s">
        <v>303</v>
      </c>
      <c r="J64" s="16" t="s">
        <v>304</v>
      </c>
      <c r="K64" s="16" t="s">
        <v>292</v>
      </c>
    </row>
    <row r="65" spans="1:11" ht="315" hidden="1" x14ac:dyDescent="0.25">
      <c r="A65" s="22">
        <v>62</v>
      </c>
      <c r="B65" s="16" t="s">
        <v>305</v>
      </c>
      <c r="C65" s="16" t="s">
        <v>306</v>
      </c>
      <c r="D65" s="16">
        <v>11675000</v>
      </c>
      <c r="E65" s="16">
        <v>4</v>
      </c>
      <c r="F65" s="16">
        <v>4</v>
      </c>
      <c r="G65" s="18" t="s">
        <v>108</v>
      </c>
      <c r="H65" s="16"/>
      <c r="I65" s="16" t="s">
        <v>307</v>
      </c>
      <c r="J65" s="16" t="s">
        <v>308</v>
      </c>
      <c r="K65" s="16" t="s">
        <v>292</v>
      </c>
    </row>
    <row r="66" spans="1:11" ht="180" hidden="1" x14ac:dyDescent="0.25">
      <c r="A66" s="22">
        <v>63</v>
      </c>
      <c r="B66" s="16" t="s">
        <v>309</v>
      </c>
      <c r="C66" s="16" t="s">
        <v>310</v>
      </c>
      <c r="D66" s="16">
        <v>15004000</v>
      </c>
      <c r="E66" s="16">
        <v>4</v>
      </c>
      <c r="F66" s="16">
        <v>4</v>
      </c>
      <c r="G66" s="18" t="s">
        <v>108</v>
      </c>
      <c r="H66" s="16"/>
      <c r="I66" s="16" t="s">
        <v>311</v>
      </c>
      <c r="J66" s="16" t="s">
        <v>312</v>
      </c>
      <c r="K66" s="16" t="s">
        <v>313</v>
      </c>
    </row>
    <row r="67" spans="1:11" ht="375" hidden="1" x14ac:dyDescent="0.25">
      <c r="A67" s="22">
        <v>64</v>
      </c>
      <c r="B67" s="16" t="s">
        <v>314</v>
      </c>
      <c r="C67" s="16" t="s">
        <v>315</v>
      </c>
      <c r="D67" s="16">
        <v>144124000</v>
      </c>
      <c r="E67" s="16">
        <v>4</v>
      </c>
      <c r="F67" s="16">
        <v>4</v>
      </c>
      <c r="G67" s="18" t="s">
        <v>108</v>
      </c>
      <c r="H67" s="16"/>
      <c r="I67" s="16" t="s">
        <v>316</v>
      </c>
      <c r="J67" s="16" t="s">
        <v>317</v>
      </c>
      <c r="K67" s="16" t="s">
        <v>318</v>
      </c>
    </row>
    <row r="68" spans="1:11" ht="210" hidden="1" x14ac:dyDescent="0.25">
      <c r="A68" s="22">
        <v>65</v>
      </c>
      <c r="B68" s="16" t="s">
        <v>319</v>
      </c>
      <c r="C68" s="16" t="s">
        <v>320</v>
      </c>
      <c r="D68" s="16">
        <v>23384000</v>
      </c>
      <c r="E68" s="16">
        <v>4</v>
      </c>
      <c r="F68" s="16">
        <v>4</v>
      </c>
      <c r="G68" s="18" t="s">
        <v>108</v>
      </c>
      <c r="H68" s="16"/>
      <c r="I68" s="16" t="s">
        <v>321</v>
      </c>
      <c r="J68" s="16" t="s">
        <v>322</v>
      </c>
      <c r="K68" s="16" t="s">
        <v>323</v>
      </c>
    </row>
    <row r="69" spans="1:11" ht="240" hidden="1" x14ac:dyDescent="0.25">
      <c r="A69" s="22">
        <v>66</v>
      </c>
      <c r="B69" s="16" t="s">
        <v>324</v>
      </c>
      <c r="C69" s="16" t="s">
        <v>325</v>
      </c>
      <c r="D69" s="16">
        <v>43700000</v>
      </c>
      <c r="E69" s="16">
        <v>4</v>
      </c>
      <c r="F69" s="16">
        <v>5</v>
      </c>
      <c r="G69" s="18" t="s">
        <v>108</v>
      </c>
      <c r="H69" s="16"/>
      <c r="I69" s="16" t="s">
        <v>119</v>
      </c>
      <c r="J69" s="16" t="s">
        <v>120</v>
      </c>
      <c r="K69" s="16" t="s">
        <v>121</v>
      </c>
    </row>
    <row r="70" spans="1:11" ht="210" hidden="1" x14ac:dyDescent="0.25">
      <c r="A70" s="22">
        <v>67</v>
      </c>
      <c r="B70" s="16" t="s">
        <v>326</v>
      </c>
      <c r="C70" s="16" t="s">
        <v>327</v>
      </c>
      <c r="D70" s="16">
        <v>23549000</v>
      </c>
      <c r="E70" s="16">
        <v>4</v>
      </c>
      <c r="F70" s="16">
        <v>4</v>
      </c>
      <c r="G70" s="18" t="s">
        <v>108</v>
      </c>
      <c r="H70" s="16"/>
      <c r="I70" s="16" t="s">
        <v>321</v>
      </c>
      <c r="J70" s="16" t="s">
        <v>322</v>
      </c>
      <c r="K70" s="16" t="s">
        <v>323</v>
      </c>
    </row>
    <row r="71" spans="1:11" ht="300" hidden="1" x14ac:dyDescent="0.25">
      <c r="A71" s="22">
        <v>68</v>
      </c>
      <c r="B71" s="16" t="s">
        <v>328</v>
      </c>
      <c r="C71" s="16" t="s">
        <v>329</v>
      </c>
      <c r="D71" s="16">
        <v>7000000</v>
      </c>
      <c r="E71" s="16">
        <v>4</v>
      </c>
      <c r="F71" s="16">
        <v>5</v>
      </c>
      <c r="G71" s="18" t="s">
        <v>108</v>
      </c>
      <c r="H71" s="16"/>
      <c r="I71" s="16" t="s">
        <v>330</v>
      </c>
      <c r="J71" s="16" t="s">
        <v>331</v>
      </c>
      <c r="K71" s="16" t="s">
        <v>225</v>
      </c>
    </row>
    <row r="72" spans="1:11" ht="409.5" hidden="1" x14ac:dyDescent="0.25">
      <c r="A72" s="22">
        <v>69</v>
      </c>
      <c r="B72" s="16" t="s">
        <v>332</v>
      </c>
      <c r="C72" s="16" t="s">
        <v>333</v>
      </c>
      <c r="D72" s="16">
        <v>7000000</v>
      </c>
      <c r="E72" s="16">
        <v>4</v>
      </c>
      <c r="F72" s="16">
        <v>4</v>
      </c>
      <c r="G72" s="18" t="s">
        <v>108</v>
      </c>
      <c r="H72" s="16"/>
      <c r="I72" s="16" t="s">
        <v>334</v>
      </c>
      <c r="J72" s="16" t="s">
        <v>335</v>
      </c>
      <c r="K72" s="16" t="s">
        <v>336</v>
      </c>
    </row>
    <row r="73" spans="1:11" ht="240" hidden="1" x14ac:dyDescent="0.25">
      <c r="A73" s="22">
        <v>70</v>
      </c>
      <c r="B73" s="16" t="s">
        <v>337</v>
      </c>
      <c r="C73" s="16" t="s">
        <v>338</v>
      </c>
      <c r="D73" s="16">
        <v>8135000</v>
      </c>
      <c r="E73" s="16">
        <v>4</v>
      </c>
      <c r="F73" s="16">
        <v>5</v>
      </c>
      <c r="G73" s="18" t="s">
        <v>108</v>
      </c>
      <c r="H73" s="16"/>
      <c r="I73" s="16" t="s">
        <v>339</v>
      </c>
      <c r="J73" s="16" t="s">
        <v>340</v>
      </c>
      <c r="K73" s="16" t="s">
        <v>341</v>
      </c>
    </row>
    <row r="74" spans="1:11" ht="225" hidden="1" x14ac:dyDescent="0.25">
      <c r="A74" s="22">
        <v>71</v>
      </c>
      <c r="B74" s="16" t="s">
        <v>342</v>
      </c>
      <c r="C74" s="16" t="s">
        <v>343</v>
      </c>
      <c r="D74" s="16">
        <v>49305000</v>
      </c>
      <c r="E74" s="16">
        <v>4</v>
      </c>
      <c r="F74" s="16">
        <v>4</v>
      </c>
      <c r="G74" s="18" t="s">
        <v>108</v>
      </c>
      <c r="H74" s="16"/>
      <c r="I74" s="16" t="s">
        <v>344</v>
      </c>
      <c r="J74" s="16" t="s">
        <v>345</v>
      </c>
      <c r="K74" s="16" t="s">
        <v>346</v>
      </c>
    </row>
    <row r="75" spans="1:11" ht="255" hidden="1" x14ac:dyDescent="0.25">
      <c r="A75" s="22">
        <v>72</v>
      </c>
      <c r="B75" s="16" t="s">
        <v>347</v>
      </c>
      <c r="C75" s="16" t="s">
        <v>348</v>
      </c>
      <c r="D75" s="16">
        <v>48137891</v>
      </c>
      <c r="E75" s="16">
        <v>4</v>
      </c>
      <c r="F75" s="16">
        <v>4</v>
      </c>
      <c r="G75" s="18" t="s">
        <v>108</v>
      </c>
      <c r="H75" s="16"/>
      <c r="I75" s="16" t="s">
        <v>349</v>
      </c>
      <c r="J75" s="16" t="s">
        <v>350</v>
      </c>
      <c r="K75" s="16" t="s">
        <v>351</v>
      </c>
    </row>
    <row r="76" spans="1:11" ht="240" hidden="1" x14ac:dyDescent="0.25">
      <c r="A76" s="22">
        <v>73</v>
      </c>
      <c r="B76" s="16" t="s">
        <v>352</v>
      </c>
      <c r="C76" s="16" t="s">
        <v>353</v>
      </c>
      <c r="D76" s="16">
        <v>39500000</v>
      </c>
      <c r="E76" s="16">
        <v>4</v>
      </c>
      <c r="F76" s="16">
        <v>5</v>
      </c>
      <c r="G76" s="18" t="s">
        <v>108</v>
      </c>
      <c r="H76" s="16"/>
      <c r="I76" s="16" t="s">
        <v>354</v>
      </c>
      <c r="J76" s="16" t="s">
        <v>355</v>
      </c>
      <c r="K76" s="16" t="s">
        <v>356</v>
      </c>
    </row>
    <row r="77" spans="1:11" ht="240" hidden="1" x14ac:dyDescent="0.25">
      <c r="A77" s="22">
        <v>74</v>
      </c>
      <c r="B77" s="16" t="s">
        <v>357</v>
      </c>
      <c r="C77" s="16" t="s">
        <v>358</v>
      </c>
      <c r="D77" s="16">
        <v>48500000</v>
      </c>
      <c r="E77" s="16">
        <v>4</v>
      </c>
      <c r="F77" s="16">
        <v>5</v>
      </c>
      <c r="G77" s="18" t="s">
        <v>108</v>
      </c>
      <c r="H77" s="16"/>
      <c r="I77" s="16" t="s">
        <v>359</v>
      </c>
      <c r="J77" s="16" t="s">
        <v>360</v>
      </c>
      <c r="K77" s="16" t="s">
        <v>361</v>
      </c>
    </row>
    <row r="78" spans="1:11" ht="225" hidden="1" x14ac:dyDescent="0.25">
      <c r="A78" s="22">
        <v>75</v>
      </c>
      <c r="B78" s="16" t="s">
        <v>362</v>
      </c>
      <c r="C78" s="16" t="s">
        <v>363</v>
      </c>
      <c r="D78" s="16">
        <v>93523000</v>
      </c>
      <c r="E78" s="16">
        <v>4</v>
      </c>
      <c r="F78" s="16">
        <v>5</v>
      </c>
      <c r="G78" s="18" t="s">
        <v>108</v>
      </c>
      <c r="H78" s="16"/>
      <c r="I78" s="16" t="s">
        <v>364</v>
      </c>
      <c r="J78" s="16" t="s">
        <v>365</v>
      </c>
      <c r="K78" s="16" t="s">
        <v>366</v>
      </c>
    </row>
    <row r="79" spans="1:11" ht="270" hidden="1" x14ac:dyDescent="0.25">
      <c r="A79" s="22">
        <v>76</v>
      </c>
      <c r="B79" s="16" t="s">
        <v>367</v>
      </c>
      <c r="C79" s="16" t="s">
        <v>368</v>
      </c>
      <c r="D79" s="16">
        <v>36000000</v>
      </c>
      <c r="E79" s="16">
        <v>4</v>
      </c>
      <c r="F79" s="16">
        <v>5</v>
      </c>
      <c r="G79" s="18" t="s">
        <v>108</v>
      </c>
      <c r="H79" s="16"/>
      <c r="I79" s="16" t="s">
        <v>364</v>
      </c>
      <c r="J79" s="16" t="s">
        <v>369</v>
      </c>
      <c r="K79" s="16" t="s">
        <v>370</v>
      </c>
    </row>
    <row r="80" spans="1:11" ht="165" hidden="1" x14ac:dyDescent="0.25">
      <c r="A80" s="22">
        <v>77</v>
      </c>
      <c r="B80" s="16" t="s">
        <v>371</v>
      </c>
      <c r="C80" s="16" t="s">
        <v>372</v>
      </c>
      <c r="D80" s="16">
        <v>37500000</v>
      </c>
      <c r="E80" s="16">
        <v>4</v>
      </c>
      <c r="F80" s="16">
        <v>5</v>
      </c>
      <c r="G80" s="18" t="s">
        <v>108</v>
      </c>
      <c r="H80" s="16"/>
      <c r="I80" s="16" t="s">
        <v>364</v>
      </c>
      <c r="J80" s="16" t="s">
        <v>373</v>
      </c>
      <c r="K80" s="16" t="s">
        <v>374</v>
      </c>
    </row>
    <row r="81" spans="1:11" ht="135" hidden="1" x14ac:dyDescent="0.25">
      <c r="A81" s="22">
        <v>78</v>
      </c>
      <c r="B81" s="16" t="s">
        <v>375</v>
      </c>
      <c r="C81" s="16" t="s">
        <v>376</v>
      </c>
      <c r="D81" s="16">
        <v>351764210</v>
      </c>
      <c r="E81" s="16">
        <v>4</v>
      </c>
      <c r="F81" s="16">
        <v>5</v>
      </c>
      <c r="G81" s="18" t="s">
        <v>108</v>
      </c>
      <c r="H81" s="16"/>
      <c r="I81" s="16" t="s">
        <v>364</v>
      </c>
      <c r="J81" s="16" t="s">
        <v>377</v>
      </c>
      <c r="K81" s="16" t="s">
        <v>374</v>
      </c>
    </row>
    <row r="82" spans="1:11" ht="270" hidden="1" x14ac:dyDescent="0.25">
      <c r="A82" s="22">
        <v>79</v>
      </c>
      <c r="B82" s="16" t="s">
        <v>378</v>
      </c>
      <c r="C82" s="16" t="s">
        <v>379</v>
      </c>
      <c r="D82" s="16">
        <v>50000000</v>
      </c>
      <c r="E82" s="16">
        <v>4</v>
      </c>
      <c r="F82" s="16">
        <v>5</v>
      </c>
      <c r="G82" s="18" t="s">
        <v>108</v>
      </c>
      <c r="H82" s="16"/>
      <c r="I82" s="16" t="s">
        <v>380</v>
      </c>
      <c r="J82" s="16" t="s">
        <v>381</v>
      </c>
      <c r="K82" s="16" t="s">
        <v>382</v>
      </c>
    </row>
    <row r="83" spans="1:11" ht="409.5" hidden="1" x14ac:dyDescent="0.25">
      <c r="A83" s="22">
        <v>80</v>
      </c>
      <c r="B83" s="16" t="s">
        <v>383</v>
      </c>
      <c r="C83" s="16" t="s">
        <v>384</v>
      </c>
      <c r="D83" s="16">
        <v>52500000</v>
      </c>
      <c r="E83" s="16">
        <v>4</v>
      </c>
      <c r="F83" s="16">
        <v>5</v>
      </c>
      <c r="G83" s="18" t="s">
        <v>108</v>
      </c>
      <c r="H83" s="16"/>
      <c r="I83" s="16" t="s">
        <v>385</v>
      </c>
      <c r="J83" s="16" t="s">
        <v>386</v>
      </c>
      <c r="K83" s="16" t="s">
        <v>387</v>
      </c>
    </row>
    <row r="84" spans="1:11" ht="285" hidden="1" x14ac:dyDescent="0.25">
      <c r="A84" s="22">
        <v>81</v>
      </c>
      <c r="B84" s="16" t="s">
        <v>388</v>
      </c>
      <c r="C84" s="16" t="s">
        <v>389</v>
      </c>
      <c r="D84" s="16">
        <v>22665000</v>
      </c>
      <c r="E84" s="16">
        <v>5</v>
      </c>
      <c r="F84" s="16">
        <v>4</v>
      </c>
      <c r="G84" s="18" t="s">
        <v>108</v>
      </c>
      <c r="H84" s="16"/>
      <c r="I84" s="16" t="s">
        <v>390</v>
      </c>
      <c r="J84" s="16" t="s">
        <v>391</v>
      </c>
      <c r="K84" s="16" t="s">
        <v>392</v>
      </c>
    </row>
    <row r="85" spans="1:11" ht="270" hidden="1" x14ac:dyDescent="0.25">
      <c r="A85" s="22">
        <v>82</v>
      </c>
      <c r="B85" s="16" t="s">
        <v>393</v>
      </c>
      <c r="C85" s="16" t="s">
        <v>394</v>
      </c>
      <c r="D85" s="16">
        <v>35950000</v>
      </c>
      <c r="E85" s="16">
        <v>4</v>
      </c>
      <c r="F85" s="16">
        <v>5</v>
      </c>
      <c r="G85" s="18" t="s">
        <v>108</v>
      </c>
      <c r="H85" s="16"/>
      <c r="I85" s="16" t="s">
        <v>395</v>
      </c>
      <c r="J85" s="16" t="s">
        <v>396</v>
      </c>
      <c r="K85" s="16" t="s">
        <v>397</v>
      </c>
    </row>
    <row r="86" spans="1:11" ht="225" hidden="1" x14ac:dyDescent="0.25">
      <c r="A86" s="22">
        <v>83</v>
      </c>
      <c r="B86" s="16" t="s">
        <v>398</v>
      </c>
      <c r="C86" s="16" t="s">
        <v>399</v>
      </c>
      <c r="D86" s="16">
        <v>49500000</v>
      </c>
      <c r="E86" s="16">
        <v>4</v>
      </c>
      <c r="F86" s="16">
        <v>4</v>
      </c>
      <c r="G86" s="18" t="s">
        <v>108</v>
      </c>
      <c r="H86" s="16"/>
      <c r="I86" s="16" t="s">
        <v>400</v>
      </c>
      <c r="J86" s="16" t="s">
        <v>401</v>
      </c>
      <c r="K86" s="16" t="s">
        <v>402</v>
      </c>
    </row>
    <row r="87" spans="1:11" ht="195" hidden="1" x14ac:dyDescent="0.25">
      <c r="A87" s="22">
        <v>84</v>
      </c>
      <c r="B87" s="16" t="s">
        <v>403</v>
      </c>
      <c r="C87" s="16" t="s">
        <v>404</v>
      </c>
      <c r="D87" s="16">
        <v>662704800</v>
      </c>
      <c r="E87" s="16">
        <v>4</v>
      </c>
      <c r="F87" s="16">
        <v>4</v>
      </c>
      <c r="G87" s="18" t="s">
        <v>108</v>
      </c>
      <c r="H87" s="16"/>
      <c r="I87" s="16" t="s">
        <v>405</v>
      </c>
      <c r="J87" s="16" t="s">
        <v>406</v>
      </c>
      <c r="K87" s="16" t="s">
        <v>407</v>
      </c>
    </row>
    <row r="88" spans="1:11" ht="195" hidden="1" x14ac:dyDescent="0.25">
      <c r="A88" s="22">
        <v>85</v>
      </c>
      <c r="B88" s="16" t="s">
        <v>408</v>
      </c>
      <c r="C88" s="16" t="s">
        <v>409</v>
      </c>
      <c r="D88" s="16">
        <v>60875000</v>
      </c>
      <c r="E88" s="16">
        <v>4</v>
      </c>
      <c r="F88" s="16">
        <v>4</v>
      </c>
      <c r="G88" s="18" t="s">
        <v>108</v>
      </c>
      <c r="H88" s="16"/>
      <c r="I88" s="16" t="s">
        <v>405</v>
      </c>
      <c r="J88" s="16" t="s">
        <v>406</v>
      </c>
      <c r="K88" s="16" t="s">
        <v>410</v>
      </c>
    </row>
    <row r="89" spans="1:11" ht="270" hidden="1" x14ac:dyDescent="0.25">
      <c r="A89" s="22">
        <v>86</v>
      </c>
      <c r="B89" s="16" t="s">
        <v>411</v>
      </c>
      <c r="C89" s="16" t="s">
        <v>412</v>
      </c>
      <c r="D89" s="16">
        <v>92418400</v>
      </c>
      <c r="E89" s="16">
        <v>4</v>
      </c>
      <c r="F89" s="16">
        <v>4</v>
      </c>
      <c r="G89" s="18" t="s">
        <v>108</v>
      </c>
      <c r="H89" s="16"/>
      <c r="I89" s="16" t="s">
        <v>405</v>
      </c>
      <c r="J89" s="16" t="s">
        <v>413</v>
      </c>
      <c r="K89" s="16" t="s">
        <v>407</v>
      </c>
    </row>
    <row r="90" spans="1:11" ht="240" hidden="1" x14ac:dyDescent="0.25">
      <c r="A90" s="22">
        <v>87</v>
      </c>
      <c r="B90" s="16" t="s">
        <v>414</v>
      </c>
      <c r="C90" s="16" t="s">
        <v>415</v>
      </c>
      <c r="D90" s="16">
        <v>69345000</v>
      </c>
      <c r="E90" s="16">
        <v>4</v>
      </c>
      <c r="F90" s="16">
        <v>4</v>
      </c>
      <c r="G90" s="18" t="s">
        <v>108</v>
      </c>
      <c r="H90" s="16"/>
      <c r="I90" s="16" t="s">
        <v>416</v>
      </c>
      <c r="J90" s="16" t="s">
        <v>417</v>
      </c>
      <c r="K90" s="16" t="s">
        <v>418</v>
      </c>
    </row>
    <row r="91" spans="1:11" ht="195" hidden="1" x14ac:dyDescent="0.25">
      <c r="A91" s="22">
        <v>88</v>
      </c>
      <c r="B91" s="16" t="s">
        <v>419</v>
      </c>
      <c r="C91" s="16" t="s">
        <v>420</v>
      </c>
      <c r="D91" s="16">
        <v>51335000</v>
      </c>
      <c r="E91" s="16">
        <v>4</v>
      </c>
      <c r="F91" s="16">
        <v>4</v>
      </c>
      <c r="G91" s="18" t="s">
        <v>108</v>
      </c>
      <c r="H91" s="16"/>
      <c r="I91" s="16" t="s">
        <v>421</v>
      </c>
      <c r="J91" s="16" t="s">
        <v>422</v>
      </c>
      <c r="K91" s="16" t="s">
        <v>423</v>
      </c>
    </row>
    <row r="92" spans="1:11" ht="195" hidden="1" x14ac:dyDescent="0.25">
      <c r="A92" s="22">
        <v>89</v>
      </c>
      <c r="B92" s="16" t="s">
        <v>424</v>
      </c>
      <c r="C92" s="16" t="s">
        <v>425</v>
      </c>
      <c r="D92" s="16">
        <v>53455000</v>
      </c>
      <c r="E92" s="16">
        <v>4</v>
      </c>
      <c r="F92" s="16">
        <v>4</v>
      </c>
      <c r="G92" s="18" t="s">
        <v>108</v>
      </c>
      <c r="H92" s="16"/>
      <c r="I92" s="16" t="s">
        <v>426</v>
      </c>
      <c r="J92" s="16" t="s">
        <v>427</v>
      </c>
      <c r="K92" s="16" t="s">
        <v>428</v>
      </c>
    </row>
    <row r="93" spans="1:11" ht="240" hidden="1" x14ac:dyDescent="0.25">
      <c r="A93" s="22">
        <v>90</v>
      </c>
      <c r="B93" s="16" t="s">
        <v>429</v>
      </c>
      <c r="C93" s="16" t="s">
        <v>430</v>
      </c>
      <c r="D93" s="16">
        <v>102863000</v>
      </c>
      <c r="E93" s="16">
        <v>4</v>
      </c>
      <c r="F93" s="16">
        <v>4</v>
      </c>
      <c r="G93" s="18" t="s">
        <v>108</v>
      </c>
      <c r="H93" s="16"/>
      <c r="I93" s="16" t="s">
        <v>431</v>
      </c>
      <c r="J93" s="16" t="s">
        <v>432</v>
      </c>
      <c r="K93" s="16" t="s">
        <v>433</v>
      </c>
    </row>
    <row r="94" spans="1:11" ht="195" hidden="1" x14ac:dyDescent="0.25">
      <c r="A94" s="22">
        <v>91</v>
      </c>
      <c r="B94" s="16" t="s">
        <v>434</v>
      </c>
      <c r="C94" s="16" t="s">
        <v>435</v>
      </c>
      <c r="D94" s="16">
        <v>131494000</v>
      </c>
      <c r="E94" s="16">
        <v>4</v>
      </c>
      <c r="F94" s="16">
        <v>4</v>
      </c>
      <c r="G94" s="18" t="s">
        <v>108</v>
      </c>
      <c r="H94" s="16"/>
      <c r="I94" s="16" t="s">
        <v>421</v>
      </c>
      <c r="J94" s="16" t="s">
        <v>436</v>
      </c>
      <c r="K94" s="16" t="s">
        <v>437</v>
      </c>
    </row>
    <row r="95" spans="1:11" ht="210" hidden="1" x14ac:dyDescent="0.25">
      <c r="A95" s="22">
        <v>92</v>
      </c>
      <c r="B95" s="16" t="s">
        <v>438</v>
      </c>
      <c r="C95" s="16" t="s">
        <v>439</v>
      </c>
      <c r="D95" s="16">
        <v>24615000</v>
      </c>
      <c r="E95" s="16">
        <v>4</v>
      </c>
      <c r="F95" s="16">
        <v>4</v>
      </c>
      <c r="G95" s="18" t="s">
        <v>108</v>
      </c>
      <c r="H95" s="16"/>
      <c r="I95" s="16" t="s">
        <v>440</v>
      </c>
      <c r="J95" s="16" t="s">
        <v>441</v>
      </c>
      <c r="K95" s="16" t="s">
        <v>442</v>
      </c>
    </row>
    <row r="96" spans="1:11" ht="210" hidden="1" x14ac:dyDescent="0.25">
      <c r="A96" s="22">
        <v>93</v>
      </c>
      <c r="B96" s="16" t="s">
        <v>443</v>
      </c>
      <c r="C96" s="16" t="s">
        <v>444</v>
      </c>
      <c r="D96" s="16">
        <v>65550000</v>
      </c>
      <c r="E96" s="16">
        <v>4</v>
      </c>
      <c r="F96" s="16">
        <v>4</v>
      </c>
      <c r="G96" s="18" t="s">
        <v>108</v>
      </c>
      <c r="H96" s="16"/>
      <c r="I96" s="16" t="s">
        <v>445</v>
      </c>
      <c r="J96" s="16" t="s">
        <v>446</v>
      </c>
      <c r="K96" s="16" t="s">
        <v>447</v>
      </c>
    </row>
    <row r="97" spans="1:11" ht="195" hidden="1" x14ac:dyDescent="0.25">
      <c r="A97" s="22">
        <v>94</v>
      </c>
      <c r="B97" s="16" t="s">
        <v>448</v>
      </c>
      <c r="C97" s="16" t="s">
        <v>449</v>
      </c>
      <c r="D97" s="16">
        <v>51475000</v>
      </c>
      <c r="E97" s="16">
        <v>4</v>
      </c>
      <c r="F97" s="16">
        <v>4</v>
      </c>
      <c r="G97" s="18" t="s">
        <v>108</v>
      </c>
      <c r="H97" s="16"/>
      <c r="I97" s="16" t="s">
        <v>450</v>
      </c>
      <c r="J97" s="16" t="s">
        <v>451</v>
      </c>
      <c r="K97" s="16" t="s">
        <v>452</v>
      </c>
    </row>
    <row r="98" spans="1:11" ht="210" hidden="1" x14ac:dyDescent="0.25">
      <c r="A98" s="22">
        <v>95</v>
      </c>
      <c r="B98" s="16" t="s">
        <v>453</v>
      </c>
      <c r="C98" s="16" t="s">
        <v>454</v>
      </c>
      <c r="D98" s="16">
        <v>3195000</v>
      </c>
      <c r="E98" s="16">
        <v>4</v>
      </c>
      <c r="F98" s="16">
        <v>4</v>
      </c>
      <c r="G98" s="18" t="s">
        <v>108</v>
      </c>
      <c r="H98" s="16"/>
      <c r="I98" s="16" t="s">
        <v>455</v>
      </c>
      <c r="J98" s="16" t="s">
        <v>456</v>
      </c>
      <c r="K98" s="16" t="s">
        <v>457</v>
      </c>
    </row>
    <row r="99" spans="1:11" ht="210" hidden="1" x14ac:dyDescent="0.25">
      <c r="A99" s="22">
        <v>96</v>
      </c>
      <c r="B99" s="16" t="s">
        <v>458</v>
      </c>
      <c r="C99" s="16" t="s">
        <v>459</v>
      </c>
      <c r="D99" s="16">
        <v>143016000</v>
      </c>
      <c r="E99" s="16">
        <v>4</v>
      </c>
      <c r="F99" s="16">
        <v>4</v>
      </c>
      <c r="G99" s="18" t="s">
        <v>108</v>
      </c>
      <c r="H99" s="16"/>
      <c r="I99" s="16" t="s">
        <v>460</v>
      </c>
      <c r="J99" s="16" t="s">
        <v>461</v>
      </c>
      <c r="K99" s="16" t="s">
        <v>457</v>
      </c>
    </row>
    <row r="100" spans="1:11" ht="195" hidden="1" x14ac:dyDescent="0.25">
      <c r="A100" s="22">
        <v>97</v>
      </c>
      <c r="B100" s="16" t="s">
        <v>462</v>
      </c>
      <c r="C100" s="16" t="s">
        <v>463</v>
      </c>
      <c r="D100" s="16">
        <v>22593000</v>
      </c>
      <c r="E100" s="16">
        <v>4</v>
      </c>
      <c r="F100" s="16">
        <v>4</v>
      </c>
      <c r="G100" s="18" t="s">
        <v>108</v>
      </c>
      <c r="H100" s="16"/>
      <c r="I100" s="16" t="s">
        <v>464</v>
      </c>
      <c r="J100" s="16" t="s">
        <v>465</v>
      </c>
      <c r="K100" s="16" t="s">
        <v>466</v>
      </c>
    </row>
    <row r="101" spans="1:11" ht="165" hidden="1" x14ac:dyDescent="0.25">
      <c r="A101" s="22">
        <v>98</v>
      </c>
      <c r="B101" s="16" t="s">
        <v>467</v>
      </c>
      <c r="C101" s="16" t="s">
        <v>468</v>
      </c>
      <c r="D101" s="16">
        <v>15705000</v>
      </c>
      <c r="E101" s="16">
        <v>4</v>
      </c>
      <c r="F101" s="16">
        <v>4</v>
      </c>
      <c r="G101" s="18" t="s">
        <v>108</v>
      </c>
      <c r="H101" s="16"/>
      <c r="I101" s="16" t="s">
        <v>416</v>
      </c>
      <c r="J101" s="16" t="s">
        <v>469</v>
      </c>
      <c r="K101" s="16" t="s">
        <v>470</v>
      </c>
    </row>
    <row r="102" spans="1:11" ht="225" hidden="1" x14ac:dyDescent="0.25">
      <c r="A102" s="22">
        <v>99</v>
      </c>
      <c r="B102" s="16" t="s">
        <v>471</v>
      </c>
      <c r="C102" s="16" t="s">
        <v>472</v>
      </c>
      <c r="D102" s="16">
        <v>57605000</v>
      </c>
      <c r="E102" s="16">
        <v>4</v>
      </c>
      <c r="F102" s="16">
        <v>4</v>
      </c>
      <c r="G102" s="18" t="s">
        <v>108</v>
      </c>
      <c r="H102" s="16"/>
      <c r="I102" s="16" t="s">
        <v>473</v>
      </c>
      <c r="J102" s="16" t="s">
        <v>474</v>
      </c>
      <c r="K102" s="16" t="s">
        <v>475</v>
      </c>
    </row>
    <row r="103" spans="1:11" ht="225" hidden="1" x14ac:dyDescent="0.25">
      <c r="A103" s="22">
        <v>100</v>
      </c>
      <c r="B103" s="16" t="s">
        <v>476</v>
      </c>
      <c r="C103" s="16" t="s">
        <v>477</v>
      </c>
      <c r="D103" s="16">
        <v>19875000</v>
      </c>
      <c r="E103" s="16">
        <v>4</v>
      </c>
      <c r="F103" s="16">
        <v>4</v>
      </c>
      <c r="G103" s="18" t="s">
        <v>108</v>
      </c>
      <c r="H103" s="16"/>
      <c r="I103" s="16" t="s">
        <v>478</v>
      </c>
      <c r="J103" s="16" t="s">
        <v>479</v>
      </c>
      <c r="K103" s="16" t="s">
        <v>480</v>
      </c>
    </row>
    <row r="104" spans="1:11" ht="195" hidden="1" x14ac:dyDescent="0.25">
      <c r="A104" s="22">
        <v>101</v>
      </c>
      <c r="B104" s="16" t="s">
        <v>481</v>
      </c>
      <c r="C104" s="16" t="s">
        <v>482</v>
      </c>
      <c r="D104" s="16">
        <v>19175000</v>
      </c>
      <c r="E104" s="16">
        <v>4</v>
      </c>
      <c r="F104" s="16">
        <v>4</v>
      </c>
      <c r="G104" s="18" t="s">
        <v>108</v>
      </c>
      <c r="H104" s="16"/>
      <c r="I104" s="16" t="s">
        <v>426</v>
      </c>
      <c r="J104" s="16" t="s">
        <v>483</v>
      </c>
      <c r="K104" s="16" t="s">
        <v>484</v>
      </c>
    </row>
    <row r="105" spans="1:11" ht="240" hidden="1" x14ac:dyDescent="0.25">
      <c r="A105" s="22">
        <v>102</v>
      </c>
      <c r="B105" s="16" t="s">
        <v>485</v>
      </c>
      <c r="C105" s="16" t="s">
        <v>486</v>
      </c>
      <c r="D105" s="16">
        <v>33261000</v>
      </c>
      <c r="E105" s="16">
        <v>4</v>
      </c>
      <c r="F105" s="16">
        <v>4</v>
      </c>
      <c r="G105" s="18" t="s">
        <v>108</v>
      </c>
      <c r="H105" s="16"/>
      <c r="I105" s="16" t="s">
        <v>487</v>
      </c>
      <c r="J105" s="16" t="s">
        <v>488</v>
      </c>
      <c r="K105" s="16" t="s">
        <v>489</v>
      </c>
    </row>
    <row r="106" spans="1:11" ht="270" hidden="1" x14ac:dyDescent="0.25">
      <c r="A106" s="22">
        <v>103</v>
      </c>
      <c r="B106" s="16" t="s">
        <v>490</v>
      </c>
      <c r="C106" s="16" t="s">
        <v>491</v>
      </c>
      <c r="D106" s="16">
        <v>56783000</v>
      </c>
      <c r="E106" s="16">
        <v>4</v>
      </c>
      <c r="F106" s="16">
        <v>5</v>
      </c>
      <c r="G106" s="18" t="s">
        <v>108</v>
      </c>
      <c r="H106" s="16"/>
      <c r="I106" s="16" t="s">
        <v>492</v>
      </c>
      <c r="J106" s="16" t="s">
        <v>493</v>
      </c>
      <c r="K106" s="16" t="s">
        <v>494</v>
      </c>
    </row>
    <row r="107" spans="1:11" ht="195" hidden="1" x14ac:dyDescent="0.25">
      <c r="A107" s="22">
        <v>104</v>
      </c>
      <c r="B107" s="16" t="s">
        <v>495</v>
      </c>
      <c r="C107" s="16" t="s">
        <v>496</v>
      </c>
      <c r="D107" s="16">
        <v>11775000</v>
      </c>
      <c r="E107" s="16">
        <v>4</v>
      </c>
      <c r="F107" s="16">
        <v>4</v>
      </c>
      <c r="G107" s="18" t="s">
        <v>108</v>
      </c>
      <c r="H107" s="16"/>
      <c r="I107" s="16" t="s">
        <v>497</v>
      </c>
      <c r="J107" s="16" t="s">
        <v>498</v>
      </c>
      <c r="K107" s="16" t="s">
        <v>499</v>
      </c>
    </row>
    <row r="108" spans="1:11" ht="180" hidden="1" x14ac:dyDescent="0.25">
      <c r="A108" s="22">
        <v>105</v>
      </c>
      <c r="B108" s="16" t="s">
        <v>500</v>
      </c>
      <c r="C108" s="16" t="s">
        <v>501</v>
      </c>
      <c r="D108" s="16">
        <v>52930000</v>
      </c>
      <c r="E108" s="16">
        <v>4</v>
      </c>
      <c r="F108" s="16">
        <v>4</v>
      </c>
      <c r="G108" s="18" t="s">
        <v>108</v>
      </c>
      <c r="H108" s="16"/>
      <c r="I108" s="16" t="s">
        <v>502</v>
      </c>
      <c r="J108" s="16" t="s">
        <v>503</v>
      </c>
      <c r="K108" s="16" t="s">
        <v>504</v>
      </c>
    </row>
    <row r="109" spans="1:11" ht="240" hidden="1" x14ac:dyDescent="0.25">
      <c r="A109" s="22">
        <v>106</v>
      </c>
      <c r="B109" s="16" t="s">
        <v>505</v>
      </c>
      <c r="C109" s="16" t="s">
        <v>506</v>
      </c>
      <c r="D109" s="16">
        <v>10400000</v>
      </c>
      <c r="E109" s="16">
        <v>4</v>
      </c>
      <c r="F109" s="16">
        <v>4</v>
      </c>
      <c r="G109" s="18" t="s">
        <v>108</v>
      </c>
      <c r="H109" s="16"/>
      <c r="I109" s="16" t="s">
        <v>507</v>
      </c>
      <c r="J109" s="16" t="s">
        <v>508</v>
      </c>
      <c r="K109" s="16" t="s">
        <v>509</v>
      </c>
    </row>
    <row r="110" spans="1:11" ht="210" hidden="1" x14ac:dyDescent="0.25">
      <c r="A110" s="22">
        <v>107</v>
      </c>
      <c r="B110" s="16" t="s">
        <v>510</v>
      </c>
      <c r="C110" s="16" t="s">
        <v>511</v>
      </c>
      <c r="D110" s="16">
        <v>18123000</v>
      </c>
      <c r="E110" s="16">
        <v>4</v>
      </c>
      <c r="F110" s="16">
        <v>4</v>
      </c>
      <c r="G110" s="18" t="s">
        <v>108</v>
      </c>
      <c r="H110" s="16"/>
      <c r="I110" s="16" t="s">
        <v>512</v>
      </c>
      <c r="J110" s="16" t="s">
        <v>513</v>
      </c>
      <c r="K110" s="16" t="s">
        <v>514</v>
      </c>
    </row>
    <row r="111" spans="1:11" ht="255" hidden="1" x14ac:dyDescent="0.25">
      <c r="A111" s="22">
        <v>108</v>
      </c>
      <c r="B111" s="16" t="s">
        <v>515</v>
      </c>
      <c r="C111" s="16" t="s">
        <v>516</v>
      </c>
      <c r="D111" s="16">
        <v>15080000</v>
      </c>
      <c r="E111" s="16">
        <v>4</v>
      </c>
      <c r="F111" s="16">
        <v>4</v>
      </c>
      <c r="G111" s="18" t="s">
        <v>108</v>
      </c>
      <c r="H111" s="16"/>
      <c r="I111" s="16" t="s">
        <v>517</v>
      </c>
      <c r="J111" s="16" t="s">
        <v>518</v>
      </c>
      <c r="K111" s="16" t="s">
        <v>519</v>
      </c>
    </row>
    <row r="112" spans="1:11" ht="300" hidden="1" x14ac:dyDescent="0.25">
      <c r="A112" s="22">
        <v>109</v>
      </c>
      <c r="B112" s="16" t="s">
        <v>520</v>
      </c>
      <c r="C112" s="16" t="s">
        <v>521</v>
      </c>
      <c r="D112" s="16">
        <v>112605000</v>
      </c>
      <c r="E112" s="16">
        <v>5</v>
      </c>
      <c r="F112" s="16">
        <v>4</v>
      </c>
      <c r="G112" s="18" t="s">
        <v>108</v>
      </c>
      <c r="H112" s="16"/>
      <c r="I112" s="16" t="s">
        <v>522</v>
      </c>
      <c r="J112" s="16" t="s">
        <v>523</v>
      </c>
      <c r="K112" s="16" t="s">
        <v>524</v>
      </c>
    </row>
    <row r="113" spans="1:11" ht="195" hidden="1" x14ac:dyDescent="0.25">
      <c r="A113" s="22">
        <v>110</v>
      </c>
      <c r="B113" s="16" t="s">
        <v>525</v>
      </c>
      <c r="C113" s="16" t="s">
        <v>526</v>
      </c>
      <c r="D113" s="16">
        <v>73905000</v>
      </c>
      <c r="E113" s="16">
        <v>4</v>
      </c>
      <c r="F113" s="16">
        <v>4</v>
      </c>
      <c r="G113" s="18" t="s">
        <v>108</v>
      </c>
      <c r="H113" s="16"/>
      <c r="I113" s="16" t="s">
        <v>527</v>
      </c>
      <c r="J113" s="16" t="s">
        <v>528</v>
      </c>
      <c r="K113" s="16" t="s">
        <v>529</v>
      </c>
    </row>
    <row r="114" spans="1:11" ht="330" hidden="1" x14ac:dyDescent="0.25">
      <c r="A114" s="22">
        <v>111</v>
      </c>
      <c r="B114" s="16" t="s">
        <v>530</v>
      </c>
      <c r="C114" s="16" t="s">
        <v>531</v>
      </c>
      <c r="D114" s="16">
        <v>115770000</v>
      </c>
      <c r="E114" s="16">
        <v>5</v>
      </c>
      <c r="F114" s="16">
        <v>4</v>
      </c>
      <c r="G114" s="18" t="s">
        <v>108</v>
      </c>
      <c r="H114" s="16"/>
      <c r="I114" s="16" t="s">
        <v>532</v>
      </c>
      <c r="J114" s="16" t="s">
        <v>533</v>
      </c>
      <c r="K114" s="16" t="s">
        <v>534</v>
      </c>
    </row>
    <row r="115" spans="1:11" ht="330" hidden="1" x14ac:dyDescent="0.25">
      <c r="A115" s="22">
        <v>112</v>
      </c>
      <c r="B115" s="16" t="s">
        <v>535</v>
      </c>
      <c r="C115" s="16" t="s">
        <v>536</v>
      </c>
      <c r="D115" s="16">
        <v>2530154350</v>
      </c>
      <c r="E115" s="16">
        <v>4</v>
      </c>
      <c r="F115" s="16">
        <v>5</v>
      </c>
      <c r="G115" s="18" t="s">
        <v>108</v>
      </c>
      <c r="H115" s="16"/>
      <c r="I115" s="16" t="s">
        <v>85</v>
      </c>
      <c r="J115" s="16" t="s">
        <v>537</v>
      </c>
      <c r="K115" s="16" t="s">
        <v>538</v>
      </c>
    </row>
    <row r="116" spans="1:11" ht="390" hidden="1" x14ac:dyDescent="0.25">
      <c r="A116" s="22">
        <v>113</v>
      </c>
      <c r="B116" s="16" t="s">
        <v>539</v>
      </c>
      <c r="C116" s="16" t="s">
        <v>540</v>
      </c>
      <c r="D116" s="16">
        <v>29150000</v>
      </c>
      <c r="E116" s="16">
        <v>5</v>
      </c>
      <c r="F116" s="16">
        <v>4</v>
      </c>
      <c r="G116" s="18" t="s">
        <v>108</v>
      </c>
      <c r="H116" s="16"/>
      <c r="I116" s="16" t="s">
        <v>541</v>
      </c>
      <c r="J116" s="16" t="s">
        <v>542</v>
      </c>
      <c r="K116" s="16" t="s">
        <v>543</v>
      </c>
    </row>
    <row r="117" spans="1:11" ht="300" hidden="1" x14ac:dyDescent="0.25">
      <c r="A117" s="22">
        <v>114</v>
      </c>
      <c r="B117" s="16" t="s">
        <v>544</v>
      </c>
      <c r="C117" s="16" t="s">
        <v>545</v>
      </c>
      <c r="D117" s="16">
        <v>32625000</v>
      </c>
      <c r="E117" s="16">
        <v>5</v>
      </c>
      <c r="F117" s="16">
        <v>4</v>
      </c>
      <c r="G117" s="18" t="s">
        <v>108</v>
      </c>
      <c r="H117" s="16"/>
      <c r="I117" s="16" t="s">
        <v>546</v>
      </c>
      <c r="J117" s="16" t="s">
        <v>547</v>
      </c>
      <c r="K117" s="16" t="s">
        <v>548</v>
      </c>
    </row>
    <row r="118" spans="1:11" ht="360" hidden="1" x14ac:dyDescent="0.25">
      <c r="A118" s="22">
        <v>115</v>
      </c>
      <c r="B118" s="16" t="s">
        <v>549</v>
      </c>
      <c r="C118" s="16" t="s">
        <v>550</v>
      </c>
      <c r="D118" s="16">
        <v>325015100</v>
      </c>
      <c r="E118" s="16">
        <v>5</v>
      </c>
      <c r="F118" s="16">
        <v>4</v>
      </c>
      <c r="G118" s="18" t="s">
        <v>108</v>
      </c>
      <c r="H118" s="16"/>
      <c r="I118" s="16" t="s">
        <v>551</v>
      </c>
      <c r="J118" s="16" t="s">
        <v>552</v>
      </c>
      <c r="K118" s="16" t="s">
        <v>553</v>
      </c>
    </row>
    <row r="119" spans="1:11" ht="225" hidden="1" x14ac:dyDescent="0.25">
      <c r="A119" s="22">
        <v>116</v>
      </c>
      <c r="B119" s="16" t="s">
        <v>554</v>
      </c>
      <c r="C119" s="16" t="s">
        <v>555</v>
      </c>
      <c r="D119" s="16">
        <v>25475000</v>
      </c>
      <c r="E119" s="16">
        <v>5</v>
      </c>
      <c r="F119" s="16">
        <v>4</v>
      </c>
      <c r="G119" s="18" t="s">
        <v>108</v>
      </c>
      <c r="H119" s="16"/>
      <c r="I119" s="16" t="s">
        <v>556</v>
      </c>
      <c r="J119" s="16" t="s">
        <v>557</v>
      </c>
      <c r="K119" s="16" t="s">
        <v>558</v>
      </c>
    </row>
    <row r="120" spans="1:11" ht="225" hidden="1" x14ac:dyDescent="0.25">
      <c r="A120" s="22">
        <v>117</v>
      </c>
      <c r="B120" s="16" t="s">
        <v>559</v>
      </c>
      <c r="C120" s="16" t="s">
        <v>560</v>
      </c>
      <c r="D120" s="16">
        <v>281092900</v>
      </c>
      <c r="E120" s="16">
        <v>5</v>
      </c>
      <c r="F120" s="16">
        <v>4</v>
      </c>
      <c r="G120" s="18" t="s">
        <v>108</v>
      </c>
      <c r="H120" s="16"/>
      <c r="I120" s="16" t="s">
        <v>561</v>
      </c>
      <c r="J120" s="16" t="s">
        <v>562</v>
      </c>
      <c r="K120" s="16" t="s">
        <v>563</v>
      </c>
    </row>
    <row r="121" spans="1:11" ht="330" hidden="1" x14ac:dyDescent="0.25">
      <c r="A121" s="22">
        <v>118</v>
      </c>
      <c r="B121" s="16" t="s">
        <v>564</v>
      </c>
      <c r="C121" s="16" t="s">
        <v>565</v>
      </c>
      <c r="D121" s="16">
        <v>112580000</v>
      </c>
      <c r="E121" s="16">
        <v>5</v>
      </c>
      <c r="F121" s="16">
        <v>4</v>
      </c>
      <c r="G121" s="18" t="s">
        <v>108</v>
      </c>
      <c r="H121" s="16"/>
      <c r="I121" s="16" t="s">
        <v>566</v>
      </c>
      <c r="J121" s="16" t="s">
        <v>567</v>
      </c>
      <c r="K121" s="16" t="s">
        <v>568</v>
      </c>
    </row>
    <row r="122" spans="1:11" ht="285" hidden="1" x14ac:dyDescent="0.25">
      <c r="A122" s="22">
        <v>119</v>
      </c>
      <c r="B122" s="16" t="s">
        <v>569</v>
      </c>
      <c r="C122" s="16" t="s">
        <v>570</v>
      </c>
      <c r="D122" s="16">
        <v>23755000</v>
      </c>
      <c r="E122" s="16">
        <v>4</v>
      </c>
      <c r="F122" s="16">
        <v>4</v>
      </c>
      <c r="G122" s="18" t="s">
        <v>108</v>
      </c>
      <c r="H122" s="16"/>
      <c r="I122" s="16" t="s">
        <v>571</v>
      </c>
      <c r="J122" s="16" t="s">
        <v>572</v>
      </c>
      <c r="K122" s="16" t="s">
        <v>573</v>
      </c>
    </row>
    <row r="123" spans="1:11" ht="255" hidden="1" x14ac:dyDescent="0.25">
      <c r="A123" s="22">
        <v>120</v>
      </c>
      <c r="B123" s="16" t="s">
        <v>574</v>
      </c>
      <c r="C123" s="16" t="s">
        <v>575</v>
      </c>
      <c r="D123" s="16">
        <v>107958000</v>
      </c>
      <c r="E123" s="16">
        <v>5</v>
      </c>
      <c r="F123" s="16">
        <v>4</v>
      </c>
      <c r="G123" s="18" t="s">
        <v>108</v>
      </c>
      <c r="H123" s="16"/>
      <c r="I123" s="16" t="s">
        <v>576</v>
      </c>
      <c r="J123" s="16" t="s">
        <v>577</v>
      </c>
      <c r="K123" s="16" t="s">
        <v>578</v>
      </c>
    </row>
    <row r="124" spans="1:11" ht="270" hidden="1" x14ac:dyDescent="0.25">
      <c r="A124" s="22">
        <v>121</v>
      </c>
      <c r="B124" s="16" t="s">
        <v>579</v>
      </c>
      <c r="C124" s="16" t="s">
        <v>580</v>
      </c>
      <c r="D124" s="16">
        <v>125319000</v>
      </c>
      <c r="E124" s="16">
        <v>4</v>
      </c>
      <c r="F124" s="16">
        <v>4</v>
      </c>
      <c r="G124" s="18" t="s">
        <v>108</v>
      </c>
      <c r="H124" s="16"/>
      <c r="I124" s="16" t="s">
        <v>581</v>
      </c>
      <c r="J124" s="16" t="s">
        <v>582</v>
      </c>
      <c r="K124" s="16" t="s">
        <v>583</v>
      </c>
    </row>
    <row r="125" spans="1:11" ht="285" hidden="1" x14ac:dyDescent="0.25">
      <c r="A125" s="22">
        <v>122</v>
      </c>
      <c r="B125" s="16" t="s">
        <v>584</v>
      </c>
      <c r="C125" s="16" t="s">
        <v>585</v>
      </c>
      <c r="D125" s="16">
        <v>77910000</v>
      </c>
      <c r="E125" s="16">
        <v>4</v>
      </c>
      <c r="F125" s="16">
        <v>4</v>
      </c>
      <c r="G125" s="18" t="s">
        <v>108</v>
      </c>
      <c r="H125" s="16"/>
      <c r="I125" s="16" t="s">
        <v>581</v>
      </c>
      <c r="J125" s="16" t="s">
        <v>586</v>
      </c>
      <c r="K125" s="16" t="s">
        <v>583</v>
      </c>
    </row>
    <row r="126" spans="1:11" ht="270" hidden="1" x14ac:dyDescent="0.25">
      <c r="A126" s="22">
        <v>123</v>
      </c>
      <c r="B126" s="16" t="s">
        <v>587</v>
      </c>
      <c r="C126" s="16" t="s">
        <v>588</v>
      </c>
      <c r="D126" s="16">
        <v>13200000</v>
      </c>
      <c r="E126" s="16">
        <v>4</v>
      </c>
      <c r="F126" s="16">
        <v>4</v>
      </c>
      <c r="G126" s="18" t="s">
        <v>108</v>
      </c>
      <c r="H126" s="16"/>
      <c r="I126" s="16" t="s">
        <v>589</v>
      </c>
      <c r="J126" s="16" t="s">
        <v>590</v>
      </c>
      <c r="K126" s="16" t="s">
        <v>591</v>
      </c>
    </row>
    <row r="127" spans="1:11" ht="165" hidden="1" x14ac:dyDescent="0.25">
      <c r="A127" s="22">
        <v>124</v>
      </c>
      <c r="B127" s="16" t="s">
        <v>592</v>
      </c>
      <c r="C127" s="16" t="s">
        <v>593</v>
      </c>
      <c r="D127" s="16">
        <v>367466000</v>
      </c>
      <c r="E127" s="16">
        <v>4</v>
      </c>
      <c r="F127" s="16">
        <v>5</v>
      </c>
      <c r="G127" s="18" t="s">
        <v>108</v>
      </c>
      <c r="H127" s="16"/>
      <c r="I127" s="16" t="s">
        <v>594</v>
      </c>
      <c r="J127" s="16" t="s">
        <v>595</v>
      </c>
      <c r="K127" s="16" t="s">
        <v>596</v>
      </c>
    </row>
    <row r="128" spans="1:11" ht="330" hidden="1" x14ac:dyDescent="0.25">
      <c r="A128" s="22">
        <v>125</v>
      </c>
      <c r="B128" s="16" t="s">
        <v>597</v>
      </c>
      <c r="C128" s="16" t="s">
        <v>598</v>
      </c>
      <c r="D128" s="16">
        <v>78036000</v>
      </c>
      <c r="E128" s="16">
        <v>4</v>
      </c>
      <c r="F128" s="16">
        <v>5</v>
      </c>
      <c r="G128" s="18" t="s">
        <v>108</v>
      </c>
      <c r="H128" s="16"/>
      <c r="I128" s="16" t="s">
        <v>599</v>
      </c>
      <c r="J128" s="16" t="s">
        <v>600</v>
      </c>
      <c r="K128" s="16" t="s">
        <v>601</v>
      </c>
    </row>
    <row r="129" spans="1:11" ht="345" hidden="1" x14ac:dyDescent="0.25">
      <c r="A129" s="22">
        <v>126</v>
      </c>
      <c r="B129" s="16" t="s">
        <v>602</v>
      </c>
      <c r="C129" s="16" t="s">
        <v>603</v>
      </c>
      <c r="D129" s="16">
        <v>297360100</v>
      </c>
      <c r="E129" s="16">
        <v>4</v>
      </c>
      <c r="F129" s="16">
        <v>5</v>
      </c>
      <c r="G129" s="18" t="s">
        <v>108</v>
      </c>
      <c r="H129" s="16"/>
      <c r="I129" s="16" t="s">
        <v>604</v>
      </c>
      <c r="J129" s="16" t="s">
        <v>605</v>
      </c>
      <c r="K129" s="16" t="s">
        <v>606</v>
      </c>
    </row>
    <row r="130" spans="1:11" ht="360" hidden="1" x14ac:dyDescent="0.25">
      <c r="A130" s="22">
        <v>127</v>
      </c>
      <c r="B130" s="16" t="s">
        <v>607</v>
      </c>
      <c r="C130" s="16" t="s">
        <v>608</v>
      </c>
      <c r="D130" s="16">
        <v>191280000</v>
      </c>
      <c r="E130" s="16">
        <v>4</v>
      </c>
      <c r="F130" s="16">
        <v>5</v>
      </c>
      <c r="G130" s="18" t="s">
        <v>108</v>
      </c>
      <c r="H130" s="16"/>
      <c r="I130" s="16" t="s">
        <v>609</v>
      </c>
      <c r="J130" s="16" t="s">
        <v>610</v>
      </c>
      <c r="K130" s="16" t="s">
        <v>611</v>
      </c>
    </row>
    <row r="131" spans="1:11" ht="345" hidden="1" x14ac:dyDescent="0.25">
      <c r="A131" s="22">
        <v>128</v>
      </c>
      <c r="B131" s="16" t="s">
        <v>612</v>
      </c>
      <c r="C131" s="16" t="s">
        <v>613</v>
      </c>
      <c r="D131" s="16">
        <v>20304400</v>
      </c>
      <c r="E131" s="16">
        <v>4</v>
      </c>
      <c r="F131" s="16">
        <v>5</v>
      </c>
      <c r="G131" s="18" t="s">
        <v>108</v>
      </c>
      <c r="H131" s="16"/>
      <c r="I131" s="16" t="s">
        <v>614</v>
      </c>
      <c r="J131" s="16" t="s">
        <v>615</v>
      </c>
      <c r="K131" s="16" t="s">
        <v>616</v>
      </c>
    </row>
    <row r="132" spans="1:11" ht="409.5" hidden="1" x14ac:dyDescent="0.25">
      <c r="A132" s="22">
        <v>129</v>
      </c>
      <c r="B132" s="16" t="s">
        <v>617</v>
      </c>
      <c r="C132" s="16" t="s">
        <v>618</v>
      </c>
      <c r="D132" s="16">
        <v>10508000</v>
      </c>
      <c r="E132" s="16">
        <v>4</v>
      </c>
      <c r="F132" s="16">
        <v>5</v>
      </c>
      <c r="G132" s="18" t="s">
        <v>108</v>
      </c>
      <c r="H132" s="16"/>
      <c r="I132" s="16" t="s">
        <v>619</v>
      </c>
      <c r="J132" s="16" t="s">
        <v>620</v>
      </c>
      <c r="K132" s="16" t="s">
        <v>621</v>
      </c>
    </row>
    <row r="133" spans="1:11" ht="390" hidden="1" x14ac:dyDescent="0.25">
      <c r="A133" s="22">
        <v>130</v>
      </c>
      <c r="B133" s="16" t="s">
        <v>622</v>
      </c>
      <c r="C133" s="16" t="s">
        <v>623</v>
      </c>
      <c r="D133" s="16">
        <v>9381000</v>
      </c>
      <c r="E133" s="16">
        <v>4</v>
      </c>
      <c r="F133" s="16">
        <v>4</v>
      </c>
      <c r="G133" s="18" t="s">
        <v>108</v>
      </c>
      <c r="H133" s="16"/>
      <c r="I133" s="16" t="s">
        <v>624</v>
      </c>
      <c r="J133" s="16" t="s">
        <v>625</v>
      </c>
      <c r="K133" s="16" t="s">
        <v>626</v>
      </c>
    </row>
    <row r="134" spans="1:11" ht="409.5" hidden="1" x14ac:dyDescent="0.25">
      <c r="A134" s="22">
        <v>131</v>
      </c>
      <c r="B134" s="16" t="s">
        <v>627</v>
      </c>
      <c r="C134" s="16" t="s">
        <v>628</v>
      </c>
      <c r="D134" s="16">
        <v>7311000</v>
      </c>
      <c r="E134" s="16">
        <v>4</v>
      </c>
      <c r="F134" s="16">
        <v>4</v>
      </c>
      <c r="G134" s="18" t="s">
        <v>108</v>
      </c>
      <c r="H134" s="16"/>
      <c r="I134" s="16" t="s">
        <v>629</v>
      </c>
      <c r="J134" s="16" t="s">
        <v>630</v>
      </c>
      <c r="K134" s="16" t="s">
        <v>631</v>
      </c>
    </row>
    <row r="135" spans="1:11" ht="409.5" hidden="1" x14ac:dyDescent="0.25">
      <c r="A135" s="22">
        <v>132</v>
      </c>
      <c r="B135" s="16" t="s">
        <v>632</v>
      </c>
      <c r="C135" s="16" t="s">
        <v>633</v>
      </c>
      <c r="D135" s="16">
        <v>7379000</v>
      </c>
      <c r="E135" s="16">
        <v>4</v>
      </c>
      <c r="F135" s="16">
        <v>4</v>
      </c>
      <c r="G135" s="18" t="s">
        <v>108</v>
      </c>
      <c r="H135" s="16"/>
      <c r="I135" s="16" t="s">
        <v>629</v>
      </c>
      <c r="J135" s="16" t="s">
        <v>634</v>
      </c>
      <c r="K135" s="16" t="s">
        <v>631</v>
      </c>
    </row>
    <row r="136" spans="1:11" ht="409.5" hidden="1" x14ac:dyDescent="0.25">
      <c r="A136" s="22">
        <v>133</v>
      </c>
      <c r="B136" s="16" t="s">
        <v>635</v>
      </c>
      <c r="C136" s="16" t="s">
        <v>636</v>
      </c>
      <c r="D136" s="16">
        <v>7259000</v>
      </c>
      <c r="E136" s="16">
        <v>4</v>
      </c>
      <c r="F136" s="16">
        <v>4</v>
      </c>
      <c r="G136" s="18" t="s">
        <v>108</v>
      </c>
      <c r="H136" s="16"/>
      <c r="I136" s="16" t="s">
        <v>629</v>
      </c>
      <c r="J136" s="16" t="s">
        <v>637</v>
      </c>
      <c r="K136" s="16" t="s">
        <v>631</v>
      </c>
    </row>
    <row r="137" spans="1:11" ht="409.5" hidden="1" x14ac:dyDescent="0.25">
      <c r="A137" s="22">
        <v>134</v>
      </c>
      <c r="B137" s="16" t="s">
        <v>638</v>
      </c>
      <c r="C137" s="16" t="s">
        <v>639</v>
      </c>
      <c r="D137" s="16">
        <v>7311000</v>
      </c>
      <c r="E137" s="16">
        <v>4</v>
      </c>
      <c r="F137" s="16">
        <v>4</v>
      </c>
      <c r="G137" s="18" t="s">
        <v>108</v>
      </c>
      <c r="H137" s="16"/>
      <c r="I137" s="16" t="s">
        <v>629</v>
      </c>
      <c r="J137" s="16" t="s">
        <v>630</v>
      </c>
      <c r="K137" s="16" t="s">
        <v>631</v>
      </c>
    </row>
    <row r="138" spans="1:11" ht="285" hidden="1" x14ac:dyDescent="0.25">
      <c r="A138" s="22">
        <v>135</v>
      </c>
      <c r="B138" s="16" t="s">
        <v>640</v>
      </c>
      <c r="C138" s="16" t="s">
        <v>641</v>
      </c>
      <c r="D138" s="16">
        <v>0</v>
      </c>
      <c r="E138" s="16">
        <v>4</v>
      </c>
      <c r="F138" s="16">
        <v>4</v>
      </c>
      <c r="G138" s="18" t="s">
        <v>108</v>
      </c>
      <c r="H138" s="16"/>
      <c r="I138" s="16" t="s">
        <v>642</v>
      </c>
      <c r="J138" s="16" t="s">
        <v>643</v>
      </c>
      <c r="K138" s="16" t="s">
        <v>644</v>
      </c>
    </row>
    <row r="139" spans="1:11" ht="405" hidden="1" x14ac:dyDescent="0.25">
      <c r="A139" s="22">
        <v>136</v>
      </c>
      <c r="B139" s="16" t="s">
        <v>645</v>
      </c>
      <c r="C139" s="16" t="s">
        <v>646</v>
      </c>
      <c r="D139" s="16">
        <v>21820000</v>
      </c>
      <c r="E139" s="16">
        <v>4</v>
      </c>
      <c r="F139" s="16">
        <v>5</v>
      </c>
      <c r="G139" s="18" t="s">
        <v>108</v>
      </c>
      <c r="H139" s="16"/>
      <c r="I139" s="16" t="s">
        <v>647</v>
      </c>
      <c r="J139" s="16" t="s">
        <v>648</v>
      </c>
      <c r="K139" s="16" t="s">
        <v>649</v>
      </c>
    </row>
    <row r="140" spans="1:11" ht="225" hidden="1" x14ac:dyDescent="0.25">
      <c r="A140" s="22">
        <v>137</v>
      </c>
      <c r="B140" s="16" t="s">
        <v>650</v>
      </c>
      <c r="C140" s="16" t="s">
        <v>651</v>
      </c>
      <c r="D140" s="16">
        <v>40000000</v>
      </c>
      <c r="E140" s="16">
        <v>4</v>
      </c>
      <c r="F140" s="16">
        <v>4</v>
      </c>
      <c r="G140" s="18" t="s">
        <v>108</v>
      </c>
      <c r="H140" s="16"/>
      <c r="I140" s="16" t="s">
        <v>652</v>
      </c>
      <c r="J140" s="16" t="s">
        <v>653</v>
      </c>
      <c r="K140" s="16" t="s">
        <v>654</v>
      </c>
    </row>
    <row r="141" spans="1:11" ht="135" hidden="1" x14ac:dyDescent="0.25">
      <c r="A141" s="22">
        <v>138</v>
      </c>
      <c r="B141" s="16" t="s">
        <v>655</v>
      </c>
      <c r="C141" s="16" t="s">
        <v>656</v>
      </c>
      <c r="D141" s="16">
        <v>50535000</v>
      </c>
      <c r="E141" s="16">
        <v>4</v>
      </c>
      <c r="F141" s="16">
        <v>4</v>
      </c>
      <c r="G141" s="18" t="s">
        <v>108</v>
      </c>
      <c r="H141" s="16"/>
      <c r="I141" s="16" t="s">
        <v>657</v>
      </c>
      <c r="J141" s="16" t="s">
        <v>658</v>
      </c>
      <c r="K141" s="16" t="s">
        <v>659</v>
      </c>
    </row>
    <row r="142" spans="1:11" ht="225" hidden="1" x14ac:dyDescent="0.25">
      <c r="A142" s="22">
        <v>139</v>
      </c>
      <c r="B142" s="16" t="s">
        <v>660</v>
      </c>
      <c r="C142" s="16" t="s">
        <v>661</v>
      </c>
      <c r="D142" s="16">
        <v>48520000</v>
      </c>
      <c r="E142" s="16">
        <v>4</v>
      </c>
      <c r="F142" s="16">
        <v>4</v>
      </c>
      <c r="G142" s="18" t="s">
        <v>108</v>
      </c>
      <c r="H142" s="16"/>
      <c r="I142" s="16" t="s">
        <v>662</v>
      </c>
      <c r="J142" s="16" t="s">
        <v>663</v>
      </c>
      <c r="K142" s="16" t="s">
        <v>664</v>
      </c>
    </row>
    <row r="143" spans="1:11" ht="330" hidden="1" x14ac:dyDescent="0.25">
      <c r="A143" s="22">
        <v>140</v>
      </c>
      <c r="B143" s="16" t="s">
        <v>665</v>
      </c>
      <c r="C143" s="16" t="s">
        <v>666</v>
      </c>
      <c r="D143" s="16">
        <v>88389000</v>
      </c>
      <c r="E143" s="16">
        <v>4</v>
      </c>
      <c r="F143" s="16">
        <v>5</v>
      </c>
      <c r="G143" s="18" t="s">
        <v>108</v>
      </c>
      <c r="H143" s="16"/>
      <c r="I143" s="16" t="s">
        <v>667</v>
      </c>
      <c r="J143" s="16" t="s">
        <v>668</v>
      </c>
      <c r="K143" s="16" t="s">
        <v>669</v>
      </c>
    </row>
    <row r="144" spans="1:11" ht="300" hidden="1" x14ac:dyDescent="0.25">
      <c r="A144" s="22">
        <v>141</v>
      </c>
      <c r="B144" s="16" t="s">
        <v>670</v>
      </c>
      <c r="C144" s="16" t="s">
        <v>671</v>
      </c>
      <c r="D144" s="16">
        <v>41265000</v>
      </c>
      <c r="E144" s="16">
        <v>4</v>
      </c>
      <c r="F144" s="16">
        <v>5</v>
      </c>
      <c r="G144" s="18" t="s">
        <v>108</v>
      </c>
      <c r="H144" s="16"/>
      <c r="I144" s="16" t="s">
        <v>672</v>
      </c>
      <c r="J144" s="16" t="s">
        <v>673</v>
      </c>
      <c r="K144" s="16" t="s">
        <v>674</v>
      </c>
    </row>
    <row r="145" spans="1:11" ht="405" hidden="1" x14ac:dyDescent="0.25">
      <c r="A145" s="22">
        <v>142</v>
      </c>
      <c r="B145" s="16" t="s">
        <v>675</v>
      </c>
      <c r="C145" s="16" t="s">
        <v>676</v>
      </c>
      <c r="D145" s="16">
        <v>49116000</v>
      </c>
      <c r="E145" s="16">
        <v>4</v>
      </c>
      <c r="F145" s="16">
        <v>5</v>
      </c>
      <c r="G145" s="18" t="s">
        <v>108</v>
      </c>
      <c r="H145" s="16"/>
      <c r="I145" s="16" t="s">
        <v>667</v>
      </c>
      <c r="J145" s="16" t="s">
        <v>677</v>
      </c>
      <c r="K145" s="16" t="s">
        <v>669</v>
      </c>
    </row>
    <row r="146" spans="1:11" ht="409.5" hidden="1" x14ac:dyDescent="0.25">
      <c r="A146" s="22">
        <v>143</v>
      </c>
      <c r="B146" s="16" t="s">
        <v>678</v>
      </c>
      <c r="C146" s="16" t="s">
        <v>679</v>
      </c>
      <c r="D146" s="16">
        <v>17500000</v>
      </c>
      <c r="E146" s="16">
        <v>4</v>
      </c>
      <c r="F146" s="16">
        <v>4</v>
      </c>
      <c r="G146" s="18" t="s">
        <v>108</v>
      </c>
      <c r="H146" s="16"/>
      <c r="I146" s="16" t="s">
        <v>680</v>
      </c>
      <c r="J146" s="16" t="s">
        <v>681</v>
      </c>
      <c r="K146" s="16" t="s">
        <v>682</v>
      </c>
    </row>
    <row r="147" spans="1:11" ht="409.5" hidden="1" x14ac:dyDescent="0.25">
      <c r="A147" s="22">
        <v>144</v>
      </c>
      <c r="B147" s="16" t="s">
        <v>683</v>
      </c>
      <c r="C147" s="16" t="s">
        <v>684</v>
      </c>
      <c r="D147" s="16">
        <v>6640908</v>
      </c>
      <c r="E147" s="16">
        <v>4</v>
      </c>
      <c r="F147" s="16">
        <v>4</v>
      </c>
      <c r="G147" s="18" t="s">
        <v>108</v>
      </c>
      <c r="H147" s="16"/>
      <c r="I147" s="16" t="s">
        <v>685</v>
      </c>
      <c r="J147" s="16" t="s">
        <v>686</v>
      </c>
      <c r="K147" s="16" t="s">
        <v>687</v>
      </c>
    </row>
    <row r="148" spans="1:11" ht="409.5" hidden="1" x14ac:dyDescent="0.25">
      <c r="A148" s="22">
        <v>145</v>
      </c>
      <c r="B148" s="16" t="s">
        <v>688</v>
      </c>
      <c r="C148" s="16" t="s">
        <v>689</v>
      </c>
      <c r="D148" s="16">
        <v>43525000</v>
      </c>
      <c r="E148" s="16">
        <v>4</v>
      </c>
      <c r="F148" s="16">
        <v>4</v>
      </c>
      <c r="G148" s="18" t="s">
        <v>108</v>
      </c>
      <c r="H148" s="16"/>
      <c r="I148" s="16" t="s">
        <v>690</v>
      </c>
      <c r="J148" s="16" t="s">
        <v>691</v>
      </c>
      <c r="K148" s="16" t="s">
        <v>692</v>
      </c>
    </row>
    <row r="149" spans="1:11" ht="345" hidden="1" x14ac:dyDescent="0.25">
      <c r="A149" s="22">
        <v>146</v>
      </c>
      <c r="B149" s="16" t="s">
        <v>693</v>
      </c>
      <c r="C149" s="16" t="s">
        <v>694</v>
      </c>
      <c r="D149" s="16">
        <v>1040000</v>
      </c>
      <c r="E149" s="16">
        <v>4</v>
      </c>
      <c r="F149" s="16">
        <v>4</v>
      </c>
      <c r="G149" s="18" t="s">
        <v>108</v>
      </c>
      <c r="H149" s="16"/>
      <c r="I149" s="16" t="s">
        <v>695</v>
      </c>
      <c r="J149" s="16" t="s">
        <v>696</v>
      </c>
      <c r="K149" s="16" t="s">
        <v>697</v>
      </c>
    </row>
    <row r="150" spans="1:11" ht="409.5" hidden="1" x14ac:dyDescent="0.25">
      <c r="A150" s="22">
        <v>147</v>
      </c>
      <c r="B150" s="16" t="s">
        <v>698</v>
      </c>
      <c r="C150" s="16" t="s">
        <v>699</v>
      </c>
      <c r="D150" s="16">
        <v>86094598</v>
      </c>
      <c r="E150" s="16">
        <v>4</v>
      </c>
      <c r="F150" s="16">
        <v>4</v>
      </c>
      <c r="G150" s="18" t="s">
        <v>108</v>
      </c>
      <c r="H150" s="16"/>
      <c r="I150" s="16" t="s">
        <v>680</v>
      </c>
      <c r="J150" s="16" t="s">
        <v>700</v>
      </c>
      <c r="K150" s="16" t="s">
        <v>701</v>
      </c>
    </row>
    <row r="151" spans="1:11" ht="375" hidden="1" x14ac:dyDescent="0.25">
      <c r="A151" s="22">
        <v>148</v>
      </c>
      <c r="B151" s="16" t="s">
        <v>702</v>
      </c>
      <c r="C151" s="16" t="s">
        <v>703</v>
      </c>
      <c r="D151" s="16">
        <v>30239000</v>
      </c>
      <c r="E151" s="16">
        <v>4</v>
      </c>
      <c r="F151" s="16">
        <v>4</v>
      </c>
      <c r="G151" s="18" t="s">
        <v>108</v>
      </c>
      <c r="H151" s="16"/>
      <c r="I151" s="16" t="s">
        <v>704</v>
      </c>
      <c r="J151" s="16" t="s">
        <v>705</v>
      </c>
      <c r="K151" s="16" t="s">
        <v>706</v>
      </c>
    </row>
    <row r="152" spans="1:11" ht="409.5" hidden="1" x14ac:dyDescent="0.25">
      <c r="A152" s="22">
        <v>149</v>
      </c>
      <c r="B152" s="16" t="s">
        <v>707</v>
      </c>
      <c r="C152" s="16" t="s">
        <v>708</v>
      </c>
      <c r="D152" s="16">
        <v>276265000</v>
      </c>
      <c r="E152" s="16">
        <v>4</v>
      </c>
      <c r="F152" s="16">
        <v>4</v>
      </c>
      <c r="G152" s="18" t="s">
        <v>108</v>
      </c>
      <c r="H152" s="16"/>
      <c r="I152" s="16" t="s">
        <v>709</v>
      </c>
      <c r="J152" s="16" t="s">
        <v>710</v>
      </c>
      <c r="K152" s="16" t="s">
        <v>711</v>
      </c>
    </row>
    <row r="153" spans="1:11" ht="360" hidden="1" x14ac:dyDescent="0.25">
      <c r="A153" s="22">
        <v>150</v>
      </c>
      <c r="B153" s="16" t="s">
        <v>712</v>
      </c>
      <c r="C153" s="16" t="s">
        <v>713</v>
      </c>
      <c r="D153" s="16">
        <v>573730000</v>
      </c>
      <c r="E153" s="16">
        <v>4</v>
      </c>
      <c r="F153" s="16">
        <v>4</v>
      </c>
      <c r="G153" s="18" t="s">
        <v>108</v>
      </c>
      <c r="H153" s="16"/>
      <c r="I153" s="16" t="s">
        <v>714</v>
      </c>
      <c r="J153" s="16" t="s">
        <v>715</v>
      </c>
      <c r="K153" s="16" t="s">
        <v>716</v>
      </c>
    </row>
    <row r="154" spans="1:11" ht="255" hidden="1" x14ac:dyDescent="0.25">
      <c r="A154" s="22">
        <v>151</v>
      </c>
      <c r="B154" s="16" t="s">
        <v>717</v>
      </c>
      <c r="C154" s="16" t="s">
        <v>718</v>
      </c>
      <c r="D154" s="16">
        <v>1185384800</v>
      </c>
      <c r="E154" s="16">
        <v>4</v>
      </c>
      <c r="F154" s="16">
        <v>5</v>
      </c>
      <c r="G154" s="18" t="s">
        <v>108</v>
      </c>
      <c r="H154" s="16"/>
      <c r="I154" s="16" t="s">
        <v>719</v>
      </c>
      <c r="J154" s="16" t="s">
        <v>720</v>
      </c>
      <c r="K154" s="16" t="s">
        <v>721</v>
      </c>
    </row>
    <row r="155" spans="1:11" ht="240" hidden="1" x14ac:dyDescent="0.25">
      <c r="A155" s="22">
        <v>152</v>
      </c>
      <c r="B155" s="16" t="s">
        <v>722</v>
      </c>
      <c r="C155" s="16" t="s">
        <v>723</v>
      </c>
      <c r="D155" s="16">
        <v>234000000</v>
      </c>
      <c r="E155" s="16">
        <v>4</v>
      </c>
      <c r="F155" s="16">
        <v>5</v>
      </c>
      <c r="G155" s="18" t="s">
        <v>108</v>
      </c>
      <c r="H155" s="16"/>
      <c r="I155" s="16" t="s">
        <v>724</v>
      </c>
      <c r="J155" s="16" t="s">
        <v>725</v>
      </c>
      <c r="K155" s="16" t="s">
        <v>726</v>
      </c>
    </row>
    <row r="156" spans="1:11" ht="240" hidden="1" x14ac:dyDescent="0.25">
      <c r="A156" s="22">
        <v>153</v>
      </c>
      <c r="B156" s="16" t="s">
        <v>727</v>
      </c>
      <c r="C156" s="16" t="s">
        <v>728</v>
      </c>
      <c r="D156" s="16">
        <v>30000000</v>
      </c>
      <c r="E156" s="16">
        <v>4</v>
      </c>
      <c r="F156" s="16">
        <v>5</v>
      </c>
      <c r="G156" s="18" t="s">
        <v>108</v>
      </c>
      <c r="H156" s="16"/>
      <c r="I156" s="16" t="s">
        <v>724</v>
      </c>
      <c r="J156" s="16" t="s">
        <v>725</v>
      </c>
      <c r="K156" s="16" t="s">
        <v>726</v>
      </c>
    </row>
    <row r="157" spans="1:11" ht="195" hidden="1" x14ac:dyDescent="0.25">
      <c r="A157" s="22">
        <v>154</v>
      </c>
      <c r="B157" s="16" t="s">
        <v>729</v>
      </c>
      <c r="C157" s="16" t="s">
        <v>730</v>
      </c>
      <c r="D157" s="16">
        <v>488750000</v>
      </c>
      <c r="E157" s="16">
        <v>4</v>
      </c>
      <c r="F157" s="16">
        <v>5</v>
      </c>
      <c r="G157" s="18" t="s">
        <v>108</v>
      </c>
      <c r="H157" s="16"/>
      <c r="I157" s="16" t="s">
        <v>731</v>
      </c>
      <c r="J157" s="16" t="s">
        <v>732</v>
      </c>
      <c r="K157" s="16" t="s">
        <v>733</v>
      </c>
    </row>
    <row r="158" spans="1:11" ht="150" hidden="1" x14ac:dyDescent="0.25">
      <c r="A158" s="22">
        <v>155</v>
      </c>
      <c r="B158" s="16" t="s">
        <v>734</v>
      </c>
      <c r="C158" s="16" t="s">
        <v>735</v>
      </c>
      <c r="D158" s="16">
        <v>626000000</v>
      </c>
      <c r="E158" s="16">
        <v>4</v>
      </c>
      <c r="F158" s="16">
        <v>5</v>
      </c>
      <c r="G158" s="18" t="s">
        <v>108</v>
      </c>
      <c r="H158" s="16"/>
      <c r="I158" s="16" t="s">
        <v>736</v>
      </c>
      <c r="J158" s="16" t="s">
        <v>737</v>
      </c>
      <c r="K158" s="16" t="s">
        <v>738</v>
      </c>
    </row>
    <row r="159" spans="1:11" ht="120" hidden="1" x14ac:dyDescent="0.25">
      <c r="A159" s="22">
        <v>156</v>
      </c>
      <c r="B159" s="16" t="s">
        <v>739</v>
      </c>
      <c r="C159" s="16" t="s">
        <v>740</v>
      </c>
      <c r="D159" s="16">
        <v>120000000</v>
      </c>
      <c r="E159" s="16">
        <v>4</v>
      </c>
      <c r="F159" s="16">
        <v>5</v>
      </c>
      <c r="G159" s="18" t="s">
        <v>108</v>
      </c>
      <c r="H159" s="16"/>
      <c r="I159" s="16" t="s">
        <v>741</v>
      </c>
      <c r="J159" s="16" t="s">
        <v>742</v>
      </c>
      <c r="K159" s="16" t="s">
        <v>743</v>
      </c>
    </row>
    <row r="160" spans="1:11" ht="180" hidden="1" x14ac:dyDescent="0.25">
      <c r="A160" s="22">
        <v>157</v>
      </c>
      <c r="B160" s="16" t="s">
        <v>744</v>
      </c>
      <c r="C160" s="16" t="s">
        <v>745</v>
      </c>
      <c r="D160" s="16">
        <v>5827086050</v>
      </c>
      <c r="E160" s="16">
        <v>4</v>
      </c>
      <c r="F160" s="16">
        <v>4</v>
      </c>
      <c r="G160" s="18" t="s">
        <v>108</v>
      </c>
      <c r="H160" s="16"/>
      <c r="I160" s="16" t="s">
        <v>746</v>
      </c>
      <c r="J160" s="16" t="s">
        <v>747</v>
      </c>
      <c r="K160" s="16" t="s">
        <v>748</v>
      </c>
    </row>
    <row r="161" spans="1:11" ht="255" hidden="1" x14ac:dyDescent="0.25">
      <c r="A161" s="22">
        <v>158</v>
      </c>
      <c r="B161" s="16" t="s">
        <v>749</v>
      </c>
      <c r="C161" s="16" t="s">
        <v>750</v>
      </c>
      <c r="D161" s="16">
        <v>160000000</v>
      </c>
      <c r="E161" s="16">
        <v>4</v>
      </c>
      <c r="F161" s="16">
        <v>5</v>
      </c>
      <c r="G161" s="18" t="s">
        <v>108</v>
      </c>
      <c r="H161" s="16"/>
      <c r="I161" s="16" t="s">
        <v>751</v>
      </c>
      <c r="J161" s="16" t="s">
        <v>752</v>
      </c>
      <c r="K161" s="16" t="s">
        <v>753</v>
      </c>
    </row>
    <row r="162" spans="1:11" ht="409.5" hidden="1" x14ac:dyDescent="0.25">
      <c r="A162" s="22">
        <v>159</v>
      </c>
      <c r="B162" s="16" t="s">
        <v>754</v>
      </c>
      <c r="C162" s="16" t="s">
        <v>755</v>
      </c>
      <c r="D162" s="16">
        <v>950000000</v>
      </c>
      <c r="E162" s="16">
        <v>4</v>
      </c>
      <c r="F162" s="16">
        <v>5</v>
      </c>
      <c r="G162" s="18" t="s">
        <v>108</v>
      </c>
      <c r="H162" s="16"/>
      <c r="I162" s="16" t="s">
        <v>756</v>
      </c>
      <c r="J162" s="16" t="s">
        <v>757</v>
      </c>
      <c r="K162" s="16" t="s">
        <v>758</v>
      </c>
    </row>
    <row r="163" spans="1:11" ht="285" hidden="1" x14ac:dyDescent="0.25">
      <c r="A163" s="22">
        <v>160</v>
      </c>
      <c r="B163" s="16" t="s">
        <v>759</v>
      </c>
      <c r="C163" s="16" t="s">
        <v>760</v>
      </c>
      <c r="D163" s="16">
        <v>355000000</v>
      </c>
      <c r="E163" s="16">
        <v>4</v>
      </c>
      <c r="F163" s="16">
        <v>5</v>
      </c>
      <c r="G163" s="18" t="s">
        <v>108</v>
      </c>
      <c r="H163" s="16"/>
      <c r="I163" s="16" t="s">
        <v>761</v>
      </c>
      <c r="J163" s="16" t="s">
        <v>762</v>
      </c>
      <c r="K163" s="16" t="s">
        <v>753</v>
      </c>
    </row>
    <row r="164" spans="1:11" ht="285" hidden="1" x14ac:dyDescent="0.25">
      <c r="A164" s="22">
        <v>161</v>
      </c>
      <c r="B164" s="16" t="s">
        <v>763</v>
      </c>
      <c r="C164" s="16" t="s">
        <v>764</v>
      </c>
      <c r="D164" s="16">
        <v>11000000000</v>
      </c>
      <c r="E164" s="16">
        <v>4</v>
      </c>
      <c r="F164" s="16">
        <v>5</v>
      </c>
      <c r="G164" s="18" t="s">
        <v>108</v>
      </c>
      <c r="H164" s="16"/>
      <c r="I164" s="16" t="s">
        <v>761</v>
      </c>
      <c r="J164" s="16" t="s">
        <v>765</v>
      </c>
      <c r="K164" s="16" t="s">
        <v>753</v>
      </c>
    </row>
    <row r="165" spans="1:11" ht="285" hidden="1" x14ac:dyDescent="0.25">
      <c r="A165" s="22">
        <v>162</v>
      </c>
      <c r="B165" s="16" t="s">
        <v>766</v>
      </c>
      <c r="C165" s="16" t="s">
        <v>767</v>
      </c>
      <c r="D165" s="16">
        <v>50000000000</v>
      </c>
      <c r="E165" s="16">
        <v>4</v>
      </c>
      <c r="F165" s="16">
        <v>5</v>
      </c>
      <c r="G165" s="18" t="s">
        <v>108</v>
      </c>
      <c r="H165" s="16"/>
      <c r="I165" s="16" t="s">
        <v>761</v>
      </c>
      <c r="J165" s="16" t="s">
        <v>768</v>
      </c>
      <c r="K165" s="16" t="s">
        <v>753</v>
      </c>
    </row>
    <row r="166" spans="1:11" ht="255" hidden="1" x14ac:dyDescent="0.25">
      <c r="A166" s="22">
        <v>163</v>
      </c>
      <c r="B166" s="16" t="s">
        <v>769</v>
      </c>
      <c r="C166" s="16" t="s">
        <v>770</v>
      </c>
      <c r="D166" s="16">
        <v>249956000</v>
      </c>
      <c r="E166" s="16">
        <v>4</v>
      </c>
      <c r="F166" s="16">
        <v>4</v>
      </c>
      <c r="G166" s="18" t="s">
        <v>108</v>
      </c>
      <c r="H166" s="16"/>
      <c r="I166" s="16" t="s">
        <v>771</v>
      </c>
      <c r="J166" s="16" t="s">
        <v>772</v>
      </c>
      <c r="K166" s="16" t="s">
        <v>773</v>
      </c>
    </row>
    <row r="167" spans="1:11" ht="270" hidden="1" x14ac:dyDescent="0.25">
      <c r="A167" s="22">
        <v>164</v>
      </c>
      <c r="B167" s="16" t="s">
        <v>774</v>
      </c>
      <c r="C167" s="16" t="s">
        <v>775</v>
      </c>
      <c r="D167" s="16">
        <v>1500000000</v>
      </c>
      <c r="E167" s="16">
        <v>5</v>
      </c>
      <c r="F167" s="16">
        <v>4</v>
      </c>
      <c r="G167" s="18" t="s">
        <v>108</v>
      </c>
      <c r="H167" s="16"/>
      <c r="I167" s="16" t="s">
        <v>776</v>
      </c>
      <c r="J167" s="16" t="s">
        <v>777</v>
      </c>
      <c r="K167" s="16" t="s">
        <v>778</v>
      </c>
    </row>
    <row r="168" spans="1:11" ht="330" hidden="1" x14ac:dyDescent="0.25">
      <c r="A168" s="22">
        <v>165</v>
      </c>
      <c r="B168" s="16" t="s">
        <v>779</v>
      </c>
      <c r="C168" s="16" t="s">
        <v>780</v>
      </c>
      <c r="D168" s="16">
        <v>100000000</v>
      </c>
      <c r="E168" s="16">
        <v>4</v>
      </c>
      <c r="F168" s="16">
        <v>4</v>
      </c>
      <c r="G168" s="18" t="s">
        <v>108</v>
      </c>
      <c r="H168" s="16"/>
      <c r="I168" s="16" t="s">
        <v>781</v>
      </c>
      <c r="J168" s="16" t="s">
        <v>782</v>
      </c>
      <c r="K168" s="16" t="s">
        <v>783</v>
      </c>
    </row>
    <row r="169" spans="1:11" ht="255" hidden="1" x14ac:dyDescent="0.25">
      <c r="A169" s="22">
        <v>166</v>
      </c>
      <c r="B169" s="16" t="s">
        <v>784</v>
      </c>
      <c r="C169" s="16" t="s">
        <v>785</v>
      </c>
      <c r="D169" s="16">
        <v>2091125000</v>
      </c>
      <c r="E169" s="16">
        <v>4</v>
      </c>
      <c r="F169" s="16">
        <v>4</v>
      </c>
      <c r="G169" s="18" t="s">
        <v>108</v>
      </c>
      <c r="H169" s="16"/>
      <c r="I169" s="16" t="s">
        <v>786</v>
      </c>
      <c r="J169" s="16" t="s">
        <v>787</v>
      </c>
      <c r="K169" s="16" t="s">
        <v>788</v>
      </c>
    </row>
    <row r="170" spans="1:11" ht="225" hidden="1" x14ac:dyDescent="0.25">
      <c r="A170" s="22">
        <v>167</v>
      </c>
      <c r="B170" s="16" t="s">
        <v>789</v>
      </c>
      <c r="C170" s="16" t="s">
        <v>790</v>
      </c>
      <c r="D170" s="16">
        <v>650000000</v>
      </c>
      <c r="E170" s="16">
        <v>4</v>
      </c>
      <c r="F170" s="16">
        <v>4</v>
      </c>
      <c r="G170" s="18" t="s">
        <v>108</v>
      </c>
      <c r="H170" s="16"/>
      <c r="I170" s="16" t="s">
        <v>791</v>
      </c>
      <c r="J170" s="16" t="s">
        <v>792</v>
      </c>
      <c r="K170" s="16" t="s">
        <v>793</v>
      </c>
    </row>
    <row r="171" spans="1:11" ht="255" hidden="1" x14ac:dyDescent="0.25">
      <c r="A171" s="22">
        <v>168</v>
      </c>
      <c r="B171" s="16" t="s">
        <v>794</v>
      </c>
      <c r="C171" s="16" t="s">
        <v>795</v>
      </c>
      <c r="D171" s="16">
        <v>160000000</v>
      </c>
      <c r="E171" s="16">
        <v>4</v>
      </c>
      <c r="F171" s="16">
        <v>5</v>
      </c>
      <c r="G171" s="18" t="s">
        <v>108</v>
      </c>
      <c r="H171" s="16"/>
      <c r="I171" s="16" t="s">
        <v>751</v>
      </c>
      <c r="J171" s="16" t="s">
        <v>752</v>
      </c>
      <c r="K171" s="16" t="s">
        <v>753</v>
      </c>
    </row>
    <row r="172" spans="1:11" ht="285" hidden="1" x14ac:dyDescent="0.25">
      <c r="A172" s="22">
        <v>169</v>
      </c>
      <c r="B172" s="16" t="s">
        <v>796</v>
      </c>
      <c r="C172" s="16" t="s">
        <v>797</v>
      </c>
      <c r="D172" s="16">
        <v>11000000000</v>
      </c>
      <c r="E172" s="16">
        <v>4</v>
      </c>
      <c r="F172" s="16">
        <v>5</v>
      </c>
      <c r="G172" s="18" t="s">
        <v>108</v>
      </c>
      <c r="H172" s="16"/>
      <c r="I172" s="16" t="s">
        <v>761</v>
      </c>
      <c r="J172" s="16" t="s">
        <v>765</v>
      </c>
      <c r="K172" s="16" t="s">
        <v>753</v>
      </c>
    </row>
    <row r="173" spans="1:11" ht="285" hidden="1" x14ac:dyDescent="0.25">
      <c r="A173" s="22">
        <v>170</v>
      </c>
      <c r="B173" s="16" t="s">
        <v>798</v>
      </c>
      <c r="C173" s="16" t="s">
        <v>799</v>
      </c>
      <c r="D173" s="16">
        <v>50000000000</v>
      </c>
      <c r="E173" s="16">
        <v>4</v>
      </c>
      <c r="F173" s="16">
        <v>5</v>
      </c>
      <c r="G173" s="18" t="s">
        <v>108</v>
      </c>
      <c r="H173" s="16"/>
      <c r="I173" s="16" t="s">
        <v>761</v>
      </c>
      <c r="J173" s="16" t="s">
        <v>768</v>
      </c>
      <c r="K173" s="16" t="s">
        <v>753</v>
      </c>
    </row>
    <row r="174" spans="1:11" ht="255" hidden="1" x14ac:dyDescent="0.25">
      <c r="A174" s="22">
        <v>171</v>
      </c>
      <c r="B174" s="16" t="s">
        <v>800</v>
      </c>
      <c r="C174" s="16" t="s">
        <v>801</v>
      </c>
      <c r="D174" s="16">
        <v>1825639730</v>
      </c>
      <c r="E174" s="16">
        <v>4</v>
      </c>
      <c r="F174" s="16">
        <v>5</v>
      </c>
      <c r="G174" s="18" t="s">
        <v>108</v>
      </c>
      <c r="H174" s="16"/>
      <c r="I174" s="16" t="s">
        <v>771</v>
      </c>
      <c r="J174" s="16" t="s">
        <v>802</v>
      </c>
      <c r="K174" s="16" t="s">
        <v>803</v>
      </c>
    </row>
    <row r="175" spans="1:11" ht="285" hidden="1" x14ac:dyDescent="0.25">
      <c r="A175" s="22">
        <v>172</v>
      </c>
      <c r="B175" s="16" t="s">
        <v>804</v>
      </c>
      <c r="C175" s="16" t="s">
        <v>805</v>
      </c>
      <c r="D175" s="16">
        <v>355000000</v>
      </c>
      <c r="E175" s="16">
        <v>4</v>
      </c>
      <c r="F175" s="16">
        <v>5</v>
      </c>
      <c r="G175" s="18" t="s">
        <v>108</v>
      </c>
      <c r="H175" s="16"/>
      <c r="I175" s="16" t="s">
        <v>761</v>
      </c>
      <c r="J175" s="16" t="s">
        <v>762</v>
      </c>
      <c r="K175" s="16" t="s">
        <v>753</v>
      </c>
    </row>
    <row r="176" spans="1:11" ht="210" hidden="1" x14ac:dyDescent="0.25">
      <c r="A176" s="22">
        <v>173</v>
      </c>
      <c r="B176" s="16" t="s">
        <v>806</v>
      </c>
      <c r="C176" s="16" t="s">
        <v>807</v>
      </c>
      <c r="D176" s="16">
        <v>200000000</v>
      </c>
      <c r="E176" s="16">
        <v>4</v>
      </c>
      <c r="F176" s="16">
        <v>4</v>
      </c>
      <c r="G176" s="18" t="s">
        <v>108</v>
      </c>
      <c r="H176" s="16"/>
      <c r="I176" s="16" t="s">
        <v>771</v>
      </c>
      <c r="J176" s="16" t="s">
        <v>808</v>
      </c>
      <c r="K176" s="16" t="s">
        <v>809</v>
      </c>
    </row>
    <row r="177" spans="1:11" ht="315" hidden="1" x14ac:dyDescent="0.25">
      <c r="A177" s="22">
        <v>174</v>
      </c>
      <c r="B177" s="16" t="s">
        <v>810</v>
      </c>
      <c r="C177" s="16" t="s">
        <v>811</v>
      </c>
      <c r="D177" s="16">
        <v>800000000</v>
      </c>
      <c r="E177" s="16">
        <v>4</v>
      </c>
      <c r="F177" s="16">
        <v>4</v>
      </c>
      <c r="G177" s="18" t="s">
        <v>108</v>
      </c>
      <c r="H177" s="16"/>
      <c r="I177" s="16" t="s">
        <v>812</v>
      </c>
      <c r="J177" s="16" t="s">
        <v>813</v>
      </c>
      <c r="K177" s="16" t="s">
        <v>814</v>
      </c>
    </row>
    <row r="178" spans="1:11" ht="360" hidden="1" x14ac:dyDescent="0.25">
      <c r="A178" s="22">
        <v>175</v>
      </c>
      <c r="B178" s="16" t="s">
        <v>815</v>
      </c>
      <c r="C178" s="16" t="s">
        <v>816</v>
      </c>
      <c r="D178" s="16">
        <v>462000000</v>
      </c>
      <c r="E178" s="16">
        <v>4</v>
      </c>
      <c r="F178" s="16">
        <v>4</v>
      </c>
      <c r="G178" s="18" t="s">
        <v>108</v>
      </c>
      <c r="H178" s="16"/>
      <c r="I178" s="16" t="s">
        <v>817</v>
      </c>
      <c r="J178" s="16" t="s">
        <v>818</v>
      </c>
      <c r="K178" s="16" t="s">
        <v>819</v>
      </c>
    </row>
    <row r="179" spans="1:11" ht="360" hidden="1" x14ac:dyDescent="0.25">
      <c r="A179" s="22">
        <v>176</v>
      </c>
      <c r="B179" s="16" t="s">
        <v>820</v>
      </c>
      <c r="C179" s="16" t="s">
        <v>821</v>
      </c>
      <c r="D179" s="16">
        <v>122000000</v>
      </c>
      <c r="E179" s="16">
        <v>4</v>
      </c>
      <c r="F179" s="16">
        <v>5</v>
      </c>
      <c r="G179" s="18" t="s">
        <v>108</v>
      </c>
      <c r="H179" s="16"/>
      <c r="I179" s="16" t="s">
        <v>822</v>
      </c>
      <c r="J179" s="16" t="s">
        <v>823</v>
      </c>
      <c r="K179" s="16" t="s">
        <v>824</v>
      </c>
    </row>
    <row r="180" spans="1:11" ht="409.5" hidden="1" x14ac:dyDescent="0.25">
      <c r="A180" s="22">
        <v>177</v>
      </c>
      <c r="B180" s="16" t="s">
        <v>825</v>
      </c>
      <c r="C180" s="16" t="s">
        <v>826</v>
      </c>
      <c r="D180" s="16">
        <v>855850000</v>
      </c>
      <c r="E180" s="16">
        <v>4</v>
      </c>
      <c r="F180" s="16">
        <v>4</v>
      </c>
      <c r="G180" s="18" t="s">
        <v>108</v>
      </c>
      <c r="H180" s="16"/>
      <c r="I180" s="16" t="s">
        <v>827</v>
      </c>
      <c r="J180" s="16" t="s">
        <v>828</v>
      </c>
      <c r="K180" s="16" t="s">
        <v>829</v>
      </c>
    </row>
    <row r="181" spans="1:11" ht="375" hidden="1" x14ac:dyDescent="0.25">
      <c r="A181" s="22">
        <v>178</v>
      </c>
      <c r="B181" s="16" t="s">
        <v>830</v>
      </c>
      <c r="C181" s="16" t="s">
        <v>831</v>
      </c>
      <c r="D181" s="16">
        <v>228475000</v>
      </c>
      <c r="E181" s="16">
        <v>4</v>
      </c>
      <c r="F181" s="16">
        <v>4</v>
      </c>
      <c r="G181" s="18" t="s">
        <v>108</v>
      </c>
      <c r="H181" s="16"/>
      <c r="I181" s="16" t="s">
        <v>832</v>
      </c>
      <c r="J181" s="16" t="s">
        <v>833</v>
      </c>
      <c r="K181" s="16" t="s">
        <v>834</v>
      </c>
    </row>
    <row r="182" spans="1:11" ht="409.5" hidden="1" x14ac:dyDescent="0.25">
      <c r="A182" s="22">
        <v>179</v>
      </c>
      <c r="B182" s="16" t="s">
        <v>835</v>
      </c>
      <c r="C182" s="16" t="s">
        <v>836</v>
      </c>
      <c r="D182" s="16">
        <v>1891000000</v>
      </c>
      <c r="E182" s="16">
        <v>4</v>
      </c>
      <c r="F182" s="16">
        <v>4</v>
      </c>
      <c r="G182" s="18" t="s">
        <v>108</v>
      </c>
      <c r="H182" s="16"/>
      <c r="I182" s="16" t="s">
        <v>837</v>
      </c>
      <c r="J182" s="16" t="s">
        <v>838</v>
      </c>
      <c r="K182" s="16" t="s">
        <v>839</v>
      </c>
    </row>
    <row r="183" spans="1:11" ht="270" hidden="1" x14ac:dyDescent="0.25">
      <c r="A183" s="22">
        <v>180</v>
      </c>
      <c r="B183" s="16" t="s">
        <v>840</v>
      </c>
      <c r="C183" s="16" t="s">
        <v>841</v>
      </c>
      <c r="D183" s="16">
        <v>34629000</v>
      </c>
      <c r="E183" s="16">
        <v>4</v>
      </c>
      <c r="F183" s="16">
        <v>3</v>
      </c>
      <c r="G183" s="19" t="s">
        <v>842</v>
      </c>
      <c r="H183" s="16"/>
      <c r="I183" s="16" t="s">
        <v>843</v>
      </c>
      <c r="J183" s="16" t="s">
        <v>844</v>
      </c>
      <c r="K183" s="16" t="s">
        <v>845</v>
      </c>
    </row>
    <row r="184" spans="1:11" ht="240" hidden="1" x14ac:dyDescent="0.25">
      <c r="A184" s="22">
        <v>181</v>
      </c>
      <c r="B184" s="16" t="s">
        <v>846</v>
      </c>
      <c r="C184" s="16" t="s">
        <v>847</v>
      </c>
      <c r="D184" s="16">
        <v>12111000</v>
      </c>
      <c r="E184" s="16">
        <v>3</v>
      </c>
      <c r="F184" s="16">
        <v>5</v>
      </c>
      <c r="G184" s="19" t="s">
        <v>842</v>
      </c>
      <c r="H184" s="16"/>
      <c r="I184" s="16" t="s">
        <v>848</v>
      </c>
      <c r="J184" s="16" t="s">
        <v>849</v>
      </c>
      <c r="K184" s="16" t="s">
        <v>850</v>
      </c>
    </row>
    <row r="185" spans="1:11" ht="45" hidden="1" x14ac:dyDescent="0.25">
      <c r="A185" s="22">
        <v>182</v>
      </c>
      <c r="B185" s="16" t="s">
        <v>851</v>
      </c>
      <c r="C185" s="16" t="s">
        <v>852</v>
      </c>
      <c r="D185" s="16">
        <v>40000000</v>
      </c>
      <c r="E185" s="16">
        <v>3</v>
      </c>
      <c r="F185" s="16">
        <v>4</v>
      </c>
      <c r="G185" s="19" t="s">
        <v>842</v>
      </c>
      <c r="H185" s="16"/>
      <c r="I185" s="16"/>
      <c r="J185" s="16"/>
      <c r="K185" s="16"/>
    </row>
    <row r="186" spans="1:11" ht="180" hidden="1" x14ac:dyDescent="0.25">
      <c r="A186" s="22">
        <v>183</v>
      </c>
      <c r="B186" s="16" t="s">
        <v>853</v>
      </c>
      <c r="C186" s="16" t="s">
        <v>854</v>
      </c>
      <c r="D186" s="16">
        <v>35000000</v>
      </c>
      <c r="E186" s="16">
        <v>3</v>
      </c>
      <c r="F186" s="16">
        <v>4</v>
      </c>
      <c r="G186" s="19" t="s">
        <v>842</v>
      </c>
      <c r="H186" s="16"/>
      <c r="I186" s="16" t="s">
        <v>855</v>
      </c>
      <c r="J186" s="16" t="s">
        <v>855</v>
      </c>
      <c r="K186" s="16" t="s">
        <v>856</v>
      </c>
    </row>
    <row r="187" spans="1:11" ht="409.5" hidden="1" x14ac:dyDescent="0.25">
      <c r="A187" s="22">
        <v>184</v>
      </c>
      <c r="B187" s="16" t="s">
        <v>857</v>
      </c>
      <c r="C187" s="16" t="s">
        <v>858</v>
      </c>
      <c r="D187" s="16">
        <v>141185000</v>
      </c>
      <c r="E187" s="16">
        <v>3</v>
      </c>
      <c r="F187" s="16">
        <v>5</v>
      </c>
      <c r="G187" s="19" t="s">
        <v>842</v>
      </c>
      <c r="H187" s="16"/>
      <c r="I187" s="16" t="s">
        <v>859</v>
      </c>
      <c r="J187" s="16" t="s">
        <v>860</v>
      </c>
      <c r="K187" s="16" t="s">
        <v>861</v>
      </c>
    </row>
    <row r="188" spans="1:11" ht="195" hidden="1" x14ac:dyDescent="0.25">
      <c r="A188" s="22">
        <v>185</v>
      </c>
      <c r="B188" s="16" t="s">
        <v>862</v>
      </c>
      <c r="C188" s="16" t="s">
        <v>863</v>
      </c>
      <c r="D188" s="16">
        <v>86338000</v>
      </c>
      <c r="E188" s="16">
        <v>3</v>
      </c>
      <c r="F188" s="16">
        <v>5</v>
      </c>
      <c r="G188" s="19" t="s">
        <v>842</v>
      </c>
      <c r="H188" s="16"/>
      <c r="I188" s="16" t="s">
        <v>864</v>
      </c>
      <c r="J188" s="16" t="s">
        <v>865</v>
      </c>
      <c r="K188" s="16" t="s">
        <v>866</v>
      </c>
    </row>
    <row r="189" spans="1:11" ht="225" hidden="1" x14ac:dyDescent="0.25">
      <c r="A189" s="22">
        <v>186</v>
      </c>
      <c r="B189" s="16" t="s">
        <v>867</v>
      </c>
      <c r="C189" s="16" t="s">
        <v>868</v>
      </c>
      <c r="D189" s="16">
        <v>11780000</v>
      </c>
      <c r="E189" s="16">
        <v>3</v>
      </c>
      <c r="F189" s="16">
        <v>4</v>
      </c>
      <c r="G189" s="19" t="s">
        <v>842</v>
      </c>
      <c r="H189" s="16"/>
      <c r="I189" s="16" t="s">
        <v>869</v>
      </c>
      <c r="J189" s="16" t="s">
        <v>870</v>
      </c>
      <c r="K189" s="16" t="s">
        <v>871</v>
      </c>
    </row>
    <row r="190" spans="1:11" ht="270" hidden="1" x14ac:dyDescent="0.25">
      <c r="A190" s="22">
        <v>187</v>
      </c>
      <c r="B190" s="16" t="s">
        <v>872</v>
      </c>
      <c r="C190" s="16" t="s">
        <v>873</v>
      </c>
      <c r="D190" s="16">
        <v>12500000</v>
      </c>
      <c r="E190" s="16">
        <v>3</v>
      </c>
      <c r="F190" s="16">
        <v>4</v>
      </c>
      <c r="G190" s="19" t="s">
        <v>842</v>
      </c>
      <c r="H190" s="16"/>
      <c r="I190" s="16" t="s">
        <v>874</v>
      </c>
      <c r="J190" s="16" t="s">
        <v>875</v>
      </c>
      <c r="K190" s="16" t="s">
        <v>876</v>
      </c>
    </row>
    <row r="191" spans="1:11" ht="255" hidden="1" x14ac:dyDescent="0.25">
      <c r="A191" s="22">
        <v>188</v>
      </c>
      <c r="B191" s="16" t="s">
        <v>877</v>
      </c>
      <c r="C191" s="16" t="s">
        <v>878</v>
      </c>
      <c r="D191" s="16">
        <v>9300000</v>
      </c>
      <c r="E191" s="16">
        <v>4</v>
      </c>
      <c r="F191" s="16">
        <v>3</v>
      </c>
      <c r="G191" s="19" t="s">
        <v>842</v>
      </c>
      <c r="H191" s="16"/>
      <c r="I191" s="16" t="s">
        <v>879</v>
      </c>
      <c r="J191" s="16" t="s">
        <v>880</v>
      </c>
      <c r="K191" s="16" t="s">
        <v>881</v>
      </c>
    </row>
    <row r="192" spans="1:11" ht="255" hidden="1" x14ac:dyDescent="0.25">
      <c r="A192" s="22">
        <v>189</v>
      </c>
      <c r="B192" s="16" t="s">
        <v>882</v>
      </c>
      <c r="C192" s="16" t="s">
        <v>883</v>
      </c>
      <c r="D192" s="16">
        <v>8980000</v>
      </c>
      <c r="E192" s="16">
        <v>4</v>
      </c>
      <c r="F192" s="16">
        <v>3</v>
      </c>
      <c r="G192" s="19" t="s">
        <v>842</v>
      </c>
      <c r="H192" s="16"/>
      <c r="I192" s="16" t="s">
        <v>884</v>
      </c>
      <c r="J192" s="16" t="s">
        <v>885</v>
      </c>
      <c r="K192" s="16" t="s">
        <v>886</v>
      </c>
    </row>
    <row r="193" spans="1:11" ht="240" hidden="1" x14ac:dyDescent="0.25">
      <c r="A193" s="22">
        <v>190</v>
      </c>
      <c r="B193" s="16" t="s">
        <v>887</v>
      </c>
      <c r="C193" s="16" t="s">
        <v>888</v>
      </c>
      <c r="D193" s="16">
        <v>91456000</v>
      </c>
      <c r="E193" s="16">
        <v>3</v>
      </c>
      <c r="F193" s="16">
        <v>5</v>
      </c>
      <c r="G193" s="19" t="s">
        <v>842</v>
      </c>
      <c r="H193" s="16"/>
      <c r="I193" s="16" t="s">
        <v>889</v>
      </c>
      <c r="J193" s="16" t="s">
        <v>890</v>
      </c>
      <c r="K193" s="16" t="s">
        <v>891</v>
      </c>
    </row>
    <row r="194" spans="1:11" ht="210" hidden="1" x14ac:dyDescent="0.25">
      <c r="A194" s="22">
        <v>191</v>
      </c>
      <c r="B194" s="16" t="s">
        <v>892</v>
      </c>
      <c r="C194" s="16" t="s">
        <v>893</v>
      </c>
      <c r="D194" s="16">
        <v>8839000</v>
      </c>
      <c r="E194" s="16">
        <v>4</v>
      </c>
      <c r="F194" s="16">
        <v>3</v>
      </c>
      <c r="G194" s="19" t="s">
        <v>842</v>
      </c>
      <c r="H194" s="16"/>
      <c r="I194" s="16" t="s">
        <v>894</v>
      </c>
      <c r="J194" s="16" t="s">
        <v>895</v>
      </c>
      <c r="K194" s="16" t="s">
        <v>896</v>
      </c>
    </row>
    <row r="195" spans="1:11" ht="240" hidden="1" x14ac:dyDescent="0.25">
      <c r="A195" s="22">
        <v>192</v>
      </c>
      <c r="B195" s="16" t="s">
        <v>897</v>
      </c>
      <c r="C195" s="16" t="s">
        <v>898</v>
      </c>
      <c r="D195" s="16">
        <v>15550000</v>
      </c>
      <c r="E195" s="16">
        <v>4</v>
      </c>
      <c r="F195" s="16">
        <v>3</v>
      </c>
      <c r="G195" s="19" t="s">
        <v>842</v>
      </c>
      <c r="H195" s="16"/>
      <c r="I195" s="16" t="s">
        <v>899</v>
      </c>
      <c r="J195" s="16" t="s">
        <v>900</v>
      </c>
      <c r="K195" s="16" t="s">
        <v>901</v>
      </c>
    </row>
    <row r="196" spans="1:11" ht="285" hidden="1" x14ac:dyDescent="0.25">
      <c r="A196" s="22">
        <v>193</v>
      </c>
      <c r="B196" s="16" t="s">
        <v>902</v>
      </c>
      <c r="C196" s="16" t="s">
        <v>903</v>
      </c>
      <c r="D196" s="16">
        <v>29851000</v>
      </c>
      <c r="E196" s="16">
        <v>3</v>
      </c>
      <c r="F196" s="16">
        <v>5</v>
      </c>
      <c r="G196" s="19" t="s">
        <v>842</v>
      </c>
      <c r="H196" s="16"/>
      <c r="I196" s="16" t="s">
        <v>904</v>
      </c>
      <c r="J196" s="16" t="s">
        <v>905</v>
      </c>
      <c r="K196" s="16" t="s">
        <v>906</v>
      </c>
    </row>
    <row r="197" spans="1:11" ht="270" hidden="1" x14ac:dyDescent="0.25">
      <c r="A197" s="22">
        <v>194</v>
      </c>
      <c r="B197" s="16" t="s">
        <v>907</v>
      </c>
      <c r="C197" s="16" t="s">
        <v>908</v>
      </c>
      <c r="D197" s="16">
        <v>99073750</v>
      </c>
      <c r="E197" s="16">
        <v>3</v>
      </c>
      <c r="F197" s="16">
        <v>5</v>
      </c>
      <c r="G197" s="19" t="s">
        <v>842</v>
      </c>
      <c r="H197" s="16"/>
      <c r="I197" s="16" t="s">
        <v>909</v>
      </c>
      <c r="J197" s="16" t="s">
        <v>910</v>
      </c>
      <c r="K197" s="16" t="s">
        <v>911</v>
      </c>
    </row>
    <row r="198" spans="1:11" ht="225" hidden="1" x14ac:dyDescent="0.25">
      <c r="A198" s="22">
        <v>195</v>
      </c>
      <c r="B198" s="16" t="s">
        <v>912</v>
      </c>
      <c r="C198" s="16" t="s">
        <v>913</v>
      </c>
      <c r="D198" s="16">
        <v>9500000</v>
      </c>
      <c r="E198" s="16">
        <v>4</v>
      </c>
      <c r="F198" s="16">
        <v>3</v>
      </c>
      <c r="G198" s="19" t="s">
        <v>842</v>
      </c>
      <c r="H198" s="16"/>
      <c r="I198" s="16" t="s">
        <v>914</v>
      </c>
      <c r="J198" s="16" t="s">
        <v>915</v>
      </c>
      <c r="K198" s="16" t="s">
        <v>916</v>
      </c>
    </row>
    <row r="199" spans="1:11" ht="270" hidden="1" x14ac:dyDescent="0.25">
      <c r="A199" s="22">
        <v>196</v>
      </c>
      <c r="B199" s="16" t="s">
        <v>917</v>
      </c>
      <c r="C199" s="16" t="s">
        <v>918</v>
      </c>
      <c r="D199" s="16">
        <v>17975000</v>
      </c>
      <c r="E199" s="16">
        <v>3</v>
      </c>
      <c r="F199" s="16">
        <v>4</v>
      </c>
      <c r="G199" s="19" t="s">
        <v>842</v>
      </c>
      <c r="H199" s="16"/>
      <c r="I199" s="16" t="s">
        <v>919</v>
      </c>
      <c r="J199" s="16" t="s">
        <v>920</v>
      </c>
      <c r="K199" s="16" t="s">
        <v>921</v>
      </c>
    </row>
    <row r="200" spans="1:11" ht="255" hidden="1" x14ac:dyDescent="0.25">
      <c r="A200" s="22">
        <v>197</v>
      </c>
      <c r="B200" s="16" t="s">
        <v>922</v>
      </c>
      <c r="C200" s="16" t="s">
        <v>923</v>
      </c>
      <c r="D200" s="16">
        <v>17869000</v>
      </c>
      <c r="E200" s="16">
        <v>3</v>
      </c>
      <c r="F200" s="16">
        <v>4</v>
      </c>
      <c r="G200" s="19" t="s">
        <v>842</v>
      </c>
      <c r="H200" s="16"/>
      <c r="I200" s="16" t="s">
        <v>924</v>
      </c>
      <c r="J200" s="16" t="s">
        <v>925</v>
      </c>
      <c r="K200" s="16" t="s">
        <v>926</v>
      </c>
    </row>
    <row r="201" spans="1:11" ht="270" hidden="1" x14ac:dyDescent="0.25">
      <c r="A201" s="22">
        <v>198</v>
      </c>
      <c r="B201" s="16" t="s">
        <v>927</v>
      </c>
      <c r="C201" s="16" t="s">
        <v>928</v>
      </c>
      <c r="D201" s="16">
        <v>19425000</v>
      </c>
      <c r="E201" s="16">
        <v>3</v>
      </c>
      <c r="F201" s="16">
        <v>5</v>
      </c>
      <c r="G201" s="19" t="s">
        <v>842</v>
      </c>
      <c r="H201" s="16"/>
      <c r="I201" s="16" t="s">
        <v>929</v>
      </c>
      <c r="J201" s="16" t="s">
        <v>930</v>
      </c>
      <c r="K201" s="16" t="s">
        <v>931</v>
      </c>
    </row>
    <row r="202" spans="1:11" ht="345" hidden="1" x14ac:dyDescent="0.25">
      <c r="A202" s="22">
        <v>199</v>
      </c>
      <c r="B202" s="16" t="s">
        <v>932</v>
      </c>
      <c r="C202" s="16" t="s">
        <v>933</v>
      </c>
      <c r="D202" s="16">
        <v>7000000</v>
      </c>
      <c r="E202" s="16">
        <v>3</v>
      </c>
      <c r="F202" s="16">
        <v>4</v>
      </c>
      <c r="G202" s="19" t="s">
        <v>842</v>
      </c>
      <c r="H202" s="16"/>
      <c r="I202" s="16" t="s">
        <v>934</v>
      </c>
      <c r="J202" s="16" t="s">
        <v>935</v>
      </c>
      <c r="K202" s="16" t="s">
        <v>936</v>
      </c>
    </row>
    <row r="203" spans="1:11" ht="300" hidden="1" x14ac:dyDescent="0.25">
      <c r="A203" s="22">
        <v>200</v>
      </c>
      <c r="B203" s="16" t="s">
        <v>937</v>
      </c>
      <c r="C203" s="16" t="s">
        <v>938</v>
      </c>
      <c r="D203" s="16">
        <v>44400000</v>
      </c>
      <c r="E203" s="16">
        <v>3</v>
      </c>
      <c r="F203" s="16">
        <v>5</v>
      </c>
      <c r="G203" s="19" t="s">
        <v>842</v>
      </c>
      <c r="H203" s="16"/>
      <c r="I203" s="16" t="s">
        <v>939</v>
      </c>
      <c r="J203" s="16" t="s">
        <v>940</v>
      </c>
      <c r="K203" s="16" t="s">
        <v>941</v>
      </c>
    </row>
    <row r="204" spans="1:11" ht="240" hidden="1" x14ac:dyDescent="0.25">
      <c r="A204" s="22">
        <v>201</v>
      </c>
      <c r="B204" s="16" t="s">
        <v>942</v>
      </c>
      <c r="C204" s="16" t="s">
        <v>943</v>
      </c>
      <c r="D204" s="16">
        <v>84857582</v>
      </c>
      <c r="E204" s="16">
        <v>4</v>
      </c>
      <c r="F204" s="16">
        <v>3</v>
      </c>
      <c r="G204" s="19" t="s">
        <v>842</v>
      </c>
      <c r="H204" s="16"/>
      <c r="I204" s="16" t="s">
        <v>944</v>
      </c>
      <c r="J204" s="16" t="s">
        <v>945</v>
      </c>
      <c r="K204" s="16" t="s">
        <v>946</v>
      </c>
    </row>
    <row r="205" spans="1:11" ht="360" hidden="1" x14ac:dyDescent="0.25">
      <c r="A205" s="22">
        <v>202</v>
      </c>
      <c r="B205" s="16" t="s">
        <v>947</v>
      </c>
      <c r="C205" s="16" t="s">
        <v>948</v>
      </c>
      <c r="D205" s="16">
        <v>8214000</v>
      </c>
      <c r="E205" s="16">
        <v>3</v>
      </c>
      <c r="F205" s="16">
        <v>4</v>
      </c>
      <c r="G205" s="19" t="s">
        <v>842</v>
      </c>
      <c r="H205" s="16"/>
      <c r="I205" s="16" t="s">
        <v>949</v>
      </c>
      <c r="J205" s="16" t="s">
        <v>950</v>
      </c>
      <c r="K205" s="16" t="s">
        <v>951</v>
      </c>
    </row>
    <row r="206" spans="1:11" ht="225" hidden="1" x14ac:dyDescent="0.25">
      <c r="A206" s="22">
        <v>203</v>
      </c>
      <c r="B206" s="16" t="s">
        <v>952</v>
      </c>
      <c r="C206" s="16" t="s">
        <v>953</v>
      </c>
      <c r="D206" s="16">
        <v>9500000</v>
      </c>
      <c r="E206" s="16">
        <v>4</v>
      </c>
      <c r="F206" s="16">
        <v>3</v>
      </c>
      <c r="G206" s="19" t="s">
        <v>842</v>
      </c>
      <c r="H206" s="16"/>
      <c r="I206" s="16" t="s">
        <v>914</v>
      </c>
      <c r="J206" s="16" t="s">
        <v>915</v>
      </c>
      <c r="K206" s="16" t="s">
        <v>916</v>
      </c>
    </row>
    <row r="207" spans="1:11" ht="285" hidden="1" x14ac:dyDescent="0.25">
      <c r="A207" s="22">
        <v>204</v>
      </c>
      <c r="B207" s="16" t="s">
        <v>954</v>
      </c>
      <c r="C207" s="16" t="s">
        <v>955</v>
      </c>
      <c r="D207" s="16">
        <v>19475000</v>
      </c>
      <c r="E207" s="16">
        <v>4</v>
      </c>
      <c r="F207" s="16">
        <v>3</v>
      </c>
      <c r="G207" s="19" t="s">
        <v>842</v>
      </c>
      <c r="H207" s="16"/>
      <c r="I207" s="16" t="s">
        <v>956</v>
      </c>
      <c r="J207" s="16" t="s">
        <v>957</v>
      </c>
      <c r="K207" s="16" t="s">
        <v>958</v>
      </c>
    </row>
    <row r="208" spans="1:11" ht="270" hidden="1" x14ac:dyDescent="0.25">
      <c r="A208" s="22">
        <v>205</v>
      </c>
      <c r="B208" s="16" t="s">
        <v>959</v>
      </c>
      <c r="C208" s="16" t="s">
        <v>960</v>
      </c>
      <c r="D208" s="16">
        <v>15000000</v>
      </c>
      <c r="E208" s="16">
        <v>3</v>
      </c>
      <c r="F208" s="16">
        <v>4</v>
      </c>
      <c r="G208" s="19" t="s">
        <v>842</v>
      </c>
      <c r="H208" s="16"/>
      <c r="I208" s="16" t="s">
        <v>919</v>
      </c>
      <c r="J208" s="16" t="s">
        <v>920</v>
      </c>
      <c r="K208" s="16" t="s">
        <v>921</v>
      </c>
    </row>
    <row r="209" spans="1:11" ht="409.5" hidden="1" x14ac:dyDescent="0.25">
      <c r="A209" s="22">
        <v>206</v>
      </c>
      <c r="B209" s="16" t="s">
        <v>961</v>
      </c>
      <c r="C209" s="16" t="s">
        <v>962</v>
      </c>
      <c r="D209" s="16">
        <v>15190000</v>
      </c>
      <c r="E209" s="16">
        <v>3</v>
      </c>
      <c r="F209" s="16">
        <v>5</v>
      </c>
      <c r="G209" s="19" t="s">
        <v>842</v>
      </c>
      <c r="H209" s="16"/>
      <c r="I209" s="16" t="s">
        <v>963</v>
      </c>
      <c r="J209" s="16" t="s">
        <v>964</v>
      </c>
      <c r="K209" s="16" t="s">
        <v>965</v>
      </c>
    </row>
    <row r="210" spans="1:11" ht="315" hidden="1" x14ac:dyDescent="0.25">
      <c r="A210" s="22">
        <v>207</v>
      </c>
      <c r="B210" s="16" t="s">
        <v>966</v>
      </c>
      <c r="C210" s="16" t="s">
        <v>967</v>
      </c>
      <c r="D210" s="16">
        <v>20320000</v>
      </c>
      <c r="E210" s="16">
        <v>3</v>
      </c>
      <c r="F210" s="16">
        <v>5</v>
      </c>
      <c r="G210" s="19" t="s">
        <v>842</v>
      </c>
      <c r="H210" s="16"/>
      <c r="I210" s="16" t="s">
        <v>968</v>
      </c>
      <c r="J210" s="16" t="s">
        <v>969</v>
      </c>
      <c r="K210" s="16" t="s">
        <v>970</v>
      </c>
    </row>
    <row r="211" spans="1:11" ht="285" hidden="1" x14ac:dyDescent="0.25">
      <c r="A211" s="22">
        <v>208</v>
      </c>
      <c r="B211" s="16" t="s">
        <v>971</v>
      </c>
      <c r="C211" s="16" t="s">
        <v>972</v>
      </c>
      <c r="D211" s="16">
        <v>12650000</v>
      </c>
      <c r="E211" s="16">
        <v>3</v>
      </c>
      <c r="F211" s="16">
        <v>5</v>
      </c>
      <c r="G211" s="19" t="s">
        <v>842</v>
      </c>
      <c r="H211" s="16"/>
      <c r="I211" s="16" t="s">
        <v>973</v>
      </c>
      <c r="J211" s="16" t="s">
        <v>974</v>
      </c>
      <c r="K211" s="16" t="s">
        <v>975</v>
      </c>
    </row>
    <row r="212" spans="1:11" ht="409.5" hidden="1" x14ac:dyDescent="0.25">
      <c r="A212" s="22">
        <v>209</v>
      </c>
      <c r="B212" s="16" t="s">
        <v>976</v>
      </c>
      <c r="C212" s="16" t="s">
        <v>977</v>
      </c>
      <c r="D212" s="16">
        <v>29490000</v>
      </c>
      <c r="E212" s="16">
        <v>3</v>
      </c>
      <c r="F212" s="16">
        <v>4</v>
      </c>
      <c r="G212" s="19" t="s">
        <v>842</v>
      </c>
      <c r="H212" s="16"/>
      <c r="I212" s="16" t="s">
        <v>978</v>
      </c>
      <c r="J212" s="16" t="s">
        <v>979</v>
      </c>
      <c r="K212" s="16" t="s">
        <v>980</v>
      </c>
    </row>
    <row r="213" spans="1:11" ht="409.5" hidden="1" x14ac:dyDescent="0.25">
      <c r="A213" s="22">
        <v>210</v>
      </c>
      <c r="B213" s="16" t="s">
        <v>981</v>
      </c>
      <c r="C213" s="16" t="s">
        <v>982</v>
      </c>
      <c r="D213" s="16">
        <v>14170000</v>
      </c>
      <c r="E213" s="16">
        <v>3</v>
      </c>
      <c r="F213" s="16">
        <v>4</v>
      </c>
      <c r="G213" s="19" t="s">
        <v>842</v>
      </c>
      <c r="H213" s="16"/>
      <c r="I213" s="16" t="s">
        <v>983</v>
      </c>
      <c r="J213" s="16" t="s">
        <v>984</v>
      </c>
      <c r="K213" s="16" t="s">
        <v>985</v>
      </c>
    </row>
    <row r="214" spans="1:11" ht="270" hidden="1" x14ac:dyDescent="0.25">
      <c r="A214" s="22">
        <v>211</v>
      </c>
      <c r="B214" s="16" t="s">
        <v>986</v>
      </c>
      <c r="C214" s="16" t="s">
        <v>987</v>
      </c>
      <c r="D214" s="16">
        <v>37625000</v>
      </c>
      <c r="E214" s="16">
        <v>4</v>
      </c>
      <c r="F214" s="16">
        <v>3</v>
      </c>
      <c r="G214" s="19" t="s">
        <v>842</v>
      </c>
      <c r="H214" s="16"/>
      <c r="I214" s="16" t="s">
        <v>988</v>
      </c>
      <c r="J214" s="16" t="s">
        <v>989</v>
      </c>
      <c r="K214" s="16" t="s">
        <v>990</v>
      </c>
    </row>
    <row r="215" spans="1:11" ht="409.5" hidden="1" x14ac:dyDescent="0.25">
      <c r="A215" s="22">
        <v>212</v>
      </c>
      <c r="B215" s="16" t="s">
        <v>991</v>
      </c>
      <c r="C215" s="16" t="s">
        <v>992</v>
      </c>
      <c r="D215" s="16">
        <v>14170000</v>
      </c>
      <c r="E215" s="16">
        <v>3</v>
      </c>
      <c r="F215" s="16">
        <v>4</v>
      </c>
      <c r="G215" s="19" t="s">
        <v>842</v>
      </c>
      <c r="H215" s="16"/>
      <c r="I215" s="16" t="s">
        <v>983</v>
      </c>
      <c r="J215" s="16" t="s">
        <v>984</v>
      </c>
      <c r="K215" s="16" t="s">
        <v>985</v>
      </c>
    </row>
    <row r="216" spans="1:11" ht="270" hidden="1" x14ac:dyDescent="0.25">
      <c r="A216" s="22">
        <v>213</v>
      </c>
      <c r="B216" s="16" t="s">
        <v>993</v>
      </c>
      <c r="C216" s="16" t="s">
        <v>994</v>
      </c>
      <c r="D216" s="16">
        <v>220470000</v>
      </c>
      <c r="E216" s="16">
        <v>3</v>
      </c>
      <c r="F216" s="16">
        <v>5</v>
      </c>
      <c r="G216" s="19" t="s">
        <v>842</v>
      </c>
      <c r="H216" s="16"/>
      <c r="I216" s="16" t="s">
        <v>909</v>
      </c>
      <c r="J216" s="16" t="s">
        <v>910</v>
      </c>
      <c r="K216" s="16" t="s">
        <v>911</v>
      </c>
    </row>
    <row r="217" spans="1:11" ht="195" hidden="1" x14ac:dyDescent="0.25">
      <c r="A217" s="22">
        <v>214</v>
      </c>
      <c r="B217" s="16" t="s">
        <v>995</v>
      </c>
      <c r="C217" s="16" t="s">
        <v>996</v>
      </c>
      <c r="D217" s="16">
        <v>7795000</v>
      </c>
      <c r="E217" s="16">
        <v>3</v>
      </c>
      <c r="F217" s="16">
        <v>5</v>
      </c>
      <c r="G217" s="19" t="s">
        <v>842</v>
      </c>
      <c r="H217" s="16"/>
      <c r="I217" s="16" t="s">
        <v>129</v>
      </c>
      <c r="J217" s="16" t="s">
        <v>997</v>
      </c>
      <c r="K217" s="16" t="s">
        <v>998</v>
      </c>
    </row>
    <row r="218" spans="1:11" ht="240" hidden="1" x14ac:dyDescent="0.25">
      <c r="A218" s="22">
        <v>215</v>
      </c>
      <c r="B218" s="16" t="s">
        <v>999</v>
      </c>
      <c r="C218" s="16" t="s">
        <v>1000</v>
      </c>
      <c r="D218" s="16">
        <v>12714000</v>
      </c>
      <c r="E218" s="16">
        <v>4</v>
      </c>
      <c r="F218" s="16">
        <v>3</v>
      </c>
      <c r="G218" s="19" t="s">
        <v>842</v>
      </c>
      <c r="H218" s="16"/>
      <c r="I218" s="16" t="s">
        <v>1001</v>
      </c>
      <c r="J218" s="16" t="s">
        <v>1002</v>
      </c>
      <c r="K218" s="16" t="s">
        <v>1003</v>
      </c>
    </row>
    <row r="219" spans="1:11" ht="225" hidden="1" x14ac:dyDescent="0.25">
      <c r="A219" s="22">
        <v>216</v>
      </c>
      <c r="B219" s="16" t="s">
        <v>1004</v>
      </c>
      <c r="C219" s="16" t="s">
        <v>1005</v>
      </c>
      <c r="D219" s="16">
        <v>9500000</v>
      </c>
      <c r="E219" s="16">
        <v>4</v>
      </c>
      <c r="F219" s="16">
        <v>3</v>
      </c>
      <c r="G219" s="19" t="s">
        <v>842</v>
      </c>
      <c r="H219" s="16"/>
      <c r="I219" s="16" t="s">
        <v>1006</v>
      </c>
      <c r="J219" s="16" t="s">
        <v>915</v>
      </c>
      <c r="K219" s="16" t="s">
        <v>916</v>
      </c>
    </row>
    <row r="220" spans="1:11" ht="255" hidden="1" x14ac:dyDescent="0.25">
      <c r="A220" s="22">
        <v>217</v>
      </c>
      <c r="B220" s="16" t="s">
        <v>1007</v>
      </c>
      <c r="C220" s="16" t="s">
        <v>1008</v>
      </c>
      <c r="D220" s="16">
        <v>11235000</v>
      </c>
      <c r="E220" s="16">
        <v>3</v>
      </c>
      <c r="F220" s="16">
        <v>4</v>
      </c>
      <c r="G220" s="19" t="s">
        <v>842</v>
      </c>
      <c r="H220" s="16"/>
      <c r="I220" s="16" t="s">
        <v>1009</v>
      </c>
      <c r="J220" s="16" t="s">
        <v>1010</v>
      </c>
      <c r="K220" s="16" t="s">
        <v>1011</v>
      </c>
    </row>
    <row r="221" spans="1:11" ht="240" hidden="1" x14ac:dyDescent="0.25">
      <c r="A221" s="22">
        <v>218</v>
      </c>
      <c r="B221" s="16" t="s">
        <v>1012</v>
      </c>
      <c r="C221" s="16" t="s">
        <v>1013</v>
      </c>
      <c r="D221" s="16">
        <v>7695000</v>
      </c>
      <c r="E221" s="16">
        <v>4</v>
      </c>
      <c r="F221" s="16">
        <v>3</v>
      </c>
      <c r="G221" s="19" t="s">
        <v>842</v>
      </c>
      <c r="H221" s="16"/>
      <c r="I221" s="16" t="s">
        <v>1014</v>
      </c>
      <c r="J221" s="16" t="s">
        <v>1015</v>
      </c>
      <c r="K221" s="16" t="s">
        <v>1016</v>
      </c>
    </row>
    <row r="222" spans="1:11" ht="240" hidden="1" x14ac:dyDescent="0.25">
      <c r="A222" s="22">
        <v>219</v>
      </c>
      <c r="B222" s="16" t="s">
        <v>1017</v>
      </c>
      <c r="C222" s="16" t="s">
        <v>1018</v>
      </c>
      <c r="D222" s="16">
        <v>41310000</v>
      </c>
      <c r="E222" s="16">
        <v>3</v>
      </c>
      <c r="F222" s="16">
        <v>4</v>
      </c>
      <c r="G222" s="19" t="s">
        <v>842</v>
      </c>
      <c r="H222" s="16"/>
      <c r="I222" s="16" t="s">
        <v>1019</v>
      </c>
      <c r="J222" s="16" t="s">
        <v>1020</v>
      </c>
      <c r="K222" s="16" t="s">
        <v>1021</v>
      </c>
    </row>
    <row r="223" spans="1:11" ht="285" hidden="1" x14ac:dyDescent="0.25">
      <c r="A223" s="22">
        <v>220</v>
      </c>
      <c r="B223" s="16" t="s">
        <v>1022</v>
      </c>
      <c r="C223" s="16" t="s">
        <v>1023</v>
      </c>
      <c r="D223" s="16">
        <v>23580000</v>
      </c>
      <c r="E223" s="16">
        <v>4</v>
      </c>
      <c r="F223" s="16">
        <v>3</v>
      </c>
      <c r="G223" s="19" t="s">
        <v>842</v>
      </c>
      <c r="H223" s="16"/>
      <c r="I223" s="16" t="s">
        <v>1024</v>
      </c>
      <c r="J223" s="16" t="s">
        <v>1025</v>
      </c>
      <c r="K223" s="16" t="s">
        <v>1026</v>
      </c>
    </row>
    <row r="224" spans="1:11" ht="255" hidden="1" x14ac:dyDescent="0.25">
      <c r="A224" s="22">
        <v>221</v>
      </c>
      <c r="B224" s="16" t="s">
        <v>1027</v>
      </c>
      <c r="C224" s="16" t="s">
        <v>1028</v>
      </c>
      <c r="D224" s="16">
        <v>10620000</v>
      </c>
      <c r="E224" s="16">
        <v>4</v>
      </c>
      <c r="F224" s="16">
        <v>3</v>
      </c>
      <c r="G224" s="19" t="s">
        <v>842</v>
      </c>
      <c r="H224" s="16"/>
      <c r="I224" s="16" t="s">
        <v>1029</v>
      </c>
      <c r="J224" s="16" t="s">
        <v>1030</v>
      </c>
      <c r="K224" s="16" t="s">
        <v>1031</v>
      </c>
    </row>
    <row r="225" spans="1:11" ht="285" hidden="1" x14ac:dyDescent="0.25">
      <c r="A225" s="22">
        <v>222</v>
      </c>
      <c r="B225" s="16" t="s">
        <v>1032</v>
      </c>
      <c r="C225" s="16" t="s">
        <v>1033</v>
      </c>
      <c r="D225" s="16">
        <v>15160000</v>
      </c>
      <c r="E225" s="16">
        <v>3</v>
      </c>
      <c r="F225" s="16">
        <v>5</v>
      </c>
      <c r="G225" s="19" t="s">
        <v>842</v>
      </c>
      <c r="H225" s="16"/>
      <c r="I225" s="16" t="s">
        <v>1034</v>
      </c>
      <c r="J225" s="16" t="s">
        <v>1035</v>
      </c>
      <c r="K225" s="16" t="s">
        <v>131</v>
      </c>
    </row>
    <row r="226" spans="1:11" ht="195" hidden="1" x14ac:dyDescent="0.25">
      <c r="A226" s="22">
        <v>223</v>
      </c>
      <c r="B226" s="16" t="s">
        <v>1036</v>
      </c>
      <c r="C226" s="16" t="s">
        <v>1037</v>
      </c>
      <c r="D226" s="16">
        <v>18080000</v>
      </c>
      <c r="E226" s="16">
        <v>3</v>
      </c>
      <c r="F226" s="16">
        <v>5</v>
      </c>
      <c r="G226" s="19" t="s">
        <v>842</v>
      </c>
      <c r="H226" s="16"/>
      <c r="I226" s="16" t="s">
        <v>129</v>
      </c>
      <c r="J226" s="16" t="s">
        <v>997</v>
      </c>
      <c r="K226" s="16" t="s">
        <v>998</v>
      </c>
    </row>
    <row r="227" spans="1:11" ht="195" hidden="1" x14ac:dyDescent="0.25">
      <c r="A227" s="22">
        <v>224</v>
      </c>
      <c r="B227" s="16" t="s">
        <v>1038</v>
      </c>
      <c r="C227" s="16" t="s">
        <v>1039</v>
      </c>
      <c r="D227" s="16">
        <v>9760000</v>
      </c>
      <c r="E227" s="16">
        <v>4</v>
      </c>
      <c r="F227" s="16">
        <v>3</v>
      </c>
      <c r="G227" s="19" t="s">
        <v>842</v>
      </c>
      <c r="H227" s="16"/>
      <c r="I227" s="16" t="s">
        <v>1034</v>
      </c>
      <c r="J227" s="16" t="s">
        <v>1040</v>
      </c>
      <c r="K227" s="16" t="s">
        <v>1041</v>
      </c>
    </row>
    <row r="228" spans="1:11" ht="240" hidden="1" x14ac:dyDescent="0.25">
      <c r="A228" s="22">
        <v>225</v>
      </c>
      <c r="B228" s="16" t="s">
        <v>1042</v>
      </c>
      <c r="C228" s="16" t="s">
        <v>1043</v>
      </c>
      <c r="D228" s="16">
        <v>46919000</v>
      </c>
      <c r="E228" s="16">
        <v>3</v>
      </c>
      <c r="F228" s="16">
        <v>4</v>
      </c>
      <c r="G228" s="19" t="s">
        <v>842</v>
      </c>
      <c r="H228" s="16"/>
      <c r="I228" s="16" t="s">
        <v>899</v>
      </c>
      <c r="J228" s="16" t="s">
        <v>900</v>
      </c>
      <c r="K228" s="16" t="s">
        <v>901</v>
      </c>
    </row>
    <row r="229" spans="1:11" ht="210" hidden="1" x14ac:dyDescent="0.25">
      <c r="A229" s="22">
        <v>226</v>
      </c>
      <c r="B229" s="16" t="s">
        <v>1044</v>
      </c>
      <c r="C229" s="16" t="s">
        <v>1045</v>
      </c>
      <c r="D229" s="16">
        <v>19320000</v>
      </c>
      <c r="E229" s="16">
        <v>3</v>
      </c>
      <c r="F229" s="16">
        <v>5</v>
      </c>
      <c r="G229" s="19" t="s">
        <v>842</v>
      </c>
      <c r="H229" s="16"/>
      <c r="I229" s="16" t="s">
        <v>124</v>
      </c>
      <c r="J229" s="16" t="s">
        <v>1046</v>
      </c>
      <c r="K229" s="16" t="s">
        <v>1047</v>
      </c>
    </row>
    <row r="230" spans="1:11" ht="270" hidden="1" x14ac:dyDescent="0.25">
      <c r="A230" s="22">
        <v>227</v>
      </c>
      <c r="B230" s="16" t="s">
        <v>1048</v>
      </c>
      <c r="C230" s="16" t="s">
        <v>1049</v>
      </c>
      <c r="D230" s="16">
        <v>16125000</v>
      </c>
      <c r="E230" s="16">
        <v>3</v>
      </c>
      <c r="F230" s="16">
        <v>5</v>
      </c>
      <c r="G230" s="19" t="s">
        <v>842</v>
      </c>
      <c r="H230" s="16"/>
      <c r="I230" s="16" t="s">
        <v>1050</v>
      </c>
      <c r="J230" s="16" t="s">
        <v>1051</v>
      </c>
      <c r="K230" s="16" t="s">
        <v>1052</v>
      </c>
    </row>
    <row r="231" spans="1:11" ht="225" hidden="1" x14ac:dyDescent="0.25">
      <c r="A231" s="22">
        <v>228</v>
      </c>
      <c r="B231" s="16" t="s">
        <v>1053</v>
      </c>
      <c r="C231" s="16" t="s">
        <v>1054</v>
      </c>
      <c r="D231" s="16">
        <v>11610000</v>
      </c>
      <c r="E231" s="16">
        <v>3</v>
      </c>
      <c r="F231" s="16">
        <v>5</v>
      </c>
      <c r="G231" s="19" t="s">
        <v>842</v>
      </c>
      <c r="H231" s="16"/>
      <c r="I231" s="16" t="s">
        <v>1055</v>
      </c>
      <c r="J231" s="16" t="s">
        <v>1056</v>
      </c>
      <c r="K231" s="16" t="s">
        <v>1057</v>
      </c>
    </row>
    <row r="232" spans="1:11" ht="225" hidden="1" x14ac:dyDescent="0.25">
      <c r="A232" s="22">
        <v>229</v>
      </c>
      <c r="B232" s="16" t="s">
        <v>1058</v>
      </c>
      <c r="C232" s="16" t="s">
        <v>1059</v>
      </c>
      <c r="D232" s="16">
        <v>3548000</v>
      </c>
      <c r="E232" s="16">
        <v>3</v>
      </c>
      <c r="F232" s="16">
        <v>5</v>
      </c>
      <c r="G232" s="19" t="s">
        <v>842</v>
      </c>
      <c r="H232" s="16"/>
      <c r="I232" s="16" t="s">
        <v>1060</v>
      </c>
      <c r="J232" s="16" t="s">
        <v>1061</v>
      </c>
      <c r="K232" s="16" t="s">
        <v>1062</v>
      </c>
    </row>
    <row r="233" spans="1:11" ht="315" hidden="1" x14ac:dyDescent="0.25">
      <c r="A233" s="22">
        <v>230</v>
      </c>
      <c r="B233" s="16" t="s">
        <v>1063</v>
      </c>
      <c r="C233" s="16" t="s">
        <v>1064</v>
      </c>
      <c r="D233" s="16">
        <v>44400000</v>
      </c>
      <c r="E233" s="16">
        <v>3</v>
      </c>
      <c r="F233" s="16">
        <v>5</v>
      </c>
      <c r="G233" s="19" t="s">
        <v>842</v>
      </c>
      <c r="H233" s="16"/>
      <c r="I233" s="16" t="s">
        <v>939</v>
      </c>
      <c r="J233" s="16" t="s">
        <v>1065</v>
      </c>
      <c r="K233" s="16" t="s">
        <v>941</v>
      </c>
    </row>
    <row r="234" spans="1:11" ht="345" hidden="1" x14ac:dyDescent="0.25">
      <c r="A234" s="22">
        <v>231</v>
      </c>
      <c r="B234" s="16" t="s">
        <v>1066</v>
      </c>
      <c r="C234" s="16" t="s">
        <v>1067</v>
      </c>
      <c r="D234" s="16">
        <v>7000000</v>
      </c>
      <c r="E234" s="16">
        <v>3</v>
      </c>
      <c r="F234" s="16">
        <v>4</v>
      </c>
      <c r="G234" s="19" t="s">
        <v>842</v>
      </c>
      <c r="H234" s="16"/>
      <c r="I234" s="16" t="s">
        <v>1068</v>
      </c>
      <c r="J234" s="16" t="s">
        <v>935</v>
      </c>
      <c r="K234" s="16" t="s">
        <v>936</v>
      </c>
    </row>
    <row r="235" spans="1:11" ht="300" hidden="1" x14ac:dyDescent="0.25">
      <c r="A235" s="22">
        <v>232</v>
      </c>
      <c r="B235" s="16" t="s">
        <v>1069</v>
      </c>
      <c r="C235" s="16" t="s">
        <v>1070</v>
      </c>
      <c r="D235" s="16">
        <v>7000000</v>
      </c>
      <c r="E235" s="16">
        <v>3</v>
      </c>
      <c r="F235" s="16">
        <v>5</v>
      </c>
      <c r="G235" s="19" t="s">
        <v>842</v>
      </c>
      <c r="H235" s="16"/>
      <c r="I235" s="16" t="s">
        <v>1071</v>
      </c>
      <c r="J235" s="16" t="s">
        <v>1072</v>
      </c>
      <c r="K235" s="16" t="s">
        <v>1073</v>
      </c>
    </row>
    <row r="236" spans="1:11" ht="315" hidden="1" x14ac:dyDescent="0.25">
      <c r="A236" s="22">
        <v>233</v>
      </c>
      <c r="B236" s="16" t="s">
        <v>1074</v>
      </c>
      <c r="C236" s="16" t="s">
        <v>1075</v>
      </c>
      <c r="D236" s="16">
        <v>10244000</v>
      </c>
      <c r="E236" s="16">
        <v>3</v>
      </c>
      <c r="F236" s="16">
        <v>4</v>
      </c>
      <c r="G236" s="19" t="s">
        <v>842</v>
      </c>
      <c r="H236" s="16"/>
      <c r="I236" s="16" t="s">
        <v>1076</v>
      </c>
      <c r="J236" s="16" t="s">
        <v>1077</v>
      </c>
      <c r="K236" s="16" t="s">
        <v>1078</v>
      </c>
    </row>
    <row r="237" spans="1:11" ht="315" hidden="1" x14ac:dyDescent="0.25">
      <c r="A237" s="22">
        <v>234</v>
      </c>
      <c r="B237" s="16" t="s">
        <v>1079</v>
      </c>
      <c r="C237" s="16" t="s">
        <v>1080</v>
      </c>
      <c r="D237" s="16">
        <v>5902000</v>
      </c>
      <c r="E237" s="16">
        <v>4</v>
      </c>
      <c r="F237" s="16">
        <v>3</v>
      </c>
      <c r="G237" s="19" t="s">
        <v>842</v>
      </c>
      <c r="H237" s="16"/>
      <c r="I237" s="16" t="s">
        <v>1081</v>
      </c>
      <c r="J237" s="16" t="s">
        <v>1082</v>
      </c>
      <c r="K237" s="16" t="s">
        <v>1083</v>
      </c>
    </row>
    <row r="238" spans="1:11" ht="315" hidden="1" x14ac:dyDescent="0.25">
      <c r="A238" s="22">
        <v>235</v>
      </c>
      <c r="B238" s="16" t="s">
        <v>1084</v>
      </c>
      <c r="C238" s="16" t="s">
        <v>1085</v>
      </c>
      <c r="D238" s="16">
        <v>4740400</v>
      </c>
      <c r="E238" s="16">
        <v>4</v>
      </c>
      <c r="F238" s="16">
        <v>3</v>
      </c>
      <c r="G238" s="19" t="s">
        <v>842</v>
      </c>
      <c r="H238" s="16"/>
      <c r="I238" s="16" t="s">
        <v>1086</v>
      </c>
      <c r="J238" s="16" t="s">
        <v>1087</v>
      </c>
      <c r="K238" s="16" t="s">
        <v>1088</v>
      </c>
    </row>
    <row r="239" spans="1:11" ht="300" hidden="1" x14ac:dyDescent="0.25">
      <c r="A239" s="22">
        <v>236</v>
      </c>
      <c r="B239" s="16" t="s">
        <v>1089</v>
      </c>
      <c r="C239" s="16" t="s">
        <v>1090</v>
      </c>
      <c r="D239" s="16">
        <v>5260000</v>
      </c>
      <c r="E239" s="16">
        <v>3</v>
      </c>
      <c r="F239" s="16">
        <v>5</v>
      </c>
      <c r="G239" s="19" t="s">
        <v>842</v>
      </c>
      <c r="H239" s="16"/>
      <c r="I239" s="16" t="s">
        <v>1091</v>
      </c>
      <c r="J239" s="16" t="s">
        <v>1092</v>
      </c>
      <c r="K239" s="16" t="s">
        <v>1093</v>
      </c>
    </row>
    <row r="240" spans="1:11" ht="409.5" hidden="1" x14ac:dyDescent="0.25">
      <c r="A240" s="22">
        <v>237</v>
      </c>
      <c r="B240" s="16" t="s">
        <v>1094</v>
      </c>
      <c r="C240" s="16" t="s">
        <v>1095</v>
      </c>
      <c r="D240" s="16">
        <v>37471000</v>
      </c>
      <c r="E240" s="16">
        <v>3</v>
      </c>
      <c r="F240" s="16">
        <v>4</v>
      </c>
      <c r="G240" s="19" t="s">
        <v>842</v>
      </c>
      <c r="H240" s="16"/>
      <c r="I240" s="16" t="s">
        <v>1096</v>
      </c>
      <c r="J240" s="16" t="s">
        <v>1097</v>
      </c>
      <c r="K240" s="16" t="s">
        <v>1098</v>
      </c>
    </row>
    <row r="241" spans="1:11" ht="375" hidden="1" x14ac:dyDescent="0.25">
      <c r="A241" s="22">
        <v>238</v>
      </c>
      <c r="B241" s="16" t="s">
        <v>1099</v>
      </c>
      <c r="C241" s="16" t="s">
        <v>1100</v>
      </c>
      <c r="D241" s="16">
        <v>2500000</v>
      </c>
      <c r="E241" s="16">
        <v>3</v>
      </c>
      <c r="F241" s="16">
        <v>4</v>
      </c>
      <c r="G241" s="19" t="s">
        <v>842</v>
      </c>
      <c r="H241" s="16"/>
      <c r="I241" s="16" t="s">
        <v>1101</v>
      </c>
      <c r="J241" s="16" t="s">
        <v>1102</v>
      </c>
      <c r="K241" s="16" t="s">
        <v>1103</v>
      </c>
    </row>
    <row r="242" spans="1:11" ht="375" hidden="1" x14ac:dyDescent="0.25">
      <c r="A242" s="22">
        <v>239</v>
      </c>
      <c r="B242" s="16" t="s">
        <v>1104</v>
      </c>
      <c r="C242" s="16" t="s">
        <v>1105</v>
      </c>
      <c r="D242" s="16">
        <v>2500000</v>
      </c>
      <c r="E242" s="16">
        <v>3</v>
      </c>
      <c r="F242" s="16">
        <v>4</v>
      </c>
      <c r="G242" s="19" t="s">
        <v>842</v>
      </c>
      <c r="H242" s="16"/>
      <c r="I242" s="16" t="s">
        <v>1101</v>
      </c>
      <c r="J242" s="16" t="s">
        <v>1102</v>
      </c>
      <c r="K242" s="16" t="s">
        <v>1103</v>
      </c>
    </row>
    <row r="243" spans="1:11" ht="375" hidden="1" x14ac:dyDescent="0.25">
      <c r="A243" s="22">
        <v>240</v>
      </c>
      <c r="B243" s="16" t="s">
        <v>1106</v>
      </c>
      <c r="C243" s="16" t="s">
        <v>1107</v>
      </c>
      <c r="D243" s="16">
        <v>2500000</v>
      </c>
      <c r="E243" s="16">
        <v>3</v>
      </c>
      <c r="F243" s="16">
        <v>4</v>
      </c>
      <c r="G243" s="19" t="s">
        <v>842</v>
      </c>
      <c r="H243" s="16"/>
      <c r="I243" s="16" t="s">
        <v>1101</v>
      </c>
      <c r="J243" s="16" t="s">
        <v>1102</v>
      </c>
      <c r="K243" s="16" t="s">
        <v>1103</v>
      </c>
    </row>
    <row r="244" spans="1:11" ht="195" hidden="1" x14ac:dyDescent="0.25">
      <c r="A244" s="22">
        <v>241</v>
      </c>
      <c r="B244" s="16" t="s">
        <v>1108</v>
      </c>
      <c r="C244" s="16" t="s">
        <v>1109</v>
      </c>
      <c r="D244" s="16">
        <v>25787000</v>
      </c>
      <c r="E244" s="16">
        <v>3</v>
      </c>
      <c r="F244" s="16">
        <v>4</v>
      </c>
      <c r="G244" s="19" t="s">
        <v>842</v>
      </c>
      <c r="H244" s="16"/>
      <c r="I244" s="16" t="s">
        <v>1110</v>
      </c>
      <c r="J244" s="16" t="s">
        <v>1111</v>
      </c>
      <c r="K244" s="16" t="s">
        <v>1112</v>
      </c>
    </row>
    <row r="245" spans="1:11" ht="270" hidden="1" x14ac:dyDescent="0.25">
      <c r="A245" s="22">
        <v>242</v>
      </c>
      <c r="B245" s="16" t="s">
        <v>1113</v>
      </c>
      <c r="C245" s="16" t="s">
        <v>1114</v>
      </c>
      <c r="D245" s="16">
        <v>166500000</v>
      </c>
      <c r="E245" s="16">
        <v>3</v>
      </c>
      <c r="F245" s="16">
        <v>5</v>
      </c>
      <c r="G245" s="19" t="s">
        <v>842</v>
      </c>
      <c r="H245" s="16"/>
      <c r="I245" s="16" t="s">
        <v>364</v>
      </c>
      <c r="J245" s="16" t="s">
        <v>1115</v>
      </c>
      <c r="K245" s="16" t="s">
        <v>1116</v>
      </c>
    </row>
    <row r="246" spans="1:11" ht="315" hidden="1" x14ac:dyDescent="0.25">
      <c r="A246" s="22">
        <v>243</v>
      </c>
      <c r="B246" s="16" t="s">
        <v>1117</v>
      </c>
      <c r="C246" s="16" t="s">
        <v>1118</v>
      </c>
      <c r="D246" s="16">
        <v>45000000</v>
      </c>
      <c r="E246" s="16">
        <v>3</v>
      </c>
      <c r="F246" s="16">
        <v>5</v>
      </c>
      <c r="G246" s="19" t="s">
        <v>842</v>
      </c>
      <c r="H246" s="16"/>
      <c r="I246" s="16" t="s">
        <v>1119</v>
      </c>
      <c r="J246" s="16" t="s">
        <v>1120</v>
      </c>
      <c r="K246" s="16" t="s">
        <v>1121</v>
      </c>
    </row>
    <row r="247" spans="1:11" ht="270" hidden="1" x14ac:dyDescent="0.25">
      <c r="A247" s="22">
        <v>244</v>
      </c>
      <c r="B247" s="16" t="s">
        <v>1122</v>
      </c>
      <c r="C247" s="16" t="s">
        <v>1123</v>
      </c>
      <c r="D247" s="16">
        <v>15840431</v>
      </c>
      <c r="E247" s="16">
        <v>3</v>
      </c>
      <c r="F247" s="16">
        <v>5</v>
      </c>
      <c r="G247" s="19" t="s">
        <v>842</v>
      </c>
      <c r="H247" s="16"/>
      <c r="I247" s="16" t="s">
        <v>380</v>
      </c>
      <c r="J247" s="16" t="s">
        <v>910</v>
      </c>
      <c r="K247" s="16" t="s">
        <v>1124</v>
      </c>
    </row>
    <row r="248" spans="1:11" ht="255" hidden="1" x14ac:dyDescent="0.25">
      <c r="A248" s="22">
        <v>245</v>
      </c>
      <c r="B248" s="16" t="s">
        <v>1125</v>
      </c>
      <c r="C248" s="16" t="s">
        <v>1126</v>
      </c>
      <c r="D248" s="16">
        <v>116925000</v>
      </c>
      <c r="E248" s="16">
        <v>3</v>
      </c>
      <c r="F248" s="16">
        <v>5</v>
      </c>
      <c r="G248" s="19" t="s">
        <v>842</v>
      </c>
      <c r="H248" s="16"/>
      <c r="I248" s="16" t="s">
        <v>1127</v>
      </c>
      <c r="J248" s="16" t="s">
        <v>1128</v>
      </c>
      <c r="K248" s="16" t="s">
        <v>1129</v>
      </c>
    </row>
    <row r="249" spans="1:11" ht="300" hidden="1" x14ac:dyDescent="0.25">
      <c r="A249" s="22">
        <v>246</v>
      </c>
      <c r="B249" s="16" t="s">
        <v>1130</v>
      </c>
      <c r="C249" s="16" t="s">
        <v>1131</v>
      </c>
      <c r="D249" s="16">
        <v>35251500</v>
      </c>
      <c r="E249" s="16">
        <v>4</v>
      </c>
      <c r="F249" s="16">
        <v>3</v>
      </c>
      <c r="G249" s="19" t="s">
        <v>842</v>
      </c>
      <c r="H249" s="16"/>
      <c r="I249" s="16" t="s">
        <v>1132</v>
      </c>
      <c r="J249" s="16" t="s">
        <v>1133</v>
      </c>
      <c r="K249" s="16" t="s">
        <v>1134</v>
      </c>
    </row>
    <row r="250" spans="1:11" ht="300" hidden="1" x14ac:dyDescent="0.25">
      <c r="A250" s="22">
        <v>247</v>
      </c>
      <c r="B250" s="16" t="s">
        <v>1135</v>
      </c>
      <c r="C250" s="16" t="s">
        <v>1136</v>
      </c>
      <c r="D250" s="16">
        <v>48646932</v>
      </c>
      <c r="E250" s="16">
        <v>4</v>
      </c>
      <c r="F250" s="16">
        <v>3</v>
      </c>
      <c r="G250" s="19" t="s">
        <v>842</v>
      </c>
      <c r="H250" s="16"/>
      <c r="I250" s="16" t="s">
        <v>1132</v>
      </c>
      <c r="J250" s="16" t="s">
        <v>1133</v>
      </c>
      <c r="K250" s="16" t="s">
        <v>1134</v>
      </c>
    </row>
    <row r="251" spans="1:11" ht="225" hidden="1" x14ac:dyDescent="0.25">
      <c r="A251" s="22">
        <v>248</v>
      </c>
      <c r="B251" s="16" t="s">
        <v>1137</v>
      </c>
      <c r="C251" s="16" t="s">
        <v>1138</v>
      </c>
      <c r="D251" s="16">
        <v>31210000</v>
      </c>
      <c r="E251" s="16">
        <v>3</v>
      </c>
      <c r="F251" s="16">
        <v>4</v>
      </c>
      <c r="G251" s="19" t="s">
        <v>842</v>
      </c>
      <c r="H251" s="16"/>
      <c r="I251" s="16" t="s">
        <v>1139</v>
      </c>
      <c r="J251" s="16" t="s">
        <v>1140</v>
      </c>
      <c r="K251" s="16" t="s">
        <v>1141</v>
      </c>
    </row>
    <row r="252" spans="1:11" ht="240" hidden="1" x14ac:dyDescent="0.25">
      <c r="A252" s="22">
        <v>249</v>
      </c>
      <c r="B252" s="16" t="s">
        <v>1142</v>
      </c>
      <c r="C252" s="16" t="s">
        <v>1143</v>
      </c>
      <c r="D252" s="16">
        <v>174227900</v>
      </c>
      <c r="E252" s="16">
        <v>4</v>
      </c>
      <c r="F252" s="16">
        <v>3</v>
      </c>
      <c r="G252" s="19" t="s">
        <v>842</v>
      </c>
      <c r="H252" s="16"/>
      <c r="I252" s="16" t="s">
        <v>1132</v>
      </c>
      <c r="J252" s="16" t="s">
        <v>945</v>
      </c>
      <c r="K252" s="16" t="s">
        <v>1134</v>
      </c>
    </row>
    <row r="253" spans="1:11" ht="240" hidden="1" x14ac:dyDescent="0.25">
      <c r="A253" s="22">
        <v>250</v>
      </c>
      <c r="B253" s="16" t="s">
        <v>1144</v>
      </c>
      <c r="C253" s="16" t="s">
        <v>1145</v>
      </c>
      <c r="D253" s="16">
        <v>117016100</v>
      </c>
      <c r="E253" s="16">
        <v>4</v>
      </c>
      <c r="F253" s="16">
        <v>3</v>
      </c>
      <c r="G253" s="19" t="s">
        <v>842</v>
      </c>
      <c r="H253" s="16"/>
      <c r="I253" s="16" t="s">
        <v>1132</v>
      </c>
      <c r="J253" s="16" t="s">
        <v>1146</v>
      </c>
      <c r="K253" s="16" t="s">
        <v>1134</v>
      </c>
    </row>
    <row r="254" spans="1:11" ht="240" hidden="1" x14ac:dyDescent="0.25">
      <c r="A254" s="22">
        <v>251</v>
      </c>
      <c r="B254" s="16" t="s">
        <v>1147</v>
      </c>
      <c r="C254" s="16" t="s">
        <v>1148</v>
      </c>
      <c r="D254" s="16">
        <v>180804889</v>
      </c>
      <c r="E254" s="16">
        <v>4</v>
      </c>
      <c r="F254" s="16">
        <v>3</v>
      </c>
      <c r="G254" s="19" t="s">
        <v>842</v>
      </c>
      <c r="H254" s="16"/>
      <c r="I254" s="16" t="s">
        <v>1132</v>
      </c>
      <c r="J254" s="16" t="s">
        <v>1149</v>
      </c>
      <c r="K254" s="16" t="s">
        <v>1134</v>
      </c>
    </row>
    <row r="255" spans="1:11" ht="225" hidden="1" x14ac:dyDescent="0.25">
      <c r="A255" s="22">
        <v>252</v>
      </c>
      <c r="B255" s="16" t="s">
        <v>1150</v>
      </c>
      <c r="C255" s="16" t="s">
        <v>1151</v>
      </c>
      <c r="D255" s="16">
        <v>93891740</v>
      </c>
      <c r="E255" s="16">
        <v>4</v>
      </c>
      <c r="F255" s="16">
        <v>3</v>
      </c>
      <c r="G255" s="19" t="s">
        <v>842</v>
      </c>
      <c r="H255" s="16"/>
      <c r="I255" s="16" t="s">
        <v>1132</v>
      </c>
      <c r="J255" s="16" t="s">
        <v>1152</v>
      </c>
      <c r="K255" s="16" t="s">
        <v>1134</v>
      </c>
    </row>
    <row r="256" spans="1:11" ht="225" hidden="1" x14ac:dyDescent="0.25">
      <c r="A256" s="22">
        <v>253</v>
      </c>
      <c r="B256" s="16" t="s">
        <v>1153</v>
      </c>
      <c r="C256" s="16" t="s">
        <v>1154</v>
      </c>
      <c r="D256" s="16">
        <v>95253000</v>
      </c>
      <c r="E256" s="16">
        <v>4</v>
      </c>
      <c r="F256" s="16">
        <v>3</v>
      </c>
      <c r="G256" s="19" t="s">
        <v>842</v>
      </c>
      <c r="H256" s="16"/>
      <c r="I256" s="16" t="s">
        <v>1132</v>
      </c>
      <c r="J256" s="16" t="s">
        <v>1155</v>
      </c>
      <c r="K256" s="16" t="s">
        <v>1134</v>
      </c>
    </row>
    <row r="257" spans="1:11" ht="240" hidden="1" x14ac:dyDescent="0.25">
      <c r="A257" s="22">
        <v>254</v>
      </c>
      <c r="B257" s="16" t="s">
        <v>1156</v>
      </c>
      <c r="C257" s="16" t="s">
        <v>1157</v>
      </c>
      <c r="D257" s="16">
        <v>160332000</v>
      </c>
      <c r="E257" s="16">
        <v>4</v>
      </c>
      <c r="F257" s="16">
        <v>3</v>
      </c>
      <c r="G257" s="19" t="s">
        <v>842</v>
      </c>
      <c r="H257" s="16"/>
      <c r="I257" s="16" t="s">
        <v>1132</v>
      </c>
      <c r="J257" s="16" t="s">
        <v>1158</v>
      </c>
      <c r="K257" s="16" t="s">
        <v>1134</v>
      </c>
    </row>
    <row r="258" spans="1:11" ht="210" hidden="1" x14ac:dyDescent="0.25">
      <c r="A258" s="22">
        <v>255</v>
      </c>
      <c r="B258" s="16" t="s">
        <v>1159</v>
      </c>
      <c r="C258" s="16" t="s">
        <v>1160</v>
      </c>
      <c r="D258" s="16">
        <v>29366800</v>
      </c>
      <c r="E258" s="16">
        <v>4</v>
      </c>
      <c r="F258" s="16">
        <v>3</v>
      </c>
      <c r="G258" s="19" t="s">
        <v>842</v>
      </c>
      <c r="H258" s="16"/>
      <c r="I258" s="16" t="s">
        <v>1161</v>
      </c>
      <c r="J258" s="16" t="s">
        <v>1162</v>
      </c>
      <c r="K258" s="16" t="s">
        <v>1163</v>
      </c>
    </row>
    <row r="259" spans="1:11" ht="315" hidden="1" x14ac:dyDescent="0.25">
      <c r="A259" s="22">
        <v>256</v>
      </c>
      <c r="B259" s="16" t="s">
        <v>1164</v>
      </c>
      <c r="C259" s="16" t="s">
        <v>1165</v>
      </c>
      <c r="D259" s="16">
        <v>132110000</v>
      </c>
      <c r="E259" s="16">
        <v>3</v>
      </c>
      <c r="F259" s="16">
        <v>4</v>
      </c>
      <c r="G259" s="19" t="s">
        <v>842</v>
      </c>
      <c r="H259" s="16"/>
      <c r="I259" s="16" t="s">
        <v>1166</v>
      </c>
      <c r="J259" s="16" t="s">
        <v>1167</v>
      </c>
      <c r="K259" s="16" t="s">
        <v>1168</v>
      </c>
    </row>
    <row r="260" spans="1:11" ht="180" hidden="1" x14ac:dyDescent="0.25">
      <c r="A260" s="22">
        <v>257</v>
      </c>
      <c r="B260" s="16" t="s">
        <v>1169</v>
      </c>
      <c r="C260" s="16" t="s">
        <v>1170</v>
      </c>
      <c r="D260" s="16">
        <v>55335000</v>
      </c>
      <c r="E260" s="16">
        <v>4</v>
      </c>
      <c r="F260" s="16">
        <v>3</v>
      </c>
      <c r="G260" s="19" t="s">
        <v>842</v>
      </c>
      <c r="H260" s="16"/>
      <c r="I260" s="16" t="s">
        <v>426</v>
      </c>
      <c r="J260" s="16" t="s">
        <v>1171</v>
      </c>
      <c r="K260" s="16" t="s">
        <v>1172</v>
      </c>
    </row>
    <row r="261" spans="1:11" ht="330" hidden="1" x14ac:dyDescent="0.25">
      <c r="A261" s="22">
        <v>258</v>
      </c>
      <c r="B261" s="16" t="s">
        <v>1173</v>
      </c>
      <c r="C261" s="16" t="s">
        <v>1174</v>
      </c>
      <c r="D261" s="16">
        <v>12455000</v>
      </c>
      <c r="E261" s="16">
        <v>3</v>
      </c>
      <c r="F261" s="16">
        <v>5</v>
      </c>
      <c r="G261" s="19" t="s">
        <v>842</v>
      </c>
      <c r="H261" s="16"/>
      <c r="I261" s="16" t="s">
        <v>1175</v>
      </c>
      <c r="J261" s="16" t="s">
        <v>1176</v>
      </c>
      <c r="K261" s="16" t="s">
        <v>1177</v>
      </c>
    </row>
    <row r="262" spans="1:11" ht="330" hidden="1" x14ac:dyDescent="0.25">
      <c r="A262" s="22">
        <v>259</v>
      </c>
      <c r="B262" s="16" t="s">
        <v>1178</v>
      </c>
      <c r="C262" s="16" t="s">
        <v>1179</v>
      </c>
      <c r="D262" s="16">
        <v>23715000</v>
      </c>
      <c r="E262" s="16">
        <v>3</v>
      </c>
      <c r="F262" s="16">
        <v>5</v>
      </c>
      <c r="G262" s="19" t="s">
        <v>842</v>
      </c>
      <c r="H262" s="16"/>
      <c r="I262" s="16" t="s">
        <v>1175</v>
      </c>
      <c r="J262" s="16" t="s">
        <v>1176</v>
      </c>
      <c r="K262" s="16" t="s">
        <v>1180</v>
      </c>
    </row>
    <row r="263" spans="1:11" ht="195" hidden="1" x14ac:dyDescent="0.25">
      <c r="A263" s="22">
        <v>260</v>
      </c>
      <c r="B263" s="16" t="s">
        <v>1181</v>
      </c>
      <c r="C263" s="16" t="s">
        <v>1182</v>
      </c>
      <c r="D263" s="16">
        <v>13275000</v>
      </c>
      <c r="E263" s="16">
        <v>3</v>
      </c>
      <c r="F263" s="16">
        <v>5</v>
      </c>
      <c r="G263" s="19" t="s">
        <v>842</v>
      </c>
      <c r="H263" s="16"/>
      <c r="I263" s="16" t="s">
        <v>1183</v>
      </c>
      <c r="J263" s="16" t="s">
        <v>1184</v>
      </c>
      <c r="K263" s="16" t="s">
        <v>1185</v>
      </c>
    </row>
    <row r="264" spans="1:11" ht="285" hidden="1" x14ac:dyDescent="0.25">
      <c r="A264" s="22">
        <v>261</v>
      </c>
      <c r="B264" s="16" t="s">
        <v>1186</v>
      </c>
      <c r="C264" s="16" t="s">
        <v>1187</v>
      </c>
      <c r="D264" s="16">
        <v>14000000</v>
      </c>
      <c r="E264" s="16">
        <v>3</v>
      </c>
      <c r="F264" s="16">
        <v>5</v>
      </c>
      <c r="G264" s="19" t="s">
        <v>842</v>
      </c>
      <c r="H264" s="16"/>
      <c r="I264" s="16" t="s">
        <v>1188</v>
      </c>
      <c r="J264" s="16" t="s">
        <v>1189</v>
      </c>
      <c r="K264" s="16" t="s">
        <v>1190</v>
      </c>
    </row>
    <row r="265" spans="1:11" ht="180" hidden="1" x14ac:dyDescent="0.25">
      <c r="A265" s="22">
        <v>262</v>
      </c>
      <c r="B265" s="16" t="s">
        <v>1191</v>
      </c>
      <c r="C265" s="16" t="s">
        <v>1192</v>
      </c>
      <c r="D265" s="16">
        <v>7443000</v>
      </c>
      <c r="E265" s="16">
        <v>3</v>
      </c>
      <c r="F265" s="16">
        <v>5</v>
      </c>
      <c r="G265" s="19" t="s">
        <v>842</v>
      </c>
      <c r="H265" s="16"/>
      <c r="I265" s="16" t="s">
        <v>1193</v>
      </c>
      <c r="J265" s="16" t="s">
        <v>1194</v>
      </c>
      <c r="K265" s="16" t="s">
        <v>1195</v>
      </c>
    </row>
    <row r="266" spans="1:11" ht="255" hidden="1" x14ac:dyDescent="0.25">
      <c r="A266" s="22">
        <v>263</v>
      </c>
      <c r="B266" s="16" t="s">
        <v>1196</v>
      </c>
      <c r="C266" s="16" t="s">
        <v>1197</v>
      </c>
      <c r="D266" s="16">
        <v>30870000</v>
      </c>
      <c r="E266" s="16">
        <v>4</v>
      </c>
      <c r="F266" s="16">
        <v>3</v>
      </c>
      <c r="G266" s="19" t="s">
        <v>842</v>
      </c>
      <c r="H266" s="16"/>
      <c r="I266" s="16" t="s">
        <v>1198</v>
      </c>
      <c r="J266" s="16" t="s">
        <v>1199</v>
      </c>
      <c r="K266" s="16" t="s">
        <v>1200</v>
      </c>
    </row>
    <row r="267" spans="1:11" ht="210" hidden="1" x14ac:dyDescent="0.25">
      <c r="A267" s="22">
        <v>264</v>
      </c>
      <c r="B267" s="16" t="s">
        <v>1201</v>
      </c>
      <c r="C267" s="16" t="s">
        <v>1202</v>
      </c>
      <c r="D267" s="16">
        <v>15180000</v>
      </c>
      <c r="E267" s="16">
        <v>4</v>
      </c>
      <c r="F267" s="16">
        <v>3</v>
      </c>
      <c r="G267" s="19" t="s">
        <v>842</v>
      </c>
      <c r="H267" s="16"/>
      <c r="I267" s="16" t="s">
        <v>1203</v>
      </c>
      <c r="J267" s="16" t="s">
        <v>1204</v>
      </c>
      <c r="K267" s="16" t="s">
        <v>1205</v>
      </c>
    </row>
    <row r="268" spans="1:11" ht="195" hidden="1" x14ac:dyDescent="0.25">
      <c r="A268" s="22">
        <v>265</v>
      </c>
      <c r="B268" s="16" t="s">
        <v>1206</v>
      </c>
      <c r="C268" s="16" t="s">
        <v>1207</v>
      </c>
      <c r="D268" s="16">
        <v>92195000</v>
      </c>
      <c r="E268" s="16">
        <v>4</v>
      </c>
      <c r="F268" s="16">
        <v>3</v>
      </c>
      <c r="G268" s="19" t="s">
        <v>842</v>
      </c>
      <c r="H268" s="16"/>
      <c r="I268" s="16" t="s">
        <v>1208</v>
      </c>
      <c r="J268" s="16" t="s">
        <v>1209</v>
      </c>
      <c r="K268" s="16" t="s">
        <v>1210</v>
      </c>
    </row>
    <row r="269" spans="1:11" ht="195" hidden="1" x14ac:dyDescent="0.25">
      <c r="A269" s="22">
        <v>266</v>
      </c>
      <c r="B269" s="16" t="s">
        <v>1211</v>
      </c>
      <c r="C269" s="16" t="s">
        <v>1212</v>
      </c>
      <c r="D269" s="16">
        <v>23395000</v>
      </c>
      <c r="E269" s="16">
        <v>4</v>
      </c>
      <c r="F269" s="16">
        <v>3</v>
      </c>
      <c r="G269" s="19" t="s">
        <v>842</v>
      </c>
      <c r="H269" s="16"/>
      <c r="I269" s="16" t="s">
        <v>1213</v>
      </c>
      <c r="J269" s="16" t="s">
        <v>1214</v>
      </c>
      <c r="K269" s="16" t="s">
        <v>1215</v>
      </c>
    </row>
    <row r="270" spans="1:11" ht="315" hidden="1" x14ac:dyDescent="0.25">
      <c r="A270" s="22">
        <v>267</v>
      </c>
      <c r="B270" s="16" t="s">
        <v>1216</v>
      </c>
      <c r="C270" s="16" t="s">
        <v>1217</v>
      </c>
      <c r="D270" s="16">
        <v>81516900</v>
      </c>
      <c r="E270" s="16">
        <v>5</v>
      </c>
      <c r="F270" s="16">
        <v>3</v>
      </c>
      <c r="G270" s="19" t="s">
        <v>842</v>
      </c>
      <c r="H270" s="16"/>
      <c r="I270" s="16" t="s">
        <v>1218</v>
      </c>
      <c r="J270" s="16" t="s">
        <v>1219</v>
      </c>
      <c r="K270" s="16" t="s">
        <v>1220</v>
      </c>
    </row>
    <row r="271" spans="1:11" ht="240" hidden="1" x14ac:dyDescent="0.25">
      <c r="A271" s="22">
        <v>268</v>
      </c>
      <c r="B271" s="16" t="s">
        <v>1221</v>
      </c>
      <c r="C271" s="16" t="s">
        <v>1222</v>
      </c>
      <c r="D271" s="16">
        <v>174974000</v>
      </c>
      <c r="E271" s="16">
        <v>5</v>
      </c>
      <c r="F271" s="16">
        <v>3</v>
      </c>
      <c r="G271" s="19" t="s">
        <v>842</v>
      </c>
      <c r="H271" s="16"/>
      <c r="I271" s="16" t="s">
        <v>1223</v>
      </c>
      <c r="J271" s="16" t="s">
        <v>1224</v>
      </c>
      <c r="K271" s="16" t="s">
        <v>1225</v>
      </c>
    </row>
    <row r="272" spans="1:11" ht="360" hidden="1" x14ac:dyDescent="0.25">
      <c r="A272" s="22">
        <v>269</v>
      </c>
      <c r="B272" s="16" t="s">
        <v>1226</v>
      </c>
      <c r="C272" s="16" t="s">
        <v>1227</v>
      </c>
      <c r="D272" s="16">
        <v>63157000</v>
      </c>
      <c r="E272" s="16">
        <v>5</v>
      </c>
      <c r="F272" s="16">
        <v>3</v>
      </c>
      <c r="G272" s="19" t="s">
        <v>842</v>
      </c>
      <c r="H272" s="16"/>
      <c r="I272" s="16" t="s">
        <v>1228</v>
      </c>
      <c r="J272" s="16" t="s">
        <v>1229</v>
      </c>
      <c r="K272" s="16" t="s">
        <v>1230</v>
      </c>
    </row>
    <row r="273" spans="1:11" ht="285" hidden="1" x14ac:dyDescent="0.25">
      <c r="A273" s="22">
        <v>270</v>
      </c>
      <c r="B273" s="16" t="s">
        <v>1231</v>
      </c>
      <c r="C273" s="16" t="s">
        <v>1232</v>
      </c>
      <c r="D273" s="16">
        <v>124925000</v>
      </c>
      <c r="E273" s="16">
        <v>5</v>
      </c>
      <c r="F273" s="16">
        <v>3</v>
      </c>
      <c r="G273" s="19" t="s">
        <v>842</v>
      </c>
      <c r="H273" s="16"/>
      <c r="I273" s="16" t="s">
        <v>1233</v>
      </c>
      <c r="J273" s="16" t="s">
        <v>1234</v>
      </c>
      <c r="K273" s="16" t="s">
        <v>1235</v>
      </c>
    </row>
    <row r="274" spans="1:11" ht="210" hidden="1" x14ac:dyDescent="0.25">
      <c r="A274" s="22">
        <v>271</v>
      </c>
      <c r="B274" s="16" t="s">
        <v>1236</v>
      </c>
      <c r="C274" s="16" t="s">
        <v>1237</v>
      </c>
      <c r="D274" s="16">
        <v>53885000</v>
      </c>
      <c r="E274" s="16">
        <v>4</v>
      </c>
      <c r="F274" s="16">
        <v>3</v>
      </c>
      <c r="G274" s="19" t="s">
        <v>842</v>
      </c>
      <c r="H274" s="16"/>
      <c r="I274" s="16" t="s">
        <v>1238</v>
      </c>
      <c r="J274" s="16" t="s">
        <v>1239</v>
      </c>
      <c r="K274" s="16" t="s">
        <v>1240</v>
      </c>
    </row>
    <row r="275" spans="1:11" ht="285" hidden="1" x14ac:dyDescent="0.25">
      <c r="A275" s="22">
        <v>272</v>
      </c>
      <c r="B275" s="16" t="s">
        <v>1241</v>
      </c>
      <c r="C275" s="16" t="s">
        <v>1242</v>
      </c>
      <c r="D275" s="16">
        <v>100200000</v>
      </c>
      <c r="E275" s="16">
        <v>5</v>
      </c>
      <c r="F275" s="16">
        <v>3</v>
      </c>
      <c r="G275" s="19" t="s">
        <v>842</v>
      </c>
      <c r="H275" s="16"/>
      <c r="I275" s="16" t="s">
        <v>1243</v>
      </c>
      <c r="J275" s="16" t="s">
        <v>1244</v>
      </c>
      <c r="K275" s="16" t="s">
        <v>1245</v>
      </c>
    </row>
    <row r="276" spans="1:11" ht="225" hidden="1" x14ac:dyDescent="0.25">
      <c r="A276" s="22">
        <v>273</v>
      </c>
      <c r="B276" s="16" t="s">
        <v>1246</v>
      </c>
      <c r="C276" s="16" t="s">
        <v>1247</v>
      </c>
      <c r="D276" s="16">
        <v>56545000</v>
      </c>
      <c r="E276" s="16">
        <v>4</v>
      </c>
      <c r="F276" s="16">
        <v>3</v>
      </c>
      <c r="G276" s="19" t="s">
        <v>842</v>
      </c>
      <c r="H276" s="16"/>
      <c r="I276" s="16" t="s">
        <v>1248</v>
      </c>
      <c r="J276" s="16" t="s">
        <v>1249</v>
      </c>
      <c r="K276" s="16" t="s">
        <v>1250</v>
      </c>
    </row>
    <row r="277" spans="1:11" ht="270" hidden="1" x14ac:dyDescent="0.25">
      <c r="A277" s="22">
        <v>274</v>
      </c>
      <c r="B277" s="16" t="s">
        <v>1251</v>
      </c>
      <c r="C277" s="16" t="s">
        <v>1252</v>
      </c>
      <c r="D277" s="16">
        <v>27299750</v>
      </c>
      <c r="E277" s="16">
        <v>5</v>
      </c>
      <c r="F277" s="16">
        <v>3</v>
      </c>
      <c r="G277" s="19" t="s">
        <v>842</v>
      </c>
      <c r="H277" s="16"/>
      <c r="I277" s="16" t="s">
        <v>1253</v>
      </c>
      <c r="J277" s="16" t="s">
        <v>1254</v>
      </c>
      <c r="K277" s="16" t="s">
        <v>1255</v>
      </c>
    </row>
    <row r="278" spans="1:11" ht="255" hidden="1" x14ac:dyDescent="0.25">
      <c r="A278" s="22">
        <v>275</v>
      </c>
      <c r="B278" s="16" t="s">
        <v>1256</v>
      </c>
      <c r="C278" s="16" t="s">
        <v>1257</v>
      </c>
      <c r="D278" s="16">
        <v>54300000</v>
      </c>
      <c r="E278" s="16">
        <v>5</v>
      </c>
      <c r="F278" s="16">
        <v>3</v>
      </c>
      <c r="G278" s="19" t="s">
        <v>842</v>
      </c>
      <c r="H278" s="16"/>
      <c r="I278" s="16" t="s">
        <v>1258</v>
      </c>
      <c r="J278" s="16" t="s">
        <v>1259</v>
      </c>
      <c r="K278" s="16" t="s">
        <v>1260</v>
      </c>
    </row>
    <row r="279" spans="1:11" ht="285" hidden="1" x14ac:dyDescent="0.25">
      <c r="A279" s="22">
        <v>276</v>
      </c>
      <c r="B279" s="16" t="s">
        <v>1261</v>
      </c>
      <c r="C279" s="16" t="s">
        <v>1262</v>
      </c>
      <c r="D279" s="16">
        <v>13450000</v>
      </c>
      <c r="E279" s="16">
        <v>4</v>
      </c>
      <c r="F279" s="16">
        <v>3</v>
      </c>
      <c r="G279" s="19" t="s">
        <v>842</v>
      </c>
      <c r="H279" s="16"/>
      <c r="I279" s="16" t="s">
        <v>1263</v>
      </c>
      <c r="J279" s="16" t="s">
        <v>1264</v>
      </c>
      <c r="K279" s="16" t="s">
        <v>1265</v>
      </c>
    </row>
    <row r="280" spans="1:11" ht="255" hidden="1" x14ac:dyDescent="0.25">
      <c r="A280" s="22">
        <v>277</v>
      </c>
      <c r="B280" s="16" t="s">
        <v>1266</v>
      </c>
      <c r="C280" s="16" t="s">
        <v>1267</v>
      </c>
      <c r="D280" s="16">
        <v>42483000</v>
      </c>
      <c r="E280" s="16">
        <v>3</v>
      </c>
      <c r="F280" s="16">
        <v>5</v>
      </c>
      <c r="G280" s="19" t="s">
        <v>842</v>
      </c>
      <c r="H280" s="16"/>
      <c r="I280" s="16" t="s">
        <v>1268</v>
      </c>
      <c r="J280" s="16" t="s">
        <v>1269</v>
      </c>
      <c r="K280" s="16" t="s">
        <v>1270</v>
      </c>
    </row>
    <row r="281" spans="1:11" ht="285" hidden="1" x14ac:dyDescent="0.25">
      <c r="A281" s="22">
        <v>278</v>
      </c>
      <c r="B281" s="16" t="s">
        <v>1271</v>
      </c>
      <c r="C281" s="16" t="s">
        <v>1272</v>
      </c>
      <c r="D281" s="16">
        <v>101280000</v>
      </c>
      <c r="E281" s="16">
        <v>3</v>
      </c>
      <c r="F281" s="16">
        <v>4</v>
      </c>
      <c r="G281" s="19" t="s">
        <v>842</v>
      </c>
      <c r="H281" s="16"/>
      <c r="I281" s="16" t="s">
        <v>1273</v>
      </c>
      <c r="J281" s="16" t="s">
        <v>1274</v>
      </c>
      <c r="K281" s="16" t="s">
        <v>1275</v>
      </c>
    </row>
    <row r="282" spans="1:11" ht="210" hidden="1" x14ac:dyDescent="0.25">
      <c r="A282" s="22">
        <v>279</v>
      </c>
      <c r="B282" s="16" t="s">
        <v>1276</v>
      </c>
      <c r="C282" s="16" t="s">
        <v>1277</v>
      </c>
      <c r="D282" s="16">
        <v>12227500</v>
      </c>
      <c r="E282" s="16">
        <v>4</v>
      </c>
      <c r="F282" s="16">
        <v>3</v>
      </c>
      <c r="G282" s="19" t="s">
        <v>842</v>
      </c>
      <c r="H282" s="16"/>
      <c r="I282" s="16" t="s">
        <v>1278</v>
      </c>
      <c r="J282" s="16" t="s">
        <v>1279</v>
      </c>
      <c r="K282" s="16" t="s">
        <v>1280</v>
      </c>
    </row>
    <row r="283" spans="1:11" ht="270" hidden="1" x14ac:dyDescent="0.25">
      <c r="A283" s="22">
        <v>280</v>
      </c>
      <c r="B283" s="16" t="s">
        <v>1281</v>
      </c>
      <c r="C283" s="16" t="s">
        <v>1282</v>
      </c>
      <c r="D283" s="16">
        <v>212408000</v>
      </c>
      <c r="E283" s="16">
        <v>3</v>
      </c>
      <c r="F283" s="16">
        <v>4</v>
      </c>
      <c r="G283" s="19" t="s">
        <v>842</v>
      </c>
      <c r="H283" s="16"/>
      <c r="I283" s="16" t="s">
        <v>1283</v>
      </c>
      <c r="J283" s="16" t="s">
        <v>1284</v>
      </c>
      <c r="K283" s="16" t="s">
        <v>1285</v>
      </c>
    </row>
    <row r="284" spans="1:11" ht="285" hidden="1" x14ac:dyDescent="0.25">
      <c r="A284" s="22">
        <v>281</v>
      </c>
      <c r="B284" s="16" t="s">
        <v>1286</v>
      </c>
      <c r="C284" s="16" t="s">
        <v>1287</v>
      </c>
      <c r="D284" s="16">
        <v>525260000</v>
      </c>
      <c r="E284" s="16">
        <v>3</v>
      </c>
      <c r="F284" s="16">
        <v>4</v>
      </c>
      <c r="G284" s="19" t="s">
        <v>842</v>
      </c>
      <c r="H284" s="16"/>
      <c r="I284" s="16" t="s">
        <v>1283</v>
      </c>
      <c r="J284" s="16" t="s">
        <v>1288</v>
      </c>
      <c r="K284" s="16" t="s">
        <v>1285</v>
      </c>
    </row>
    <row r="285" spans="1:11" ht="300" hidden="1" x14ac:dyDescent="0.25">
      <c r="A285" s="22">
        <v>282</v>
      </c>
      <c r="B285" s="16" t="s">
        <v>1289</v>
      </c>
      <c r="C285" s="16" t="s">
        <v>1290</v>
      </c>
      <c r="D285" s="16">
        <v>4160000</v>
      </c>
      <c r="E285" s="16">
        <v>3</v>
      </c>
      <c r="F285" s="16">
        <v>4</v>
      </c>
      <c r="G285" s="19" t="s">
        <v>842</v>
      </c>
      <c r="H285" s="16"/>
      <c r="I285" s="16" t="s">
        <v>1291</v>
      </c>
      <c r="J285" s="16" t="s">
        <v>1292</v>
      </c>
      <c r="K285" s="16" t="s">
        <v>1293</v>
      </c>
    </row>
    <row r="286" spans="1:11" ht="180" hidden="1" x14ac:dyDescent="0.25">
      <c r="A286" s="22">
        <v>283</v>
      </c>
      <c r="B286" s="16" t="s">
        <v>1294</v>
      </c>
      <c r="C286" s="16" t="s">
        <v>1295</v>
      </c>
      <c r="D286" s="16">
        <v>107595362</v>
      </c>
      <c r="E286" s="16">
        <v>3</v>
      </c>
      <c r="F286" s="16">
        <v>5</v>
      </c>
      <c r="G286" s="19" t="s">
        <v>842</v>
      </c>
      <c r="H286" s="16"/>
      <c r="I286" s="16" t="s">
        <v>1296</v>
      </c>
      <c r="J286" s="16" t="s">
        <v>1297</v>
      </c>
      <c r="K286" s="16" t="s">
        <v>1298</v>
      </c>
    </row>
    <row r="287" spans="1:11" ht="300" hidden="1" x14ac:dyDescent="0.25">
      <c r="A287" s="22">
        <v>284</v>
      </c>
      <c r="B287" s="16" t="s">
        <v>1299</v>
      </c>
      <c r="C287" s="16" t="s">
        <v>1300</v>
      </c>
      <c r="D287" s="16">
        <v>10745000</v>
      </c>
      <c r="E287" s="16">
        <v>3</v>
      </c>
      <c r="F287" s="16">
        <v>4</v>
      </c>
      <c r="G287" s="19" t="s">
        <v>842</v>
      </c>
      <c r="H287" s="16"/>
      <c r="I287" s="16" t="s">
        <v>1301</v>
      </c>
      <c r="J287" s="16" t="s">
        <v>1302</v>
      </c>
      <c r="K287" s="16" t="s">
        <v>1303</v>
      </c>
    </row>
    <row r="288" spans="1:11" ht="135" hidden="1" x14ac:dyDescent="0.25">
      <c r="A288" s="22">
        <v>285</v>
      </c>
      <c r="B288" s="16" t="s">
        <v>1304</v>
      </c>
      <c r="C288" s="16" t="s">
        <v>1305</v>
      </c>
      <c r="D288" s="16">
        <v>0</v>
      </c>
      <c r="E288" s="16">
        <v>3</v>
      </c>
      <c r="F288" s="16">
        <v>4</v>
      </c>
      <c r="G288" s="19" t="s">
        <v>842</v>
      </c>
      <c r="H288" s="16"/>
      <c r="I288" s="16" t="s">
        <v>1306</v>
      </c>
      <c r="J288" s="16" t="s">
        <v>1307</v>
      </c>
      <c r="K288" s="16" t="s">
        <v>1308</v>
      </c>
    </row>
    <row r="289" spans="1:11" ht="300" hidden="1" x14ac:dyDescent="0.25">
      <c r="A289" s="22">
        <v>286</v>
      </c>
      <c r="B289" s="16" t="s">
        <v>1309</v>
      </c>
      <c r="C289" s="16" t="s">
        <v>1310</v>
      </c>
      <c r="D289" s="16">
        <v>4820000</v>
      </c>
      <c r="E289" s="16">
        <v>3</v>
      </c>
      <c r="F289" s="16">
        <v>4</v>
      </c>
      <c r="G289" s="19" t="s">
        <v>842</v>
      </c>
      <c r="H289" s="16"/>
      <c r="I289" s="16" t="s">
        <v>1291</v>
      </c>
      <c r="J289" s="16" t="s">
        <v>1292</v>
      </c>
      <c r="K289" s="16" t="s">
        <v>1293</v>
      </c>
    </row>
    <row r="290" spans="1:11" ht="285" hidden="1" x14ac:dyDescent="0.25">
      <c r="A290" s="22">
        <v>287</v>
      </c>
      <c r="B290" s="16" t="s">
        <v>1311</v>
      </c>
      <c r="C290" s="16" t="s">
        <v>1312</v>
      </c>
      <c r="D290" s="16">
        <v>2155000</v>
      </c>
      <c r="E290" s="16">
        <v>3</v>
      </c>
      <c r="F290" s="16">
        <v>5</v>
      </c>
      <c r="G290" s="19" t="s">
        <v>842</v>
      </c>
      <c r="H290" s="16"/>
      <c r="I290" s="16" t="s">
        <v>1313</v>
      </c>
      <c r="J290" s="16" t="s">
        <v>1314</v>
      </c>
      <c r="K290" s="16" t="s">
        <v>1315</v>
      </c>
    </row>
    <row r="291" spans="1:11" ht="270" hidden="1" x14ac:dyDescent="0.25">
      <c r="A291" s="22">
        <v>288</v>
      </c>
      <c r="B291" s="16" t="s">
        <v>1316</v>
      </c>
      <c r="C291" s="16" t="s">
        <v>1317</v>
      </c>
      <c r="D291" s="16">
        <v>20000000</v>
      </c>
      <c r="E291" s="16">
        <v>3</v>
      </c>
      <c r="F291" s="16">
        <v>4</v>
      </c>
      <c r="G291" s="19" t="s">
        <v>842</v>
      </c>
      <c r="H291" s="16"/>
      <c r="I291" s="16" t="s">
        <v>1318</v>
      </c>
      <c r="J291" s="16" t="s">
        <v>1319</v>
      </c>
      <c r="K291" s="16" t="s">
        <v>1320</v>
      </c>
    </row>
    <row r="292" spans="1:11" ht="409.5" hidden="1" x14ac:dyDescent="0.25">
      <c r="A292" s="22">
        <v>289</v>
      </c>
      <c r="B292" s="16" t="s">
        <v>1321</v>
      </c>
      <c r="C292" s="16" t="s">
        <v>1322</v>
      </c>
      <c r="D292" s="16">
        <v>10335000</v>
      </c>
      <c r="E292" s="16">
        <v>3</v>
      </c>
      <c r="F292" s="16">
        <v>5</v>
      </c>
      <c r="G292" s="19" t="s">
        <v>842</v>
      </c>
      <c r="H292" s="16"/>
      <c r="I292" s="16" t="s">
        <v>1323</v>
      </c>
      <c r="J292" s="16" t="s">
        <v>1324</v>
      </c>
      <c r="K292" s="16" t="s">
        <v>1325</v>
      </c>
    </row>
    <row r="293" spans="1:11" ht="409.5" hidden="1" x14ac:dyDescent="0.25">
      <c r="A293" s="22">
        <v>290</v>
      </c>
      <c r="B293" s="16" t="s">
        <v>1326</v>
      </c>
      <c r="C293" s="16" t="s">
        <v>1327</v>
      </c>
      <c r="D293" s="16">
        <v>7463000</v>
      </c>
      <c r="E293" s="16">
        <v>3</v>
      </c>
      <c r="F293" s="16">
        <v>5</v>
      </c>
      <c r="G293" s="19" t="s">
        <v>842</v>
      </c>
      <c r="H293" s="16"/>
      <c r="I293" s="16" t="s">
        <v>1328</v>
      </c>
      <c r="J293" s="16" t="s">
        <v>1329</v>
      </c>
      <c r="K293" s="16" t="s">
        <v>1330</v>
      </c>
    </row>
    <row r="294" spans="1:11" ht="409.5" hidden="1" x14ac:dyDescent="0.25">
      <c r="A294" s="22">
        <v>291</v>
      </c>
      <c r="B294" s="16" t="s">
        <v>1331</v>
      </c>
      <c r="C294" s="16" t="s">
        <v>1332</v>
      </c>
      <c r="D294" s="16">
        <v>8757000</v>
      </c>
      <c r="E294" s="16">
        <v>3</v>
      </c>
      <c r="F294" s="16">
        <v>4</v>
      </c>
      <c r="G294" s="19" t="s">
        <v>842</v>
      </c>
      <c r="H294" s="16"/>
      <c r="I294" s="16" t="s">
        <v>1333</v>
      </c>
      <c r="J294" s="16" t="s">
        <v>1334</v>
      </c>
      <c r="K294" s="16" t="s">
        <v>1335</v>
      </c>
    </row>
    <row r="295" spans="1:11" ht="409.5" hidden="1" x14ac:dyDescent="0.25">
      <c r="A295" s="22">
        <v>292</v>
      </c>
      <c r="B295" s="16" t="s">
        <v>1336</v>
      </c>
      <c r="C295" s="16" t="s">
        <v>1337</v>
      </c>
      <c r="D295" s="16">
        <v>7297000</v>
      </c>
      <c r="E295" s="16">
        <v>3</v>
      </c>
      <c r="F295" s="16">
        <v>4</v>
      </c>
      <c r="G295" s="19" t="s">
        <v>842</v>
      </c>
      <c r="H295" s="16"/>
      <c r="I295" s="16" t="s">
        <v>1338</v>
      </c>
      <c r="J295" s="16" t="s">
        <v>1339</v>
      </c>
      <c r="K295" s="16" t="s">
        <v>1340</v>
      </c>
    </row>
    <row r="296" spans="1:11" ht="409.5" hidden="1" x14ac:dyDescent="0.25">
      <c r="A296" s="22">
        <v>293</v>
      </c>
      <c r="B296" s="16" t="s">
        <v>1341</v>
      </c>
      <c r="C296" s="16" t="s">
        <v>1342</v>
      </c>
      <c r="D296" s="16">
        <v>170000000</v>
      </c>
      <c r="E296" s="16">
        <v>3</v>
      </c>
      <c r="F296" s="16">
        <v>5</v>
      </c>
      <c r="G296" s="19" t="s">
        <v>842</v>
      </c>
      <c r="H296" s="16"/>
      <c r="I296" s="16" t="s">
        <v>1343</v>
      </c>
      <c r="J296" s="16" t="s">
        <v>1344</v>
      </c>
      <c r="K296" s="16" t="s">
        <v>1345</v>
      </c>
    </row>
    <row r="297" spans="1:11" ht="409.5" hidden="1" x14ac:dyDescent="0.25">
      <c r="A297" s="22">
        <v>294</v>
      </c>
      <c r="B297" s="16" t="s">
        <v>1346</v>
      </c>
      <c r="C297" s="16" t="s">
        <v>1347</v>
      </c>
      <c r="D297" s="16">
        <v>7259000</v>
      </c>
      <c r="E297" s="16">
        <v>3</v>
      </c>
      <c r="F297" s="16">
        <v>4</v>
      </c>
      <c r="G297" s="19" t="s">
        <v>842</v>
      </c>
      <c r="H297" s="16"/>
      <c r="I297" s="16" t="s">
        <v>629</v>
      </c>
      <c r="J297" s="16" t="s">
        <v>630</v>
      </c>
      <c r="K297" s="16" t="s">
        <v>631</v>
      </c>
    </row>
    <row r="298" spans="1:11" ht="409.5" hidden="1" x14ac:dyDescent="0.25">
      <c r="A298" s="22">
        <v>295</v>
      </c>
      <c r="B298" s="16" t="s">
        <v>1348</v>
      </c>
      <c r="C298" s="16" t="s">
        <v>1349</v>
      </c>
      <c r="D298" s="16">
        <v>8487000</v>
      </c>
      <c r="E298" s="16">
        <v>3</v>
      </c>
      <c r="F298" s="16">
        <v>4</v>
      </c>
      <c r="G298" s="19" t="s">
        <v>842</v>
      </c>
      <c r="H298" s="16"/>
      <c r="I298" s="16" t="s">
        <v>1350</v>
      </c>
      <c r="J298" s="16" t="s">
        <v>1351</v>
      </c>
      <c r="K298" s="16" t="s">
        <v>1352</v>
      </c>
    </row>
    <row r="299" spans="1:11" ht="409.5" hidden="1" x14ac:dyDescent="0.25">
      <c r="A299" s="22">
        <v>296</v>
      </c>
      <c r="B299" s="16" t="s">
        <v>1353</v>
      </c>
      <c r="C299" s="16" t="s">
        <v>1354</v>
      </c>
      <c r="D299" s="16">
        <v>8174000</v>
      </c>
      <c r="E299" s="16">
        <v>3</v>
      </c>
      <c r="F299" s="16">
        <v>4</v>
      </c>
      <c r="G299" s="19" t="s">
        <v>842</v>
      </c>
      <c r="H299" s="16"/>
      <c r="I299" s="16" t="s">
        <v>1355</v>
      </c>
      <c r="J299" s="16" t="s">
        <v>1356</v>
      </c>
      <c r="K299" s="16" t="s">
        <v>1357</v>
      </c>
    </row>
    <row r="300" spans="1:11" ht="165" hidden="1" x14ac:dyDescent="0.25">
      <c r="A300" s="22">
        <v>297</v>
      </c>
      <c r="B300" s="16" t="s">
        <v>1358</v>
      </c>
      <c r="C300" s="16" t="s">
        <v>1359</v>
      </c>
      <c r="D300" s="16">
        <v>60500000</v>
      </c>
      <c r="E300" s="16">
        <v>4</v>
      </c>
      <c r="F300" s="16">
        <v>3</v>
      </c>
      <c r="G300" s="19" t="s">
        <v>842</v>
      </c>
      <c r="H300" s="16"/>
      <c r="I300" s="16" t="s">
        <v>1360</v>
      </c>
      <c r="J300" s="16" t="s">
        <v>1361</v>
      </c>
      <c r="K300" s="16" t="s">
        <v>1362</v>
      </c>
    </row>
    <row r="301" spans="1:11" ht="195" hidden="1" x14ac:dyDescent="0.25">
      <c r="A301" s="22">
        <v>298</v>
      </c>
      <c r="B301" s="16" t="s">
        <v>1363</v>
      </c>
      <c r="C301" s="16" t="s">
        <v>1364</v>
      </c>
      <c r="D301" s="16">
        <v>16380000</v>
      </c>
      <c r="E301" s="16">
        <v>3</v>
      </c>
      <c r="F301" s="16">
        <v>4</v>
      </c>
      <c r="G301" s="19" t="s">
        <v>842</v>
      </c>
      <c r="H301" s="16"/>
      <c r="I301" s="16" t="s">
        <v>1365</v>
      </c>
      <c r="J301" s="16" t="s">
        <v>1366</v>
      </c>
      <c r="K301" s="16" t="s">
        <v>1367</v>
      </c>
    </row>
    <row r="302" spans="1:11" ht="180" hidden="1" x14ac:dyDescent="0.25">
      <c r="A302" s="22">
        <v>299</v>
      </c>
      <c r="B302" s="16" t="s">
        <v>1368</v>
      </c>
      <c r="C302" s="16" t="s">
        <v>1369</v>
      </c>
      <c r="D302" s="16">
        <v>190000000</v>
      </c>
      <c r="E302" s="16">
        <v>3</v>
      </c>
      <c r="F302" s="16">
        <v>4</v>
      </c>
      <c r="G302" s="19" t="s">
        <v>842</v>
      </c>
      <c r="H302" s="16"/>
      <c r="I302" s="16" t="s">
        <v>1370</v>
      </c>
      <c r="J302" s="16" t="s">
        <v>1371</v>
      </c>
      <c r="K302" s="16" t="s">
        <v>1372</v>
      </c>
    </row>
    <row r="303" spans="1:11" ht="210" hidden="1" x14ac:dyDescent="0.25">
      <c r="A303" s="22">
        <v>300</v>
      </c>
      <c r="B303" s="16" t="s">
        <v>1373</v>
      </c>
      <c r="C303" s="16" t="s">
        <v>1374</v>
      </c>
      <c r="D303" s="16">
        <v>79850000</v>
      </c>
      <c r="E303" s="16">
        <v>3</v>
      </c>
      <c r="F303" s="16">
        <v>4</v>
      </c>
      <c r="G303" s="19" t="s">
        <v>842</v>
      </c>
      <c r="H303" s="16"/>
      <c r="I303" s="16" t="s">
        <v>1375</v>
      </c>
      <c r="J303" s="16" t="s">
        <v>1376</v>
      </c>
      <c r="K303" s="16" t="s">
        <v>1377</v>
      </c>
    </row>
    <row r="304" spans="1:11" ht="345" hidden="1" x14ac:dyDescent="0.25">
      <c r="A304" s="22">
        <v>301</v>
      </c>
      <c r="B304" s="16" t="s">
        <v>1378</v>
      </c>
      <c r="C304" s="16" t="s">
        <v>1379</v>
      </c>
      <c r="D304" s="16">
        <v>75250000</v>
      </c>
      <c r="E304" s="16">
        <v>3</v>
      </c>
      <c r="F304" s="16">
        <v>4</v>
      </c>
      <c r="G304" s="19" t="s">
        <v>842</v>
      </c>
      <c r="H304" s="16"/>
      <c r="I304" s="16" t="s">
        <v>1380</v>
      </c>
      <c r="J304" s="16" t="s">
        <v>1381</v>
      </c>
      <c r="K304" s="16" t="s">
        <v>1382</v>
      </c>
    </row>
    <row r="305" spans="1:11" ht="75" hidden="1" x14ac:dyDescent="0.25">
      <c r="A305" s="22">
        <v>302</v>
      </c>
      <c r="B305" s="16" t="s">
        <v>1383</v>
      </c>
      <c r="C305" s="16" t="s">
        <v>1384</v>
      </c>
      <c r="D305" s="16">
        <v>45000000</v>
      </c>
      <c r="E305" s="16">
        <v>3</v>
      </c>
      <c r="F305" s="16">
        <v>5</v>
      </c>
      <c r="G305" s="19" t="s">
        <v>842</v>
      </c>
      <c r="H305" s="16"/>
      <c r="I305" s="16" t="s">
        <v>1385</v>
      </c>
      <c r="J305" s="16" t="s">
        <v>1386</v>
      </c>
      <c r="K305" s="16" t="s">
        <v>1387</v>
      </c>
    </row>
    <row r="306" spans="1:11" ht="90" hidden="1" x14ac:dyDescent="0.25">
      <c r="A306" s="22">
        <v>303</v>
      </c>
      <c r="B306" s="16" t="s">
        <v>1388</v>
      </c>
      <c r="C306" s="16" t="s">
        <v>1389</v>
      </c>
      <c r="D306" s="16">
        <v>37500000</v>
      </c>
      <c r="E306" s="16">
        <v>3</v>
      </c>
      <c r="F306" s="16">
        <v>4</v>
      </c>
      <c r="G306" s="19" t="s">
        <v>842</v>
      </c>
      <c r="H306" s="16"/>
      <c r="I306" s="16" t="s">
        <v>1390</v>
      </c>
      <c r="J306" s="16" t="s">
        <v>1391</v>
      </c>
      <c r="K306" s="16" t="s">
        <v>1392</v>
      </c>
    </row>
    <row r="307" spans="1:11" ht="225" hidden="1" x14ac:dyDescent="0.25">
      <c r="A307" s="22">
        <v>304</v>
      </c>
      <c r="B307" s="16" t="s">
        <v>1393</v>
      </c>
      <c r="C307" s="16" t="s">
        <v>1394</v>
      </c>
      <c r="D307" s="16">
        <v>1942000000</v>
      </c>
      <c r="E307" s="16">
        <v>5</v>
      </c>
      <c r="F307" s="16">
        <v>3</v>
      </c>
      <c r="G307" s="19" t="s">
        <v>842</v>
      </c>
      <c r="H307" s="16"/>
      <c r="I307" s="16" t="s">
        <v>1395</v>
      </c>
      <c r="J307" s="16" t="s">
        <v>1396</v>
      </c>
      <c r="K307" s="16" t="s">
        <v>1397</v>
      </c>
    </row>
    <row r="308" spans="1:11" ht="270" hidden="1" x14ac:dyDescent="0.25">
      <c r="A308" s="22">
        <v>305</v>
      </c>
      <c r="B308" s="16" t="s">
        <v>1398</v>
      </c>
      <c r="C308" s="16" t="s">
        <v>1399</v>
      </c>
      <c r="D308" s="16">
        <v>1500000000</v>
      </c>
      <c r="E308" s="16">
        <v>5</v>
      </c>
      <c r="F308" s="16">
        <v>3</v>
      </c>
      <c r="G308" s="19" t="s">
        <v>842</v>
      </c>
      <c r="H308" s="16"/>
      <c r="I308" s="16" t="s">
        <v>1400</v>
      </c>
      <c r="J308" s="16" t="s">
        <v>1401</v>
      </c>
      <c r="K308" s="16" t="s">
        <v>1402</v>
      </c>
    </row>
    <row r="309" spans="1:11" ht="315" hidden="1" x14ac:dyDescent="0.25">
      <c r="A309" s="22">
        <v>306</v>
      </c>
      <c r="B309" s="16" t="s">
        <v>1403</v>
      </c>
      <c r="C309" s="16" t="s">
        <v>1404</v>
      </c>
      <c r="D309" s="16">
        <v>1543230803</v>
      </c>
      <c r="E309" s="16">
        <v>4</v>
      </c>
      <c r="F309" s="16">
        <v>3</v>
      </c>
      <c r="G309" s="19" t="s">
        <v>842</v>
      </c>
      <c r="H309" s="16"/>
      <c r="I309" s="16" t="s">
        <v>1400</v>
      </c>
      <c r="J309" s="16" t="s">
        <v>1405</v>
      </c>
      <c r="K309" s="16" t="s">
        <v>1406</v>
      </c>
    </row>
    <row r="310" spans="1:11" ht="210" hidden="1" x14ac:dyDescent="0.25">
      <c r="A310" s="22">
        <v>307</v>
      </c>
      <c r="B310" s="16" t="s">
        <v>1407</v>
      </c>
      <c r="C310" s="16" t="s">
        <v>1408</v>
      </c>
      <c r="D310" s="16">
        <v>500000000</v>
      </c>
      <c r="E310" s="16">
        <v>3</v>
      </c>
      <c r="F310" s="16">
        <v>4</v>
      </c>
      <c r="G310" s="19" t="s">
        <v>842</v>
      </c>
      <c r="H310" s="16"/>
      <c r="I310" s="16" t="s">
        <v>1409</v>
      </c>
      <c r="J310" s="16" t="s">
        <v>1410</v>
      </c>
      <c r="K310" s="16" t="s">
        <v>1411</v>
      </c>
    </row>
    <row r="311" spans="1:11" ht="195" hidden="1" x14ac:dyDescent="0.25">
      <c r="A311" s="22">
        <v>308</v>
      </c>
      <c r="B311" s="16" t="s">
        <v>1412</v>
      </c>
      <c r="C311" s="16" t="s">
        <v>1413</v>
      </c>
      <c r="D311" s="16">
        <v>5054030000</v>
      </c>
      <c r="E311" s="16">
        <v>3</v>
      </c>
      <c r="F311" s="16">
        <v>5</v>
      </c>
      <c r="G311" s="19" t="s">
        <v>842</v>
      </c>
      <c r="H311" s="16"/>
      <c r="I311" s="16" t="s">
        <v>791</v>
      </c>
      <c r="J311" s="16" t="s">
        <v>1414</v>
      </c>
      <c r="K311" s="16" t="s">
        <v>1415</v>
      </c>
    </row>
    <row r="312" spans="1:11" ht="210" hidden="1" x14ac:dyDescent="0.25">
      <c r="A312" s="22">
        <v>309</v>
      </c>
      <c r="B312" s="16" t="s">
        <v>1416</v>
      </c>
      <c r="C312" s="16" t="s">
        <v>1417</v>
      </c>
      <c r="D312" s="16">
        <v>300000000</v>
      </c>
      <c r="E312" s="16">
        <v>3</v>
      </c>
      <c r="F312" s="16">
        <v>4</v>
      </c>
      <c r="G312" s="19" t="s">
        <v>842</v>
      </c>
      <c r="H312" s="16"/>
      <c r="I312" s="16" t="s">
        <v>791</v>
      </c>
      <c r="J312" s="16" t="s">
        <v>1418</v>
      </c>
      <c r="K312" s="16" t="s">
        <v>1419</v>
      </c>
    </row>
    <row r="313" spans="1:11" ht="285" hidden="1" x14ac:dyDescent="0.25">
      <c r="A313" s="22">
        <v>310</v>
      </c>
      <c r="B313" s="16" t="s">
        <v>1420</v>
      </c>
      <c r="C313" s="16" t="s">
        <v>1421</v>
      </c>
      <c r="D313" s="16">
        <v>660000000</v>
      </c>
      <c r="E313" s="16">
        <v>3</v>
      </c>
      <c r="F313" s="16">
        <v>4</v>
      </c>
      <c r="G313" s="19" t="s">
        <v>842</v>
      </c>
      <c r="H313" s="16"/>
      <c r="I313" s="16" t="s">
        <v>1422</v>
      </c>
      <c r="J313" s="16" t="s">
        <v>1423</v>
      </c>
      <c r="K313" s="16" t="s">
        <v>1424</v>
      </c>
    </row>
    <row r="314" spans="1:11" ht="315" hidden="1" x14ac:dyDescent="0.25">
      <c r="A314" s="22">
        <v>311</v>
      </c>
      <c r="B314" s="16" t="s">
        <v>1425</v>
      </c>
      <c r="C314" s="16" t="s">
        <v>1426</v>
      </c>
      <c r="D314" s="16">
        <v>2581827000</v>
      </c>
      <c r="E314" s="16">
        <v>4</v>
      </c>
      <c r="F314" s="16">
        <v>3</v>
      </c>
      <c r="G314" s="19" t="s">
        <v>842</v>
      </c>
      <c r="H314" s="16"/>
      <c r="I314" s="16" t="s">
        <v>1427</v>
      </c>
      <c r="J314" s="16" t="s">
        <v>1428</v>
      </c>
      <c r="K314" s="16" t="s">
        <v>1429</v>
      </c>
    </row>
    <row r="315" spans="1:11" ht="390" hidden="1" x14ac:dyDescent="0.25">
      <c r="A315" s="22">
        <v>312</v>
      </c>
      <c r="B315" s="16" t="s">
        <v>1430</v>
      </c>
      <c r="C315" s="16" t="s">
        <v>1431</v>
      </c>
      <c r="D315" s="16">
        <v>224410500</v>
      </c>
      <c r="E315" s="16">
        <v>5</v>
      </c>
      <c r="F315" s="16">
        <v>3</v>
      </c>
      <c r="G315" s="19" t="s">
        <v>842</v>
      </c>
      <c r="H315" s="16"/>
      <c r="I315" s="16" t="s">
        <v>1432</v>
      </c>
      <c r="J315" s="16" t="s">
        <v>1433</v>
      </c>
      <c r="K315" s="16" t="s">
        <v>1434</v>
      </c>
    </row>
    <row r="316" spans="1:11" ht="390" hidden="1" x14ac:dyDescent="0.25">
      <c r="A316" s="22">
        <v>313</v>
      </c>
      <c r="B316" s="16" t="s">
        <v>1435</v>
      </c>
      <c r="C316" s="16" t="s">
        <v>1436</v>
      </c>
      <c r="D316" s="16">
        <v>63625000</v>
      </c>
      <c r="E316" s="16">
        <v>4</v>
      </c>
      <c r="F316" s="16">
        <v>3</v>
      </c>
      <c r="G316" s="19" t="s">
        <v>842</v>
      </c>
      <c r="H316" s="16"/>
      <c r="I316" s="16" t="s">
        <v>1432</v>
      </c>
      <c r="J316" s="16" t="s">
        <v>1437</v>
      </c>
      <c r="K316" s="16" t="s">
        <v>1434</v>
      </c>
    </row>
    <row r="317" spans="1:11" ht="390" hidden="1" x14ac:dyDescent="0.25">
      <c r="A317" s="22">
        <v>314</v>
      </c>
      <c r="B317" s="16" t="s">
        <v>1438</v>
      </c>
      <c r="C317" s="16" t="s">
        <v>1439</v>
      </c>
      <c r="D317" s="16">
        <v>269100000</v>
      </c>
      <c r="E317" s="16">
        <v>4</v>
      </c>
      <c r="F317" s="16">
        <v>3</v>
      </c>
      <c r="G317" s="19" t="s">
        <v>842</v>
      </c>
      <c r="H317" s="16"/>
      <c r="I317" s="16" t="s">
        <v>1432</v>
      </c>
      <c r="J317" s="16" t="s">
        <v>1440</v>
      </c>
      <c r="K317" s="16" t="s">
        <v>1434</v>
      </c>
    </row>
    <row r="318" spans="1:11" ht="285" hidden="1" x14ac:dyDescent="0.25">
      <c r="A318" s="22">
        <v>315</v>
      </c>
      <c r="B318" s="16" t="s">
        <v>1441</v>
      </c>
      <c r="C318" s="16" t="s">
        <v>1442</v>
      </c>
      <c r="D318" s="16">
        <v>6051000</v>
      </c>
      <c r="E318" s="16">
        <v>2</v>
      </c>
      <c r="F318" s="16">
        <v>4</v>
      </c>
      <c r="G318" s="20" t="s">
        <v>1443</v>
      </c>
      <c r="H318" s="16"/>
      <c r="I318" s="16" t="s">
        <v>1444</v>
      </c>
      <c r="J318" s="16" t="s">
        <v>1445</v>
      </c>
      <c r="K318" s="16" t="s">
        <v>1446</v>
      </c>
    </row>
    <row r="319" spans="1:11" ht="240" hidden="1" x14ac:dyDescent="0.25">
      <c r="A319" s="22">
        <v>316</v>
      </c>
      <c r="B319" s="16" t="s">
        <v>1447</v>
      </c>
      <c r="C319" s="16" t="s">
        <v>1448</v>
      </c>
      <c r="D319" s="16">
        <v>16815000</v>
      </c>
      <c r="E319" s="16">
        <v>2</v>
      </c>
      <c r="F319" s="16">
        <v>5</v>
      </c>
      <c r="G319" s="20" t="s">
        <v>1443</v>
      </c>
      <c r="H319" s="16"/>
      <c r="I319" s="16" t="s">
        <v>1449</v>
      </c>
      <c r="J319" s="16" t="s">
        <v>1450</v>
      </c>
      <c r="K319" s="16" t="s">
        <v>1451</v>
      </c>
    </row>
    <row r="320" spans="1:11" ht="270" hidden="1" x14ac:dyDescent="0.25">
      <c r="A320" s="22">
        <v>317</v>
      </c>
      <c r="B320" s="16" t="s">
        <v>1452</v>
      </c>
      <c r="C320" s="16" t="s">
        <v>1453</v>
      </c>
      <c r="D320" s="16">
        <v>11897000</v>
      </c>
      <c r="E320" s="16">
        <v>2</v>
      </c>
      <c r="F320" s="16">
        <v>4</v>
      </c>
      <c r="G320" s="20" t="s">
        <v>1443</v>
      </c>
      <c r="H320" s="16"/>
      <c r="I320" s="16" t="s">
        <v>1454</v>
      </c>
      <c r="J320" s="16" t="s">
        <v>1455</v>
      </c>
      <c r="K320" s="16" t="s">
        <v>1456</v>
      </c>
    </row>
    <row r="321" spans="1:11" ht="285" hidden="1" x14ac:dyDescent="0.25">
      <c r="A321" s="22">
        <v>318</v>
      </c>
      <c r="B321" s="16" t="s">
        <v>1457</v>
      </c>
      <c r="C321" s="16" t="s">
        <v>1458</v>
      </c>
      <c r="D321" s="16">
        <v>21245000</v>
      </c>
      <c r="E321" s="16">
        <v>2</v>
      </c>
      <c r="F321" s="16">
        <v>4</v>
      </c>
      <c r="G321" s="20" t="s">
        <v>1443</v>
      </c>
      <c r="H321" s="16"/>
      <c r="I321" s="16" t="s">
        <v>1459</v>
      </c>
      <c r="J321" s="16" t="s">
        <v>1460</v>
      </c>
      <c r="K321" s="16" t="s">
        <v>1461</v>
      </c>
    </row>
    <row r="322" spans="1:11" ht="345" hidden="1" x14ac:dyDescent="0.25">
      <c r="A322" s="22">
        <v>319</v>
      </c>
      <c r="B322" s="16" t="s">
        <v>1462</v>
      </c>
      <c r="C322" s="16" t="s">
        <v>1463</v>
      </c>
      <c r="D322" s="16">
        <v>73705000</v>
      </c>
      <c r="E322" s="16">
        <v>2</v>
      </c>
      <c r="F322" s="16">
        <v>5</v>
      </c>
      <c r="G322" s="20" t="s">
        <v>1443</v>
      </c>
      <c r="H322" s="16"/>
      <c r="I322" s="16" t="s">
        <v>1464</v>
      </c>
      <c r="J322" s="16" t="s">
        <v>1465</v>
      </c>
      <c r="K322" s="16" t="s">
        <v>1466</v>
      </c>
    </row>
    <row r="323" spans="1:11" ht="345" hidden="1" x14ac:dyDescent="0.25">
      <c r="A323" s="22">
        <v>320</v>
      </c>
      <c r="B323" s="16" t="s">
        <v>1467</v>
      </c>
      <c r="C323" s="16" t="s">
        <v>1468</v>
      </c>
      <c r="D323" s="16">
        <v>41434000</v>
      </c>
      <c r="E323" s="16">
        <v>2</v>
      </c>
      <c r="F323" s="16">
        <v>5</v>
      </c>
      <c r="G323" s="20" t="s">
        <v>1443</v>
      </c>
      <c r="H323" s="16"/>
      <c r="I323" s="16" t="s">
        <v>1464</v>
      </c>
      <c r="J323" s="16" t="s">
        <v>1465</v>
      </c>
      <c r="K323" s="16" t="s">
        <v>1466</v>
      </c>
    </row>
    <row r="324" spans="1:11" ht="270" hidden="1" x14ac:dyDescent="0.25">
      <c r="A324" s="22">
        <v>321</v>
      </c>
      <c r="B324" s="16" t="s">
        <v>1469</v>
      </c>
      <c r="C324" s="16" t="s">
        <v>1470</v>
      </c>
      <c r="D324" s="16">
        <v>65000000</v>
      </c>
      <c r="E324" s="16">
        <v>2</v>
      </c>
      <c r="F324" s="16">
        <v>4</v>
      </c>
      <c r="G324" s="20" t="s">
        <v>1443</v>
      </c>
      <c r="H324" s="16"/>
      <c r="I324" s="16" t="s">
        <v>1471</v>
      </c>
      <c r="J324" s="16" t="s">
        <v>1472</v>
      </c>
      <c r="K324" s="16" t="s">
        <v>1473</v>
      </c>
    </row>
    <row r="325" spans="1:11" ht="210" hidden="1" x14ac:dyDescent="0.25">
      <c r="A325" s="22">
        <v>322</v>
      </c>
      <c r="B325" s="16" t="s">
        <v>1474</v>
      </c>
      <c r="C325" s="16" t="s">
        <v>1475</v>
      </c>
      <c r="D325" s="16">
        <v>15800000</v>
      </c>
      <c r="E325" s="16">
        <v>2</v>
      </c>
      <c r="F325" s="16">
        <v>5</v>
      </c>
      <c r="G325" s="20" t="s">
        <v>1443</v>
      </c>
      <c r="H325" s="16"/>
      <c r="I325" s="16" t="s">
        <v>1476</v>
      </c>
      <c r="J325" s="16" t="s">
        <v>1477</v>
      </c>
      <c r="K325" s="16" t="s">
        <v>1478</v>
      </c>
    </row>
    <row r="326" spans="1:11" ht="409.5" hidden="1" x14ac:dyDescent="0.25">
      <c r="A326" s="22">
        <v>323</v>
      </c>
      <c r="B326" s="16" t="s">
        <v>1479</v>
      </c>
      <c r="C326" s="16" t="s">
        <v>1480</v>
      </c>
      <c r="D326" s="16">
        <v>29997000</v>
      </c>
      <c r="E326" s="16">
        <v>3</v>
      </c>
      <c r="F326" s="16">
        <v>3</v>
      </c>
      <c r="G326" s="20" t="s">
        <v>1443</v>
      </c>
      <c r="H326" s="16"/>
      <c r="I326" s="16" t="s">
        <v>1481</v>
      </c>
      <c r="J326" s="16" t="s">
        <v>1482</v>
      </c>
      <c r="K326" s="16" t="s">
        <v>1483</v>
      </c>
    </row>
    <row r="327" spans="1:11" ht="210" hidden="1" x14ac:dyDescent="0.25">
      <c r="A327" s="22">
        <v>324</v>
      </c>
      <c r="B327" s="16" t="s">
        <v>1484</v>
      </c>
      <c r="C327" s="16" t="s">
        <v>1485</v>
      </c>
      <c r="D327" s="16">
        <v>24500000</v>
      </c>
      <c r="E327" s="16">
        <v>2</v>
      </c>
      <c r="F327" s="16">
        <v>5</v>
      </c>
      <c r="G327" s="20" t="s">
        <v>1443</v>
      </c>
      <c r="H327" s="16"/>
      <c r="I327" s="16" t="s">
        <v>1486</v>
      </c>
      <c r="J327" s="16" t="s">
        <v>1487</v>
      </c>
      <c r="K327" s="16" t="s">
        <v>1488</v>
      </c>
    </row>
    <row r="328" spans="1:11" ht="210" hidden="1" x14ac:dyDescent="0.25">
      <c r="A328" s="22">
        <v>325</v>
      </c>
      <c r="B328" s="16" t="s">
        <v>1489</v>
      </c>
      <c r="C328" s="16" t="s">
        <v>1490</v>
      </c>
      <c r="D328" s="16">
        <v>23831000</v>
      </c>
      <c r="E328" s="16">
        <v>2</v>
      </c>
      <c r="F328" s="16">
        <v>5</v>
      </c>
      <c r="G328" s="20" t="s">
        <v>1443</v>
      </c>
      <c r="H328" s="16"/>
      <c r="I328" s="16" t="s">
        <v>1491</v>
      </c>
      <c r="J328" s="16" t="s">
        <v>1492</v>
      </c>
      <c r="K328" s="16" t="s">
        <v>1493</v>
      </c>
    </row>
    <row r="329" spans="1:11" ht="195" hidden="1" x14ac:dyDescent="0.25">
      <c r="A329" s="22">
        <v>326</v>
      </c>
      <c r="B329" s="16" t="s">
        <v>1494</v>
      </c>
      <c r="C329" s="16" t="s">
        <v>1495</v>
      </c>
      <c r="D329" s="16">
        <v>15000000</v>
      </c>
      <c r="E329" s="16">
        <v>2</v>
      </c>
      <c r="F329" s="16">
        <v>5</v>
      </c>
      <c r="G329" s="20" t="s">
        <v>1443</v>
      </c>
      <c r="H329" s="16"/>
      <c r="I329" s="16" t="s">
        <v>1496</v>
      </c>
      <c r="J329" s="16" t="s">
        <v>1497</v>
      </c>
      <c r="K329" s="16" t="s">
        <v>1498</v>
      </c>
    </row>
    <row r="330" spans="1:11" ht="210" hidden="1" x14ac:dyDescent="0.25">
      <c r="A330" s="22">
        <v>327</v>
      </c>
      <c r="B330" s="16" t="s">
        <v>1499</v>
      </c>
      <c r="C330" s="16" t="s">
        <v>1500</v>
      </c>
      <c r="D330" s="16">
        <v>150000000</v>
      </c>
      <c r="E330" s="16">
        <v>2</v>
      </c>
      <c r="F330" s="16">
        <v>5</v>
      </c>
      <c r="G330" s="20" t="s">
        <v>1443</v>
      </c>
      <c r="H330" s="16"/>
      <c r="I330" s="16" t="s">
        <v>1501</v>
      </c>
      <c r="J330" s="16" t="s">
        <v>1502</v>
      </c>
      <c r="K330" s="16" t="s">
        <v>1503</v>
      </c>
    </row>
    <row r="331" spans="1:11" ht="210" hidden="1" x14ac:dyDescent="0.25">
      <c r="A331" s="22">
        <v>328</v>
      </c>
      <c r="B331" s="16" t="s">
        <v>1504</v>
      </c>
      <c r="C331" s="16" t="s">
        <v>1505</v>
      </c>
      <c r="D331" s="16">
        <v>267300000</v>
      </c>
      <c r="E331" s="16">
        <v>2</v>
      </c>
      <c r="F331" s="16">
        <v>3</v>
      </c>
      <c r="G331" s="20" t="s">
        <v>1443</v>
      </c>
      <c r="H331" s="16"/>
      <c r="I331" s="16" t="s">
        <v>1501</v>
      </c>
      <c r="J331" s="16" t="s">
        <v>1506</v>
      </c>
      <c r="K331" s="16" t="s">
        <v>1503</v>
      </c>
    </row>
    <row r="332" spans="1:11" ht="375" hidden="1" x14ac:dyDescent="0.25">
      <c r="A332" s="22">
        <v>329</v>
      </c>
      <c r="B332" s="16" t="s">
        <v>1507</v>
      </c>
      <c r="C332" s="16" t="s">
        <v>1508</v>
      </c>
      <c r="D332" s="16">
        <v>40085000</v>
      </c>
      <c r="E332" s="16">
        <v>5</v>
      </c>
      <c r="F332" s="16">
        <v>2</v>
      </c>
      <c r="G332" s="20" t="s">
        <v>1443</v>
      </c>
      <c r="H332" s="16"/>
      <c r="I332" s="16" t="s">
        <v>1509</v>
      </c>
      <c r="J332" s="16" t="s">
        <v>1510</v>
      </c>
      <c r="K332" s="16" t="s">
        <v>1511</v>
      </c>
    </row>
    <row r="333" spans="1:11" ht="210" hidden="1" x14ac:dyDescent="0.25">
      <c r="A333" s="22">
        <v>330</v>
      </c>
      <c r="B333" s="16" t="s">
        <v>1512</v>
      </c>
      <c r="C333" s="16" t="s">
        <v>1513</v>
      </c>
      <c r="D333" s="16">
        <v>13654000</v>
      </c>
      <c r="E333" s="16">
        <v>2</v>
      </c>
      <c r="F333" s="16">
        <v>5</v>
      </c>
      <c r="G333" s="20" t="s">
        <v>1443</v>
      </c>
      <c r="H333" s="16"/>
      <c r="I333" s="16" t="s">
        <v>1514</v>
      </c>
      <c r="J333" s="16" t="s">
        <v>1515</v>
      </c>
      <c r="K333" s="16" t="s">
        <v>1493</v>
      </c>
    </row>
    <row r="334" spans="1:11" ht="270" hidden="1" x14ac:dyDescent="0.25">
      <c r="A334" s="22">
        <v>331</v>
      </c>
      <c r="B334" s="16" t="s">
        <v>1516</v>
      </c>
      <c r="C334" s="16" t="s">
        <v>1517</v>
      </c>
      <c r="D334" s="16">
        <v>9375000</v>
      </c>
      <c r="E334" s="16">
        <v>2</v>
      </c>
      <c r="F334" s="16">
        <v>5</v>
      </c>
      <c r="G334" s="20" t="s">
        <v>1443</v>
      </c>
      <c r="H334" s="16"/>
      <c r="I334" s="16" t="s">
        <v>1518</v>
      </c>
      <c r="J334" s="16" t="s">
        <v>1519</v>
      </c>
      <c r="K334" s="16" t="s">
        <v>1520</v>
      </c>
    </row>
    <row r="335" spans="1:11" ht="210" hidden="1" x14ac:dyDescent="0.25">
      <c r="A335" s="22">
        <v>332</v>
      </c>
      <c r="B335" s="16" t="s">
        <v>1521</v>
      </c>
      <c r="C335" s="16" t="s">
        <v>1522</v>
      </c>
      <c r="D335" s="16">
        <v>11850000</v>
      </c>
      <c r="E335" s="16">
        <v>2</v>
      </c>
      <c r="F335" s="16">
        <v>5</v>
      </c>
      <c r="G335" s="20" t="s">
        <v>1443</v>
      </c>
      <c r="H335" s="16"/>
      <c r="I335" s="16" t="s">
        <v>1523</v>
      </c>
      <c r="J335" s="16" t="s">
        <v>1524</v>
      </c>
      <c r="K335" s="16" t="s">
        <v>1525</v>
      </c>
    </row>
    <row r="336" spans="1:11" ht="195" hidden="1" x14ac:dyDescent="0.25">
      <c r="A336" s="22">
        <v>333</v>
      </c>
      <c r="B336" s="16" t="s">
        <v>1526</v>
      </c>
      <c r="C336" s="16" t="s">
        <v>1527</v>
      </c>
      <c r="D336" s="16">
        <v>15000000</v>
      </c>
      <c r="E336" s="16">
        <v>2</v>
      </c>
      <c r="F336" s="16">
        <v>3</v>
      </c>
      <c r="G336" s="20" t="s">
        <v>1443</v>
      </c>
      <c r="H336" s="16"/>
      <c r="I336" s="16" t="s">
        <v>1528</v>
      </c>
      <c r="J336" s="16" t="s">
        <v>1529</v>
      </c>
      <c r="K336" s="16" t="s">
        <v>1503</v>
      </c>
    </row>
    <row r="337" spans="1:11" ht="255" hidden="1" x14ac:dyDescent="0.25">
      <c r="A337" s="22">
        <v>334</v>
      </c>
      <c r="B337" s="16" t="s">
        <v>1530</v>
      </c>
      <c r="C337" s="16" t="s">
        <v>1531</v>
      </c>
      <c r="D337" s="16">
        <v>20375000</v>
      </c>
      <c r="E337" s="16">
        <v>2</v>
      </c>
      <c r="F337" s="16">
        <v>4</v>
      </c>
      <c r="G337" s="20" t="s">
        <v>1443</v>
      </c>
      <c r="H337" s="16"/>
      <c r="I337" s="16" t="s">
        <v>1532</v>
      </c>
      <c r="J337" s="16" t="s">
        <v>1533</v>
      </c>
      <c r="K337" s="16" t="s">
        <v>1534</v>
      </c>
    </row>
    <row r="338" spans="1:11" ht="210" hidden="1" x14ac:dyDescent="0.25">
      <c r="A338" s="22">
        <v>335</v>
      </c>
      <c r="B338" s="16" t="s">
        <v>1535</v>
      </c>
      <c r="C338" s="16" t="s">
        <v>1536</v>
      </c>
      <c r="D338" s="16">
        <v>110200000</v>
      </c>
      <c r="E338" s="16">
        <v>3</v>
      </c>
      <c r="F338" s="16">
        <v>3</v>
      </c>
      <c r="G338" s="20" t="s">
        <v>1443</v>
      </c>
      <c r="H338" s="16"/>
      <c r="I338" s="16" t="s">
        <v>1537</v>
      </c>
      <c r="J338" s="16" t="s">
        <v>1538</v>
      </c>
      <c r="K338" s="16" t="s">
        <v>1539</v>
      </c>
    </row>
    <row r="339" spans="1:11" ht="270" hidden="1" x14ac:dyDescent="0.25">
      <c r="A339" s="22">
        <v>336</v>
      </c>
      <c r="B339" s="16" t="s">
        <v>1540</v>
      </c>
      <c r="C339" s="16" t="s">
        <v>1541</v>
      </c>
      <c r="D339" s="16">
        <v>9386000</v>
      </c>
      <c r="E339" s="16">
        <v>2</v>
      </c>
      <c r="F339" s="16">
        <v>4</v>
      </c>
      <c r="G339" s="20" t="s">
        <v>1443</v>
      </c>
      <c r="H339" s="16"/>
      <c r="I339" s="16" t="s">
        <v>1542</v>
      </c>
      <c r="J339" s="16" t="s">
        <v>1543</v>
      </c>
      <c r="K339" s="16" t="s">
        <v>1544</v>
      </c>
    </row>
    <row r="340" spans="1:11" ht="345" hidden="1" x14ac:dyDescent="0.25">
      <c r="A340" s="22">
        <v>337</v>
      </c>
      <c r="B340" s="16" t="s">
        <v>1545</v>
      </c>
      <c r="C340" s="16" t="s">
        <v>1546</v>
      </c>
      <c r="D340" s="16">
        <v>35080000</v>
      </c>
      <c r="E340" s="16">
        <v>3</v>
      </c>
      <c r="F340" s="16">
        <v>3</v>
      </c>
      <c r="G340" s="20" t="s">
        <v>1443</v>
      </c>
      <c r="H340" s="16"/>
      <c r="I340" s="16" t="s">
        <v>1547</v>
      </c>
      <c r="J340" s="16" t="s">
        <v>1548</v>
      </c>
      <c r="K340" s="16" t="s">
        <v>1549</v>
      </c>
    </row>
    <row r="341" spans="1:11" ht="240" hidden="1" x14ac:dyDescent="0.25">
      <c r="A341" s="22">
        <v>338</v>
      </c>
      <c r="B341" s="16" t="s">
        <v>1550</v>
      </c>
      <c r="C341" s="16" t="s">
        <v>1551</v>
      </c>
      <c r="D341" s="16">
        <v>22845000</v>
      </c>
      <c r="E341" s="16">
        <v>3</v>
      </c>
      <c r="F341" s="16">
        <v>3</v>
      </c>
      <c r="G341" s="20" t="s">
        <v>1443</v>
      </c>
      <c r="H341" s="16"/>
      <c r="I341" s="16" t="s">
        <v>1552</v>
      </c>
      <c r="J341" s="16" t="s">
        <v>1553</v>
      </c>
      <c r="K341" s="16" t="s">
        <v>1554</v>
      </c>
    </row>
    <row r="342" spans="1:11" ht="195" hidden="1" x14ac:dyDescent="0.25">
      <c r="A342" s="22">
        <v>339</v>
      </c>
      <c r="B342" s="16" t="s">
        <v>1555</v>
      </c>
      <c r="C342" s="16" t="s">
        <v>1556</v>
      </c>
      <c r="D342" s="16">
        <v>10220000</v>
      </c>
      <c r="E342" s="16">
        <v>2</v>
      </c>
      <c r="F342" s="16">
        <v>5</v>
      </c>
      <c r="G342" s="20" t="s">
        <v>1443</v>
      </c>
      <c r="H342" s="16"/>
      <c r="I342" s="16" t="s">
        <v>1034</v>
      </c>
      <c r="J342" s="16" t="s">
        <v>1040</v>
      </c>
      <c r="K342" s="16" t="s">
        <v>1041</v>
      </c>
    </row>
    <row r="343" spans="1:11" ht="225" hidden="1" x14ac:dyDescent="0.25">
      <c r="A343" s="22">
        <v>340</v>
      </c>
      <c r="B343" s="16" t="s">
        <v>1557</v>
      </c>
      <c r="C343" s="16" t="s">
        <v>1558</v>
      </c>
      <c r="D343" s="16">
        <v>11420000</v>
      </c>
      <c r="E343" s="16">
        <v>2</v>
      </c>
      <c r="F343" s="16">
        <v>3</v>
      </c>
      <c r="G343" s="20" t="s">
        <v>1443</v>
      </c>
      <c r="H343" s="16"/>
      <c r="I343" s="16" t="s">
        <v>124</v>
      </c>
      <c r="J343" s="16" t="s">
        <v>1046</v>
      </c>
      <c r="K343" s="16" t="s">
        <v>1559</v>
      </c>
    </row>
    <row r="344" spans="1:11" ht="225" hidden="1" x14ac:dyDescent="0.25">
      <c r="A344" s="22">
        <v>341</v>
      </c>
      <c r="B344" s="16" t="s">
        <v>1560</v>
      </c>
      <c r="C344" s="16" t="s">
        <v>1561</v>
      </c>
      <c r="D344" s="16">
        <v>49500000</v>
      </c>
      <c r="E344" s="16">
        <v>2</v>
      </c>
      <c r="F344" s="16">
        <v>3</v>
      </c>
      <c r="G344" s="20" t="s">
        <v>1443</v>
      </c>
      <c r="H344" s="16"/>
      <c r="I344" s="16" t="s">
        <v>380</v>
      </c>
      <c r="J344" s="16" t="s">
        <v>1562</v>
      </c>
      <c r="K344" s="16" t="s">
        <v>1563</v>
      </c>
    </row>
    <row r="345" spans="1:11" ht="195" hidden="1" x14ac:dyDescent="0.25">
      <c r="A345" s="22">
        <v>342</v>
      </c>
      <c r="B345" s="16" t="s">
        <v>1564</v>
      </c>
      <c r="C345" s="16" t="s">
        <v>1565</v>
      </c>
      <c r="D345" s="16">
        <v>25000000</v>
      </c>
      <c r="E345" s="16">
        <v>2</v>
      </c>
      <c r="F345" s="16">
        <v>3</v>
      </c>
      <c r="G345" s="20" t="s">
        <v>1443</v>
      </c>
      <c r="H345" s="16"/>
      <c r="I345" s="16" t="s">
        <v>1566</v>
      </c>
      <c r="J345" s="16" t="s">
        <v>1567</v>
      </c>
      <c r="K345" s="16" t="s">
        <v>1568</v>
      </c>
    </row>
    <row r="346" spans="1:11" ht="409.5" hidden="1" x14ac:dyDescent="0.25">
      <c r="A346" s="22">
        <v>343</v>
      </c>
      <c r="B346" s="16" t="s">
        <v>1569</v>
      </c>
      <c r="C346" s="16" t="s">
        <v>1570</v>
      </c>
      <c r="D346" s="16">
        <v>33405000</v>
      </c>
      <c r="E346" s="16">
        <v>3</v>
      </c>
      <c r="F346" s="16">
        <v>3</v>
      </c>
      <c r="G346" s="20" t="s">
        <v>1443</v>
      </c>
      <c r="H346" s="16"/>
      <c r="I346" s="16" t="s">
        <v>1571</v>
      </c>
      <c r="J346" s="16" t="s">
        <v>1572</v>
      </c>
      <c r="K346" s="16" t="s">
        <v>1573</v>
      </c>
    </row>
    <row r="347" spans="1:11" ht="240" hidden="1" x14ac:dyDescent="0.25">
      <c r="A347" s="22">
        <v>344</v>
      </c>
      <c r="B347" s="16" t="s">
        <v>1574</v>
      </c>
      <c r="C347" s="16" t="s">
        <v>1575</v>
      </c>
      <c r="D347" s="16">
        <v>10595000</v>
      </c>
      <c r="E347" s="16">
        <v>2</v>
      </c>
      <c r="F347" s="16">
        <v>3</v>
      </c>
      <c r="G347" s="20" t="s">
        <v>1443</v>
      </c>
      <c r="H347" s="16"/>
      <c r="I347" s="16" t="s">
        <v>1576</v>
      </c>
      <c r="J347" s="16" t="s">
        <v>1577</v>
      </c>
      <c r="K347" s="16" t="s">
        <v>1578</v>
      </c>
    </row>
    <row r="348" spans="1:11" ht="375" hidden="1" x14ac:dyDescent="0.25">
      <c r="A348" s="22">
        <v>345</v>
      </c>
      <c r="B348" s="16" t="s">
        <v>1579</v>
      </c>
      <c r="C348" s="16" t="s">
        <v>1580</v>
      </c>
      <c r="D348" s="16">
        <v>21190000</v>
      </c>
      <c r="E348" s="16">
        <v>3</v>
      </c>
      <c r="F348" s="16">
        <v>3</v>
      </c>
      <c r="G348" s="20" t="s">
        <v>1443</v>
      </c>
      <c r="H348" s="16"/>
      <c r="I348" s="16" t="s">
        <v>1581</v>
      </c>
      <c r="J348" s="16" t="s">
        <v>1582</v>
      </c>
      <c r="K348" s="16" t="s">
        <v>1583</v>
      </c>
    </row>
    <row r="349" spans="1:11" ht="409.5" hidden="1" x14ac:dyDescent="0.25">
      <c r="A349" s="22">
        <v>346</v>
      </c>
      <c r="B349" s="16" t="s">
        <v>1584</v>
      </c>
      <c r="C349" s="16" t="s">
        <v>1585</v>
      </c>
      <c r="D349" s="16">
        <v>16590000</v>
      </c>
      <c r="E349" s="16">
        <v>2</v>
      </c>
      <c r="F349" s="16">
        <v>3</v>
      </c>
      <c r="G349" s="20" t="s">
        <v>1443</v>
      </c>
      <c r="H349" s="16"/>
      <c r="I349" s="16" t="s">
        <v>1586</v>
      </c>
      <c r="J349" s="16" t="s">
        <v>1587</v>
      </c>
      <c r="K349" s="16" t="s">
        <v>1588</v>
      </c>
    </row>
    <row r="350" spans="1:11" ht="300" hidden="1" x14ac:dyDescent="0.25">
      <c r="A350" s="22">
        <v>347</v>
      </c>
      <c r="B350" s="16" t="s">
        <v>1589</v>
      </c>
      <c r="C350" s="16" t="s">
        <v>1590</v>
      </c>
      <c r="D350" s="16">
        <v>23800000</v>
      </c>
      <c r="E350" s="16">
        <v>2</v>
      </c>
      <c r="F350" s="16">
        <v>5</v>
      </c>
      <c r="G350" s="20" t="s">
        <v>1443</v>
      </c>
      <c r="H350" s="16"/>
      <c r="I350" s="16" t="s">
        <v>140</v>
      </c>
      <c r="J350" s="16" t="s">
        <v>1591</v>
      </c>
      <c r="K350" s="16" t="s">
        <v>142</v>
      </c>
    </row>
    <row r="351" spans="1:11" ht="409.5" hidden="1" x14ac:dyDescent="0.25">
      <c r="A351" s="22">
        <v>348</v>
      </c>
      <c r="B351" s="16" t="s">
        <v>1592</v>
      </c>
      <c r="C351" s="16" t="s">
        <v>1593</v>
      </c>
      <c r="D351" s="16">
        <v>26885000</v>
      </c>
      <c r="E351" s="16">
        <v>3</v>
      </c>
      <c r="F351" s="16">
        <v>2</v>
      </c>
      <c r="G351" s="20" t="s">
        <v>1443</v>
      </c>
      <c r="H351" s="16"/>
      <c r="I351" s="16" t="s">
        <v>1594</v>
      </c>
      <c r="J351" s="16" t="s">
        <v>1595</v>
      </c>
      <c r="K351" s="16" t="s">
        <v>1596</v>
      </c>
    </row>
    <row r="352" spans="1:11" ht="165" hidden="1" x14ac:dyDescent="0.25">
      <c r="A352" s="22">
        <v>349</v>
      </c>
      <c r="B352" s="16" t="s">
        <v>1597</v>
      </c>
      <c r="C352" s="16" t="s">
        <v>1598</v>
      </c>
      <c r="D352" s="16">
        <v>3655000</v>
      </c>
      <c r="E352" s="16">
        <v>2</v>
      </c>
      <c r="F352" s="16">
        <v>3</v>
      </c>
      <c r="G352" s="20" t="s">
        <v>1443</v>
      </c>
      <c r="H352" s="16"/>
      <c r="I352" s="16" t="s">
        <v>1599</v>
      </c>
      <c r="J352" s="16" t="s">
        <v>1600</v>
      </c>
      <c r="K352" s="16" t="s">
        <v>1601</v>
      </c>
    </row>
    <row r="353" spans="1:11" ht="360" hidden="1" x14ac:dyDescent="0.25">
      <c r="A353" s="22">
        <v>350</v>
      </c>
      <c r="B353" s="16" t="s">
        <v>1602</v>
      </c>
      <c r="C353" s="16" t="s">
        <v>1603</v>
      </c>
      <c r="D353" s="16">
        <v>8289000</v>
      </c>
      <c r="E353" s="16">
        <v>3</v>
      </c>
      <c r="F353" s="16">
        <v>2</v>
      </c>
      <c r="G353" s="20" t="s">
        <v>1443</v>
      </c>
      <c r="H353" s="16"/>
      <c r="I353" s="16" t="s">
        <v>714</v>
      </c>
      <c r="J353" s="16" t="s">
        <v>1604</v>
      </c>
      <c r="K353" s="16" t="s">
        <v>1605</v>
      </c>
    </row>
    <row r="354" spans="1:11" ht="180" hidden="1" x14ac:dyDescent="0.25">
      <c r="A354" s="22">
        <v>351</v>
      </c>
      <c r="B354" s="16" t="s">
        <v>1606</v>
      </c>
      <c r="C354" s="16" t="s">
        <v>1607</v>
      </c>
      <c r="D354" s="16">
        <v>13299000</v>
      </c>
      <c r="E354" s="16">
        <v>2</v>
      </c>
      <c r="F354" s="16">
        <v>3</v>
      </c>
      <c r="G354" s="20" t="s">
        <v>1443</v>
      </c>
      <c r="H354" s="16"/>
      <c r="I354" s="16" t="s">
        <v>1608</v>
      </c>
      <c r="J354" s="16" t="s">
        <v>1609</v>
      </c>
      <c r="K354" s="16" t="s">
        <v>1610</v>
      </c>
    </row>
    <row r="355" spans="1:11" ht="240" hidden="1" x14ac:dyDescent="0.25">
      <c r="A355" s="22">
        <v>352</v>
      </c>
      <c r="B355" s="16" t="s">
        <v>1611</v>
      </c>
      <c r="C355" s="16" t="s">
        <v>1612</v>
      </c>
      <c r="D355" s="16">
        <v>36975000</v>
      </c>
      <c r="E355" s="16">
        <v>2</v>
      </c>
      <c r="F355" s="16">
        <v>3</v>
      </c>
      <c r="G355" s="20" t="s">
        <v>1443</v>
      </c>
      <c r="H355" s="16"/>
      <c r="I355" s="16" t="s">
        <v>1613</v>
      </c>
      <c r="J355" s="16" t="s">
        <v>1614</v>
      </c>
      <c r="K355" s="16" t="s">
        <v>1615</v>
      </c>
    </row>
    <row r="356" spans="1:11" ht="225" hidden="1" x14ac:dyDescent="0.25">
      <c r="A356" s="22">
        <v>353</v>
      </c>
      <c r="B356" s="16" t="s">
        <v>1616</v>
      </c>
      <c r="C356" s="16" t="s">
        <v>1617</v>
      </c>
      <c r="D356" s="16">
        <v>7932500</v>
      </c>
      <c r="E356" s="16">
        <v>3</v>
      </c>
      <c r="F356" s="16">
        <v>3</v>
      </c>
      <c r="G356" s="20" t="s">
        <v>1443</v>
      </c>
      <c r="H356" s="16"/>
      <c r="I356" s="16" t="s">
        <v>1618</v>
      </c>
      <c r="J356" s="16" t="s">
        <v>1619</v>
      </c>
      <c r="K356" s="16" t="s">
        <v>1620</v>
      </c>
    </row>
    <row r="357" spans="1:11" ht="225" hidden="1" x14ac:dyDescent="0.25">
      <c r="A357" s="22">
        <v>354</v>
      </c>
      <c r="B357" s="16" t="s">
        <v>1621</v>
      </c>
      <c r="C357" s="16" t="s">
        <v>1622</v>
      </c>
      <c r="D357" s="16">
        <v>10415000</v>
      </c>
      <c r="E357" s="16">
        <v>3</v>
      </c>
      <c r="F357" s="16">
        <v>2</v>
      </c>
      <c r="G357" s="20" t="s">
        <v>1443</v>
      </c>
      <c r="H357" s="16"/>
      <c r="I357" s="16" t="s">
        <v>1623</v>
      </c>
      <c r="J357" s="16" t="s">
        <v>1624</v>
      </c>
      <c r="K357" s="16" t="s">
        <v>1625</v>
      </c>
    </row>
    <row r="358" spans="1:11" ht="270" hidden="1" x14ac:dyDescent="0.25">
      <c r="A358" s="22">
        <v>355</v>
      </c>
      <c r="B358" s="16" t="s">
        <v>1626</v>
      </c>
      <c r="C358" s="16" t="s">
        <v>1627</v>
      </c>
      <c r="D358" s="16">
        <v>35224000</v>
      </c>
      <c r="E358" s="16">
        <v>2</v>
      </c>
      <c r="F358" s="16">
        <v>4</v>
      </c>
      <c r="G358" s="20" t="s">
        <v>1443</v>
      </c>
      <c r="H358" s="16"/>
      <c r="I358" s="16" t="s">
        <v>1628</v>
      </c>
      <c r="J358" s="16" t="s">
        <v>1629</v>
      </c>
      <c r="K358" s="16" t="s">
        <v>1630</v>
      </c>
    </row>
    <row r="359" spans="1:11" ht="315" hidden="1" x14ac:dyDescent="0.25">
      <c r="A359" s="22">
        <v>356</v>
      </c>
      <c r="B359" s="16" t="s">
        <v>1631</v>
      </c>
      <c r="C359" s="16" t="s">
        <v>1632</v>
      </c>
      <c r="D359" s="16">
        <v>13400000</v>
      </c>
      <c r="E359" s="16">
        <v>2</v>
      </c>
      <c r="F359" s="16">
        <v>3</v>
      </c>
      <c r="G359" s="20" t="s">
        <v>1443</v>
      </c>
      <c r="H359" s="16"/>
      <c r="I359" s="16" t="s">
        <v>1633</v>
      </c>
      <c r="J359" s="16" t="s">
        <v>1634</v>
      </c>
      <c r="K359" s="16" t="s">
        <v>1635</v>
      </c>
    </row>
    <row r="360" spans="1:11" ht="255" hidden="1" x14ac:dyDescent="0.25">
      <c r="A360" s="22">
        <v>357</v>
      </c>
      <c r="B360" s="16" t="s">
        <v>1636</v>
      </c>
      <c r="C360" s="16" t="s">
        <v>1637</v>
      </c>
      <c r="D360" s="16">
        <v>13400000</v>
      </c>
      <c r="E360" s="16">
        <v>3</v>
      </c>
      <c r="F360" s="16">
        <v>3</v>
      </c>
      <c r="G360" s="20" t="s">
        <v>1443</v>
      </c>
      <c r="H360" s="16"/>
      <c r="I360" s="16" t="s">
        <v>1638</v>
      </c>
      <c r="J360" s="16" t="s">
        <v>1639</v>
      </c>
      <c r="K360" s="16" t="s">
        <v>1640</v>
      </c>
    </row>
    <row r="361" spans="1:11" ht="330" hidden="1" x14ac:dyDescent="0.25">
      <c r="A361" s="22">
        <v>358</v>
      </c>
      <c r="B361" s="16" t="s">
        <v>1641</v>
      </c>
      <c r="C361" s="16" t="s">
        <v>1642</v>
      </c>
      <c r="D361" s="16">
        <v>26289000</v>
      </c>
      <c r="E361" s="16">
        <v>4</v>
      </c>
      <c r="F361" s="16">
        <v>2</v>
      </c>
      <c r="G361" s="20" t="s">
        <v>1443</v>
      </c>
      <c r="H361" s="16"/>
      <c r="I361" s="16" t="s">
        <v>1643</v>
      </c>
      <c r="J361" s="16" t="s">
        <v>1644</v>
      </c>
      <c r="K361" s="16" t="s">
        <v>1645</v>
      </c>
    </row>
    <row r="362" spans="1:11" ht="240" hidden="1" x14ac:dyDescent="0.25">
      <c r="A362" s="22">
        <v>359</v>
      </c>
      <c r="B362" s="16" t="s">
        <v>1646</v>
      </c>
      <c r="C362" s="16" t="s">
        <v>1647</v>
      </c>
      <c r="D362" s="16">
        <v>49518484</v>
      </c>
      <c r="E362" s="16">
        <v>3</v>
      </c>
      <c r="F362" s="16">
        <v>3</v>
      </c>
      <c r="G362" s="20" t="s">
        <v>1443</v>
      </c>
      <c r="H362" s="16"/>
      <c r="I362" s="16" t="s">
        <v>1648</v>
      </c>
      <c r="J362" s="16" t="s">
        <v>1649</v>
      </c>
      <c r="K362" s="16" t="s">
        <v>1650</v>
      </c>
    </row>
    <row r="363" spans="1:11" ht="285" hidden="1" x14ac:dyDescent="0.25">
      <c r="A363" s="22">
        <v>360</v>
      </c>
      <c r="B363" s="16" t="s">
        <v>1651</v>
      </c>
      <c r="C363" s="16" t="s">
        <v>1652</v>
      </c>
      <c r="D363" s="16">
        <v>10684000</v>
      </c>
      <c r="E363" s="16">
        <v>3</v>
      </c>
      <c r="F363" s="16">
        <v>2</v>
      </c>
      <c r="G363" s="20" t="s">
        <v>1443</v>
      </c>
      <c r="H363" s="16"/>
      <c r="I363" s="16" t="s">
        <v>1653</v>
      </c>
      <c r="J363" s="16" t="s">
        <v>1654</v>
      </c>
      <c r="K363" s="16" t="s">
        <v>1655</v>
      </c>
    </row>
    <row r="364" spans="1:11" ht="409.5" hidden="1" x14ac:dyDescent="0.25">
      <c r="A364" s="22">
        <v>361</v>
      </c>
      <c r="B364" s="16" t="s">
        <v>1656</v>
      </c>
      <c r="C364" s="16" t="s">
        <v>1657</v>
      </c>
      <c r="D364" s="16">
        <v>16265000</v>
      </c>
      <c r="E364" s="16">
        <v>2</v>
      </c>
      <c r="F364" s="16">
        <v>3</v>
      </c>
      <c r="G364" s="20" t="s">
        <v>1443</v>
      </c>
      <c r="H364" s="16"/>
      <c r="I364" s="16" t="s">
        <v>1658</v>
      </c>
      <c r="J364" s="16" t="s">
        <v>1659</v>
      </c>
      <c r="K364" s="16" t="s">
        <v>1660</v>
      </c>
    </row>
    <row r="365" spans="1:11" ht="375" hidden="1" x14ac:dyDescent="0.25">
      <c r="A365" s="22">
        <v>362</v>
      </c>
      <c r="B365" s="16" t="s">
        <v>1661</v>
      </c>
      <c r="C365" s="16" t="s">
        <v>1662</v>
      </c>
      <c r="D365" s="16">
        <v>7686000</v>
      </c>
      <c r="E365" s="16">
        <v>4</v>
      </c>
      <c r="F365" s="16">
        <v>2</v>
      </c>
      <c r="G365" s="20" t="s">
        <v>1443</v>
      </c>
      <c r="H365" s="16"/>
      <c r="I365" s="16" t="s">
        <v>1663</v>
      </c>
      <c r="J365" s="16" t="s">
        <v>1664</v>
      </c>
      <c r="K365" s="16" t="s">
        <v>1665</v>
      </c>
    </row>
    <row r="366" spans="1:11" ht="375" hidden="1" x14ac:dyDescent="0.25">
      <c r="A366" s="22">
        <v>363</v>
      </c>
      <c r="B366" s="16" t="s">
        <v>1666</v>
      </c>
      <c r="C366" s="16" t="s">
        <v>1667</v>
      </c>
      <c r="D366" s="16">
        <v>10365000</v>
      </c>
      <c r="E366" s="16">
        <v>4</v>
      </c>
      <c r="F366" s="16">
        <v>2</v>
      </c>
      <c r="G366" s="20" t="s">
        <v>1443</v>
      </c>
      <c r="H366" s="16"/>
      <c r="I366" s="16" t="s">
        <v>1663</v>
      </c>
      <c r="J366" s="16" t="s">
        <v>1668</v>
      </c>
      <c r="K366" s="16" t="s">
        <v>1665</v>
      </c>
    </row>
    <row r="367" spans="1:11" ht="330" hidden="1" x14ac:dyDescent="0.25">
      <c r="A367" s="22">
        <v>364</v>
      </c>
      <c r="B367" s="16" t="s">
        <v>1669</v>
      </c>
      <c r="C367" s="16" t="s">
        <v>1670</v>
      </c>
      <c r="D367" s="16">
        <v>17553000</v>
      </c>
      <c r="E367" s="16">
        <v>2</v>
      </c>
      <c r="F367" s="16">
        <v>3</v>
      </c>
      <c r="G367" s="20" t="s">
        <v>1443</v>
      </c>
      <c r="H367" s="16"/>
      <c r="I367" s="16" t="s">
        <v>1671</v>
      </c>
      <c r="J367" s="16" t="s">
        <v>1672</v>
      </c>
      <c r="K367" s="16" t="s">
        <v>1673</v>
      </c>
    </row>
    <row r="368" spans="1:11" ht="240" hidden="1" x14ac:dyDescent="0.25">
      <c r="A368" s="22">
        <v>365</v>
      </c>
      <c r="B368" s="16" t="s">
        <v>1674</v>
      </c>
      <c r="C368" s="16" t="s">
        <v>1675</v>
      </c>
      <c r="D368" s="16">
        <v>50000000</v>
      </c>
      <c r="E368" s="16">
        <v>2</v>
      </c>
      <c r="F368" s="16">
        <v>4</v>
      </c>
      <c r="G368" s="20" t="s">
        <v>1443</v>
      </c>
      <c r="H368" s="16"/>
      <c r="I368" s="16" t="s">
        <v>1676</v>
      </c>
      <c r="J368" s="16" t="s">
        <v>1677</v>
      </c>
      <c r="K368" s="16" t="s">
        <v>1678</v>
      </c>
    </row>
    <row r="369" spans="1:11" ht="255" hidden="1" x14ac:dyDescent="0.25">
      <c r="A369" s="22">
        <v>366</v>
      </c>
      <c r="B369" s="16" t="s">
        <v>1679</v>
      </c>
      <c r="C369" s="16" t="s">
        <v>1680</v>
      </c>
      <c r="D369" s="16">
        <v>45000000</v>
      </c>
      <c r="E369" s="16">
        <v>2</v>
      </c>
      <c r="F369" s="16">
        <v>4</v>
      </c>
      <c r="G369" s="20" t="s">
        <v>1443</v>
      </c>
      <c r="H369" s="16"/>
      <c r="I369" s="16" t="s">
        <v>1681</v>
      </c>
      <c r="J369" s="16" t="s">
        <v>1682</v>
      </c>
      <c r="K369" s="16" t="s">
        <v>1683</v>
      </c>
    </row>
    <row r="370" spans="1:11" ht="225" hidden="1" x14ac:dyDescent="0.25">
      <c r="A370" s="22">
        <v>367</v>
      </c>
      <c r="B370" s="16" t="s">
        <v>1684</v>
      </c>
      <c r="C370" s="16" t="s">
        <v>1685</v>
      </c>
      <c r="D370" s="16">
        <v>16400000</v>
      </c>
      <c r="E370" s="16">
        <v>2</v>
      </c>
      <c r="F370" s="16">
        <v>4</v>
      </c>
      <c r="G370" s="20" t="s">
        <v>1443</v>
      </c>
      <c r="H370" s="16"/>
      <c r="I370" s="16" t="s">
        <v>1686</v>
      </c>
      <c r="J370" s="16" t="s">
        <v>1687</v>
      </c>
      <c r="K370" s="16" t="s">
        <v>1688</v>
      </c>
    </row>
    <row r="371" spans="1:11" ht="225" hidden="1" x14ac:dyDescent="0.25">
      <c r="A371" s="22">
        <v>368</v>
      </c>
      <c r="B371" s="16" t="s">
        <v>1689</v>
      </c>
      <c r="C371" s="16" t="s">
        <v>1690</v>
      </c>
      <c r="D371" s="16">
        <v>8740000</v>
      </c>
      <c r="E371" s="16">
        <v>2</v>
      </c>
      <c r="F371" s="16">
        <v>4</v>
      </c>
      <c r="G371" s="20" t="s">
        <v>1443</v>
      </c>
      <c r="H371" s="16"/>
      <c r="I371" s="16" t="s">
        <v>1691</v>
      </c>
      <c r="J371" s="16" t="s">
        <v>1692</v>
      </c>
      <c r="K371" s="16" t="s">
        <v>1693</v>
      </c>
    </row>
    <row r="372" spans="1:11" ht="240" hidden="1" x14ac:dyDescent="0.25">
      <c r="A372" s="22">
        <v>369</v>
      </c>
      <c r="B372" s="16" t="s">
        <v>1694</v>
      </c>
      <c r="C372" s="16" t="s">
        <v>1695</v>
      </c>
      <c r="D372" s="16">
        <v>16010000</v>
      </c>
      <c r="E372" s="16">
        <v>2</v>
      </c>
      <c r="F372" s="16">
        <v>4</v>
      </c>
      <c r="G372" s="20" t="s">
        <v>1443</v>
      </c>
      <c r="H372" s="16"/>
      <c r="I372" s="16" t="s">
        <v>1696</v>
      </c>
      <c r="J372" s="16" t="s">
        <v>130</v>
      </c>
      <c r="K372" s="16" t="s">
        <v>1697</v>
      </c>
    </row>
    <row r="373" spans="1:11" ht="240" hidden="1" x14ac:dyDescent="0.25">
      <c r="A373" s="22">
        <v>370</v>
      </c>
      <c r="B373" s="16" t="s">
        <v>1698</v>
      </c>
      <c r="C373" s="16" t="s">
        <v>1699</v>
      </c>
      <c r="D373" s="16">
        <v>13146000</v>
      </c>
      <c r="E373" s="16">
        <v>2</v>
      </c>
      <c r="F373" s="16">
        <v>4</v>
      </c>
      <c r="G373" s="20" t="s">
        <v>1443</v>
      </c>
      <c r="H373" s="16"/>
      <c r="I373" s="16" t="s">
        <v>1696</v>
      </c>
      <c r="J373" s="16" t="s">
        <v>130</v>
      </c>
      <c r="K373" s="16" t="s">
        <v>1700</v>
      </c>
    </row>
    <row r="374" spans="1:11" ht="285" hidden="1" x14ac:dyDescent="0.25">
      <c r="A374" s="22">
        <v>371</v>
      </c>
      <c r="B374" s="16" t="s">
        <v>1701</v>
      </c>
      <c r="C374" s="16" t="s">
        <v>1702</v>
      </c>
      <c r="D374" s="16">
        <v>50000000</v>
      </c>
      <c r="E374" s="16">
        <v>2</v>
      </c>
      <c r="F374" s="16">
        <v>4</v>
      </c>
      <c r="G374" s="20" t="s">
        <v>1443</v>
      </c>
      <c r="H374" s="16"/>
      <c r="I374" s="16" t="s">
        <v>1676</v>
      </c>
      <c r="J374" s="16" t="s">
        <v>1703</v>
      </c>
      <c r="K374" s="16" t="s">
        <v>1678</v>
      </c>
    </row>
    <row r="375" spans="1:11" ht="255" hidden="1" x14ac:dyDescent="0.25">
      <c r="A375" s="22">
        <v>372</v>
      </c>
      <c r="B375" s="16" t="s">
        <v>1704</v>
      </c>
      <c r="C375" s="16" t="s">
        <v>1705</v>
      </c>
      <c r="D375" s="16">
        <v>50000000</v>
      </c>
      <c r="E375" s="16">
        <v>2</v>
      </c>
      <c r="F375" s="16">
        <v>4</v>
      </c>
      <c r="G375" s="20" t="s">
        <v>1443</v>
      </c>
      <c r="H375" s="16"/>
      <c r="I375" s="16" t="s">
        <v>1681</v>
      </c>
      <c r="J375" s="16" t="s">
        <v>1682</v>
      </c>
      <c r="K375" s="16" t="s">
        <v>1683</v>
      </c>
    </row>
    <row r="376" spans="1:11" ht="240" hidden="1" x14ac:dyDescent="0.25">
      <c r="A376" s="22">
        <v>373</v>
      </c>
      <c r="B376" s="16" t="s">
        <v>1706</v>
      </c>
      <c r="C376" s="16" t="s">
        <v>1707</v>
      </c>
      <c r="D376" s="16">
        <v>8130000</v>
      </c>
      <c r="E376" s="16">
        <v>2</v>
      </c>
      <c r="F376" s="16">
        <v>4</v>
      </c>
      <c r="G376" s="20" t="s">
        <v>1443</v>
      </c>
      <c r="H376" s="16"/>
      <c r="I376" s="16" t="s">
        <v>1708</v>
      </c>
      <c r="J376" s="16" t="s">
        <v>1046</v>
      </c>
      <c r="K376" s="16" t="s">
        <v>1709</v>
      </c>
    </row>
    <row r="377" spans="1:11" ht="225" hidden="1" x14ac:dyDescent="0.25">
      <c r="A377" s="22">
        <v>374</v>
      </c>
      <c r="B377" s="16" t="s">
        <v>1710</v>
      </c>
      <c r="C377" s="16" t="s">
        <v>1711</v>
      </c>
      <c r="D377" s="16">
        <v>9920000</v>
      </c>
      <c r="E377" s="16">
        <v>2</v>
      </c>
      <c r="F377" s="16">
        <v>4</v>
      </c>
      <c r="G377" s="20" t="s">
        <v>1443</v>
      </c>
      <c r="H377" s="16"/>
      <c r="I377" s="16" t="s">
        <v>1686</v>
      </c>
      <c r="J377" s="16" t="s">
        <v>1687</v>
      </c>
      <c r="K377" s="16" t="s">
        <v>1688</v>
      </c>
    </row>
    <row r="378" spans="1:11" ht="270" hidden="1" x14ac:dyDescent="0.25">
      <c r="A378" s="22">
        <v>375</v>
      </c>
      <c r="B378" s="16" t="s">
        <v>1712</v>
      </c>
      <c r="C378" s="16" t="s">
        <v>1713</v>
      </c>
      <c r="D378" s="16">
        <v>6660000</v>
      </c>
      <c r="E378" s="16">
        <v>2</v>
      </c>
      <c r="F378" s="16">
        <v>4</v>
      </c>
      <c r="G378" s="20" t="s">
        <v>1443</v>
      </c>
      <c r="H378" s="16"/>
      <c r="I378" s="16" t="s">
        <v>1691</v>
      </c>
      <c r="J378" s="16" t="s">
        <v>1714</v>
      </c>
      <c r="K378" s="16" t="s">
        <v>1693</v>
      </c>
    </row>
    <row r="379" spans="1:11" ht="285" hidden="1" x14ac:dyDescent="0.25">
      <c r="A379" s="22">
        <v>376</v>
      </c>
      <c r="B379" s="16" t="s">
        <v>1715</v>
      </c>
      <c r="C379" s="16" t="s">
        <v>1716</v>
      </c>
      <c r="D379" s="16">
        <v>21600000</v>
      </c>
      <c r="E379" s="16">
        <v>2</v>
      </c>
      <c r="F379" s="16">
        <v>4</v>
      </c>
      <c r="G379" s="20" t="s">
        <v>1443</v>
      </c>
      <c r="H379" s="16"/>
      <c r="I379" s="16" t="s">
        <v>1717</v>
      </c>
      <c r="J379" s="16" t="s">
        <v>1718</v>
      </c>
      <c r="K379" s="16" t="s">
        <v>1719</v>
      </c>
    </row>
    <row r="380" spans="1:11" ht="240" hidden="1" x14ac:dyDescent="0.25">
      <c r="A380" s="22">
        <v>377</v>
      </c>
      <c r="B380" s="16" t="s">
        <v>1720</v>
      </c>
      <c r="C380" s="16" t="s">
        <v>1721</v>
      </c>
      <c r="D380" s="16">
        <v>35000000</v>
      </c>
      <c r="E380" s="16">
        <v>2</v>
      </c>
      <c r="F380" s="16">
        <v>4</v>
      </c>
      <c r="G380" s="20" t="s">
        <v>1443</v>
      </c>
      <c r="H380" s="16"/>
      <c r="I380" s="16" t="s">
        <v>1676</v>
      </c>
      <c r="J380" s="16" t="s">
        <v>1722</v>
      </c>
      <c r="K380" s="16" t="s">
        <v>1723</v>
      </c>
    </row>
    <row r="381" spans="1:11" ht="255" hidden="1" x14ac:dyDescent="0.25">
      <c r="A381" s="22">
        <v>378</v>
      </c>
      <c r="B381" s="16" t="s">
        <v>1724</v>
      </c>
      <c r="C381" s="16" t="s">
        <v>1725</v>
      </c>
      <c r="D381" s="16">
        <v>33159100</v>
      </c>
      <c r="E381" s="16">
        <v>2</v>
      </c>
      <c r="F381" s="16">
        <v>4</v>
      </c>
      <c r="G381" s="20" t="s">
        <v>1443</v>
      </c>
      <c r="H381" s="16"/>
      <c r="I381" s="16" t="s">
        <v>1681</v>
      </c>
      <c r="J381" s="16" t="s">
        <v>1682</v>
      </c>
      <c r="K381" s="16" t="s">
        <v>1683</v>
      </c>
    </row>
    <row r="382" spans="1:11" ht="225" hidden="1" x14ac:dyDescent="0.25">
      <c r="A382" s="22">
        <v>379</v>
      </c>
      <c r="B382" s="16" t="s">
        <v>1726</v>
      </c>
      <c r="C382" s="16" t="s">
        <v>1727</v>
      </c>
      <c r="D382" s="16">
        <v>6680000</v>
      </c>
      <c r="E382" s="16">
        <v>2</v>
      </c>
      <c r="F382" s="16">
        <v>4</v>
      </c>
      <c r="G382" s="20" t="s">
        <v>1443</v>
      </c>
      <c r="H382" s="16"/>
      <c r="I382" s="16" t="s">
        <v>1686</v>
      </c>
      <c r="J382" s="16" t="s">
        <v>1687</v>
      </c>
      <c r="K382" s="16" t="s">
        <v>1688</v>
      </c>
    </row>
    <row r="383" spans="1:11" ht="240" hidden="1" x14ac:dyDescent="0.25">
      <c r="A383" s="22">
        <v>380</v>
      </c>
      <c r="B383" s="16" t="s">
        <v>1728</v>
      </c>
      <c r="C383" s="16" t="s">
        <v>1729</v>
      </c>
      <c r="D383" s="16">
        <v>10371000</v>
      </c>
      <c r="E383" s="16">
        <v>2</v>
      </c>
      <c r="F383" s="16">
        <v>4</v>
      </c>
      <c r="G383" s="20" t="s">
        <v>1443</v>
      </c>
      <c r="H383" s="16"/>
      <c r="I383" s="16" t="s">
        <v>1730</v>
      </c>
      <c r="J383" s="16" t="s">
        <v>130</v>
      </c>
      <c r="K383" s="16" t="s">
        <v>1731</v>
      </c>
    </row>
    <row r="384" spans="1:11" ht="285" hidden="1" x14ac:dyDescent="0.25">
      <c r="A384" s="22">
        <v>381</v>
      </c>
      <c r="B384" s="16" t="s">
        <v>1732</v>
      </c>
      <c r="C384" s="16" t="s">
        <v>1733</v>
      </c>
      <c r="D384" s="16">
        <v>20052000</v>
      </c>
      <c r="E384" s="16">
        <v>2</v>
      </c>
      <c r="F384" s="16">
        <v>4</v>
      </c>
      <c r="G384" s="20" t="s">
        <v>1443</v>
      </c>
      <c r="H384" s="16"/>
      <c r="I384" s="16" t="s">
        <v>1734</v>
      </c>
      <c r="J384" s="16" t="s">
        <v>1735</v>
      </c>
      <c r="K384" s="16" t="s">
        <v>1736</v>
      </c>
    </row>
    <row r="385" spans="1:11" ht="240" hidden="1" x14ac:dyDescent="0.25">
      <c r="A385" s="22">
        <v>382</v>
      </c>
      <c r="B385" s="16" t="s">
        <v>1737</v>
      </c>
      <c r="C385" s="16" t="s">
        <v>1738</v>
      </c>
      <c r="D385" s="16">
        <v>7360000</v>
      </c>
      <c r="E385" s="16">
        <v>2</v>
      </c>
      <c r="F385" s="16">
        <v>4</v>
      </c>
      <c r="G385" s="20" t="s">
        <v>1443</v>
      </c>
      <c r="H385" s="16"/>
      <c r="I385" s="16" t="s">
        <v>1691</v>
      </c>
      <c r="J385" s="16" t="s">
        <v>1739</v>
      </c>
      <c r="K385" s="16" t="s">
        <v>1740</v>
      </c>
    </row>
    <row r="386" spans="1:11" ht="300" hidden="1" x14ac:dyDescent="0.25">
      <c r="A386" s="22">
        <v>383</v>
      </c>
      <c r="B386" s="16" t="s">
        <v>1741</v>
      </c>
      <c r="C386" s="16" t="s">
        <v>1742</v>
      </c>
      <c r="D386" s="16">
        <v>24267000</v>
      </c>
      <c r="E386" s="16">
        <v>2</v>
      </c>
      <c r="F386" s="16">
        <v>3</v>
      </c>
      <c r="G386" s="20" t="s">
        <v>1443</v>
      </c>
      <c r="H386" s="16"/>
      <c r="I386" s="16" t="s">
        <v>1663</v>
      </c>
      <c r="J386" s="16" t="s">
        <v>1743</v>
      </c>
      <c r="K386" s="16" t="s">
        <v>1744</v>
      </c>
    </row>
    <row r="387" spans="1:11" ht="360" hidden="1" x14ac:dyDescent="0.25">
      <c r="A387" s="22">
        <v>384</v>
      </c>
      <c r="B387" s="16" t="s">
        <v>1745</v>
      </c>
      <c r="C387" s="16" t="s">
        <v>1746</v>
      </c>
      <c r="D387" s="16">
        <v>12219000</v>
      </c>
      <c r="E387" s="16">
        <v>2</v>
      </c>
      <c r="F387" s="16">
        <v>3</v>
      </c>
      <c r="G387" s="20" t="s">
        <v>1443</v>
      </c>
      <c r="H387" s="16"/>
      <c r="I387" s="16" t="s">
        <v>714</v>
      </c>
      <c r="J387" s="16" t="s">
        <v>1604</v>
      </c>
      <c r="K387" s="16" t="s">
        <v>1747</v>
      </c>
    </row>
    <row r="388" spans="1:11" ht="409.5" hidden="1" x14ac:dyDescent="0.25">
      <c r="A388" s="22">
        <v>385</v>
      </c>
      <c r="B388" s="16" t="s">
        <v>1748</v>
      </c>
      <c r="C388" s="16" t="s">
        <v>1749</v>
      </c>
      <c r="D388" s="16">
        <v>23959000</v>
      </c>
      <c r="E388" s="16">
        <v>2</v>
      </c>
      <c r="F388" s="16">
        <v>4</v>
      </c>
      <c r="G388" s="20" t="s">
        <v>1443</v>
      </c>
      <c r="H388" s="16"/>
      <c r="I388" s="16" t="s">
        <v>1750</v>
      </c>
      <c r="J388" s="16" t="s">
        <v>1751</v>
      </c>
      <c r="K388" s="16" t="s">
        <v>1752</v>
      </c>
    </row>
    <row r="389" spans="1:11" ht="405" hidden="1" x14ac:dyDescent="0.25">
      <c r="A389" s="22">
        <v>386</v>
      </c>
      <c r="B389" s="16" t="s">
        <v>1753</v>
      </c>
      <c r="C389" s="16" t="s">
        <v>1754</v>
      </c>
      <c r="D389" s="16">
        <v>19200000</v>
      </c>
      <c r="E389" s="16">
        <v>3</v>
      </c>
      <c r="F389" s="16">
        <v>3</v>
      </c>
      <c r="G389" s="20" t="s">
        <v>1443</v>
      </c>
      <c r="H389" s="16"/>
      <c r="I389" s="16" t="s">
        <v>1663</v>
      </c>
      <c r="J389" s="16" t="s">
        <v>1755</v>
      </c>
      <c r="K389" s="16" t="s">
        <v>1756</v>
      </c>
    </row>
    <row r="390" spans="1:11" ht="285" hidden="1" x14ac:dyDescent="0.25">
      <c r="A390" s="22">
        <v>387</v>
      </c>
      <c r="B390" s="16" t="s">
        <v>1757</v>
      </c>
      <c r="C390" s="16" t="s">
        <v>1758</v>
      </c>
      <c r="D390" s="16">
        <v>18120000</v>
      </c>
      <c r="E390" s="16">
        <v>2</v>
      </c>
      <c r="F390" s="16">
        <v>5</v>
      </c>
      <c r="G390" s="20" t="s">
        <v>1443</v>
      </c>
      <c r="H390" s="16"/>
      <c r="I390" s="16" t="s">
        <v>1759</v>
      </c>
      <c r="J390" s="16" t="s">
        <v>1760</v>
      </c>
      <c r="K390" s="16" t="s">
        <v>1761</v>
      </c>
    </row>
    <row r="391" spans="1:11" ht="300" hidden="1" x14ac:dyDescent="0.25">
      <c r="A391" s="22">
        <v>388</v>
      </c>
      <c r="B391" s="16" t="s">
        <v>1762</v>
      </c>
      <c r="C391" s="16" t="s">
        <v>1763</v>
      </c>
      <c r="D391" s="16">
        <v>18990000</v>
      </c>
      <c r="E391" s="16">
        <v>3</v>
      </c>
      <c r="F391" s="16">
        <v>3</v>
      </c>
      <c r="G391" s="20" t="s">
        <v>1443</v>
      </c>
      <c r="H391" s="16"/>
      <c r="I391" s="16" t="s">
        <v>1764</v>
      </c>
      <c r="J391" s="16" t="s">
        <v>1765</v>
      </c>
      <c r="K391" s="16" t="s">
        <v>1766</v>
      </c>
    </row>
    <row r="392" spans="1:11" ht="409.5" hidden="1" x14ac:dyDescent="0.25">
      <c r="A392" s="22">
        <v>389</v>
      </c>
      <c r="B392" s="16" t="s">
        <v>1767</v>
      </c>
      <c r="C392" s="16" t="s">
        <v>1768</v>
      </c>
      <c r="D392" s="16">
        <v>17475000</v>
      </c>
      <c r="E392" s="16">
        <v>3</v>
      </c>
      <c r="F392" s="16">
        <v>3</v>
      </c>
      <c r="G392" s="20" t="s">
        <v>1443</v>
      </c>
      <c r="H392" s="16"/>
      <c r="I392" s="16" t="s">
        <v>1769</v>
      </c>
      <c r="J392" s="16" t="s">
        <v>1770</v>
      </c>
      <c r="K392" s="16" t="s">
        <v>1771</v>
      </c>
    </row>
    <row r="393" spans="1:11" ht="409.5" hidden="1" x14ac:dyDescent="0.25">
      <c r="A393" s="22">
        <v>390</v>
      </c>
      <c r="B393" s="16" t="s">
        <v>1772</v>
      </c>
      <c r="C393" s="16" t="s">
        <v>1773</v>
      </c>
      <c r="D393" s="16">
        <v>15150000</v>
      </c>
      <c r="E393" s="16">
        <v>3</v>
      </c>
      <c r="F393" s="16">
        <v>3</v>
      </c>
      <c r="G393" s="20" t="s">
        <v>1443</v>
      </c>
      <c r="H393" s="16"/>
      <c r="I393" s="16" t="s">
        <v>1774</v>
      </c>
      <c r="J393" s="16" t="s">
        <v>1775</v>
      </c>
      <c r="K393" s="16" t="s">
        <v>1776</v>
      </c>
    </row>
    <row r="394" spans="1:11" ht="409.5" hidden="1" x14ac:dyDescent="0.25">
      <c r="A394" s="22">
        <v>391</v>
      </c>
      <c r="B394" s="16" t="s">
        <v>1777</v>
      </c>
      <c r="C394" s="16" t="s">
        <v>1778</v>
      </c>
      <c r="D394" s="16">
        <v>32010000</v>
      </c>
      <c r="E394" s="16">
        <v>3</v>
      </c>
      <c r="F394" s="16">
        <v>3</v>
      </c>
      <c r="G394" s="20" t="s">
        <v>1443</v>
      </c>
      <c r="H394" s="16"/>
      <c r="I394" s="16" t="s">
        <v>1779</v>
      </c>
      <c r="J394" s="16" t="s">
        <v>1780</v>
      </c>
      <c r="K394" s="16" t="s">
        <v>1781</v>
      </c>
    </row>
    <row r="395" spans="1:11" ht="330" hidden="1" x14ac:dyDescent="0.25">
      <c r="A395" s="22">
        <v>392</v>
      </c>
      <c r="B395" s="16" t="s">
        <v>1782</v>
      </c>
      <c r="C395" s="16" t="s">
        <v>1783</v>
      </c>
      <c r="D395" s="16">
        <v>92687645</v>
      </c>
      <c r="E395" s="16">
        <v>2</v>
      </c>
      <c r="F395" s="16">
        <v>5</v>
      </c>
      <c r="G395" s="20" t="s">
        <v>1443</v>
      </c>
      <c r="H395" s="16"/>
      <c r="I395" s="16" t="s">
        <v>140</v>
      </c>
      <c r="J395" s="16" t="s">
        <v>1784</v>
      </c>
      <c r="K395" s="16" t="s">
        <v>142</v>
      </c>
    </row>
    <row r="396" spans="1:11" ht="360" hidden="1" x14ac:dyDescent="0.25">
      <c r="A396" s="22">
        <v>393</v>
      </c>
      <c r="B396" s="16" t="s">
        <v>1785</v>
      </c>
      <c r="C396" s="16" t="s">
        <v>1786</v>
      </c>
      <c r="D396" s="16">
        <v>17455000</v>
      </c>
      <c r="E396" s="16">
        <v>2</v>
      </c>
      <c r="F396" s="16">
        <v>5</v>
      </c>
      <c r="G396" s="20" t="s">
        <v>1443</v>
      </c>
      <c r="H396" s="16"/>
      <c r="I396" s="16" t="s">
        <v>1787</v>
      </c>
      <c r="J396" s="16" t="s">
        <v>1788</v>
      </c>
      <c r="K396" s="16" t="s">
        <v>1789</v>
      </c>
    </row>
    <row r="397" spans="1:11" ht="300" hidden="1" x14ac:dyDescent="0.25">
      <c r="A397" s="22">
        <v>394</v>
      </c>
      <c r="B397" s="16" t="s">
        <v>1790</v>
      </c>
      <c r="C397" s="16" t="s">
        <v>1791</v>
      </c>
      <c r="D397" s="16">
        <v>10652000</v>
      </c>
      <c r="E397" s="16">
        <v>2</v>
      </c>
      <c r="F397" s="16">
        <v>3</v>
      </c>
      <c r="G397" s="20" t="s">
        <v>1443</v>
      </c>
      <c r="H397" s="16"/>
      <c r="I397" s="16" t="s">
        <v>1663</v>
      </c>
      <c r="J397" s="16" t="s">
        <v>1792</v>
      </c>
      <c r="K397" s="16" t="s">
        <v>1793</v>
      </c>
    </row>
    <row r="398" spans="1:11" ht="409.5" hidden="1" x14ac:dyDescent="0.25">
      <c r="A398" s="22">
        <v>395</v>
      </c>
      <c r="B398" s="16" t="s">
        <v>1794</v>
      </c>
      <c r="C398" s="16" t="s">
        <v>1795</v>
      </c>
      <c r="D398" s="16">
        <v>11158500</v>
      </c>
      <c r="E398" s="16">
        <v>2</v>
      </c>
      <c r="F398" s="16">
        <v>5</v>
      </c>
      <c r="G398" s="20" t="s">
        <v>1443</v>
      </c>
      <c r="H398" s="16"/>
      <c r="I398" s="16" t="s">
        <v>1594</v>
      </c>
      <c r="J398" s="16" t="s">
        <v>1796</v>
      </c>
      <c r="K398" s="16" t="s">
        <v>1797</v>
      </c>
    </row>
    <row r="399" spans="1:11" ht="405" hidden="1" x14ac:dyDescent="0.25">
      <c r="A399" s="22">
        <v>396</v>
      </c>
      <c r="B399" s="16" t="s">
        <v>1798</v>
      </c>
      <c r="C399" s="16" t="s">
        <v>1799</v>
      </c>
      <c r="D399" s="16">
        <v>13147000</v>
      </c>
      <c r="E399" s="16">
        <v>2</v>
      </c>
      <c r="F399" s="16">
        <v>3</v>
      </c>
      <c r="G399" s="20" t="s">
        <v>1443</v>
      </c>
      <c r="H399" s="16"/>
      <c r="I399" s="16" t="s">
        <v>1800</v>
      </c>
      <c r="J399" s="16" t="s">
        <v>1801</v>
      </c>
      <c r="K399" s="16" t="s">
        <v>1802</v>
      </c>
    </row>
    <row r="400" spans="1:11" ht="270" hidden="1" x14ac:dyDescent="0.25">
      <c r="A400" s="22">
        <v>397</v>
      </c>
      <c r="B400" s="16" t="s">
        <v>1803</v>
      </c>
      <c r="C400" s="16" t="s">
        <v>1804</v>
      </c>
      <c r="D400" s="16">
        <v>18106000</v>
      </c>
      <c r="E400" s="16">
        <v>2</v>
      </c>
      <c r="F400" s="16">
        <v>5</v>
      </c>
      <c r="G400" s="20" t="s">
        <v>1443</v>
      </c>
      <c r="H400" s="16"/>
      <c r="I400" s="16" t="s">
        <v>1805</v>
      </c>
      <c r="J400" s="16" t="s">
        <v>1806</v>
      </c>
      <c r="K400" s="16" t="s">
        <v>1807</v>
      </c>
    </row>
    <row r="401" spans="1:11" ht="300" hidden="1" x14ac:dyDescent="0.25">
      <c r="A401" s="22">
        <v>398</v>
      </c>
      <c r="B401" s="16" t="s">
        <v>1808</v>
      </c>
      <c r="C401" s="16" t="s">
        <v>1809</v>
      </c>
      <c r="D401" s="16">
        <v>21700089</v>
      </c>
      <c r="E401" s="16">
        <v>2</v>
      </c>
      <c r="F401" s="16">
        <v>5</v>
      </c>
      <c r="G401" s="20" t="s">
        <v>1443</v>
      </c>
      <c r="H401" s="16"/>
      <c r="I401" s="16" t="s">
        <v>1810</v>
      </c>
      <c r="J401" s="16" t="s">
        <v>1811</v>
      </c>
      <c r="K401" s="16" t="s">
        <v>1812</v>
      </c>
    </row>
    <row r="402" spans="1:11" ht="90" hidden="1" x14ac:dyDescent="0.25">
      <c r="A402" s="22">
        <v>399</v>
      </c>
      <c r="B402" s="16" t="s">
        <v>1813</v>
      </c>
      <c r="C402" s="16" t="s">
        <v>1814</v>
      </c>
      <c r="D402" s="16">
        <v>1965000</v>
      </c>
      <c r="E402" s="16">
        <v>2</v>
      </c>
      <c r="F402" s="16">
        <v>3</v>
      </c>
      <c r="G402" s="20" t="s">
        <v>1443</v>
      </c>
      <c r="H402" s="16"/>
      <c r="I402" s="16" t="s">
        <v>1815</v>
      </c>
      <c r="J402" s="16" t="s">
        <v>1816</v>
      </c>
      <c r="K402" s="16" t="s">
        <v>1817</v>
      </c>
    </row>
    <row r="403" spans="1:11" ht="240" hidden="1" x14ac:dyDescent="0.25">
      <c r="A403" s="22">
        <v>400</v>
      </c>
      <c r="B403" s="16" t="s">
        <v>1818</v>
      </c>
      <c r="C403" s="16" t="s">
        <v>1819</v>
      </c>
      <c r="D403" s="16">
        <v>5715000</v>
      </c>
      <c r="E403" s="16">
        <v>2</v>
      </c>
      <c r="F403" s="16">
        <v>3</v>
      </c>
      <c r="G403" s="20" t="s">
        <v>1443</v>
      </c>
      <c r="H403" s="16"/>
      <c r="I403" s="16" t="s">
        <v>1820</v>
      </c>
      <c r="J403" s="16" t="s">
        <v>1821</v>
      </c>
      <c r="K403" s="16" t="s">
        <v>1822</v>
      </c>
    </row>
    <row r="404" spans="1:11" ht="255" hidden="1" x14ac:dyDescent="0.25">
      <c r="A404" s="22">
        <v>401</v>
      </c>
      <c r="B404" s="16" t="s">
        <v>1823</v>
      </c>
      <c r="C404" s="16" t="s">
        <v>1824</v>
      </c>
      <c r="D404" s="16">
        <v>11340000</v>
      </c>
      <c r="E404" s="16">
        <v>3</v>
      </c>
      <c r="F404" s="16">
        <v>3</v>
      </c>
      <c r="G404" s="20" t="s">
        <v>1443</v>
      </c>
      <c r="H404" s="16"/>
      <c r="I404" s="16" t="s">
        <v>1825</v>
      </c>
      <c r="J404" s="16" t="s">
        <v>1826</v>
      </c>
      <c r="K404" s="16" t="s">
        <v>1827</v>
      </c>
    </row>
    <row r="405" spans="1:11" ht="300" x14ac:dyDescent="0.25">
      <c r="A405" s="22">
        <v>402</v>
      </c>
      <c r="B405" s="16" t="s">
        <v>1828</v>
      </c>
      <c r="C405" s="16" t="s">
        <v>1829</v>
      </c>
      <c r="D405" s="16">
        <v>38395000</v>
      </c>
      <c r="E405" s="16">
        <v>2</v>
      </c>
      <c r="F405" s="16">
        <v>4</v>
      </c>
      <c r="G405" s="20" t="s">
        <v>1443</v>
      </c>
      <c r="H405" s="16"/>
      <c r="I405" s="16" t="s">
        <v>1830</v>
      </c>
      <c r="J405" s="16" t="s">
        <v>1831</v>
      </c>
      <c r="K405" s="16" t="s">
        <v>1832</v>
      </c>
    </row>
    <row r="406" spans="1:11" ht="270" x14ac:dyDescent="0.25">
      <c r="A406" s="22">
        <v>403</v>
      </c>
      <c r="B406" s="16" t="s">
        <v>1833</v>
      </c>
      <c r="C406" s="16" t="s">
        <v>1834</v>
      </c>
      <c r="D406" s="16">
        <v>105864510</v>
      </c>
      <c r="E406" s="16">
        <v>2</v>
      </c>
      <c r="F406" s="16">
        <v>4</v>
      </c>
      <c r="G406" s="20" t="s">
        <v>1443</v>
      </c>
      <c r="H406" s="16"/>
      <c r="I406" s="16" t="s">
        <v>1676</v>
      </c>
      <c r="J406" s="16" t="s">
        <v>1835</v>
      </c>
      <c r="K406" s="16" t="s">
        <v>1678</v>
      </c>
    </row>
    <row r="407" spans="1:11" ht="225" x14ac:dyDescent="0.25">
      <c r="A407" s="22">
        <v>404</v>
      </c>
      <c r="B407" s="16" t="s">
        <v>1836</v>
      </c>
      <c r="C407" s="16" t="s">
        <v>1837</v>
      </c>
      <c r="D407" s="16">
        <v>11360000</v>
      </c>
      <c r="E407" s="16">
        <v>2</v>
      </c>
      <c r="F407" s="16">
        <v>4</v>
      </c>
      <c r="G407" s="20" t="s">
        <v>1443</v>
      </c>
      <c r="H407" s="16"/>
      <c r="I407" s="16" t="s">
        <v>1691</v>
      </c>
      <c r="J407" s="16" t="s">
        <v>1838</v>
      </c>
      <c r="K407" s="16" t="s">
        <v>1839</v>
      </c>
    </row>
    <row r="408" spans="1:11" ht="255" x14ac:dyDescent="0.25">
      <c r="A408" s="22">
        <v>405</v>
      </c>
      <c r="B408" s="16" t="s">
        <v>1840</v>
      </c>
      <c r="C408" s="16" t="s">
        <v>1841</v>
      </c>
      <c r="D408" s="16">
        <v>22710900</v>
      </c>
      <c r="E408" s="16">
        <v>2</v>
      </c>
      <c r="F408" s="16">
        <v>4</v>
      </c>
      <c r="G408" s="20" t="s">
        <v>1443</v>
      </c>
      <c r="H408" s="16"/>
      <c r="I408" s="16" t="s">
        <v>1681</v>
      </c>
      <c r="J408" s="16" t="s">
        <v>1682</v>
      </c>
      <c r="K408" s="16" t="s">
        <v>1683</v>
      </c>
    </row>
    <row r="409" spans="1:11" ht="240" x14ac:dyDescent="0.25">
      <c r="A409" s="22">
        <v>406</v>
      </c>
      <c r="B409" s="16" t="s">
        <v>1842</v>
      </c>
      <c r="C409" s="16" t="s">
        <v>1843</v>
      </c>
      <c r="D409" s="16">
        <v>9115000</v>
      </c>
      <c r="E409" s="16">
        <v>2</v>
      </c>
      <c r="F409" s="16">
        <v>4</v>
      </c>
      <c r="G409" s="20" t="s">
        <v>1443</v>
      </c>
      <c r="H409" s="16"/>
      <c r="I409" s="16" t="s">
        <v>1844</v>
      </c>
      <c r="J409" s="16" t="s">
        <v>1845</v>
      </c>
      <c r="K409" s="16" t="s">
        <v>1846</v>
      </c>
    </row>
    <row r="410" spans="1:11" ht="300" x14ac:dyDescent="0.25">
      <c r="A410" s="22">
        <v>407</v>
      </c>
      <c r="B410" s="16" t="s">
        <v>1847</v>
      </c>
      <c r="C410" s="16" t="s">
        <v>1848</v>
      </c>
      <c r="D410" s="16">
        <v>28940000</v>
      </c>
      <c r="E410" s="16">
        <v>2</v>
      </c>
      <c r="F410" s="16">
        <v>4</v>
      </c>
      <c r="G410" s="20" t="s">
        <v>1443</v>
      </c>
      <c r="H410" s="16"/>
      <c r="I410" s="16" t="s">
        <v>1849</v>
      </c>
      <c r="J410" s="16" t="s">
        <v>1850</v>
      </c>
      <c r="K410" s="16" t="s">
        <v>1851</v>
      </c>
    </row>
    <row r="411" spans="1:11" ht="225" x14ac:dyDescent="0.25">
      <c r="A411" s="22">
        <v>408</v>
      </c>
      <c r="B411" s="16" t="s">
        <v>1852</v>
      </c>
      <c r="C411" s="16" t="s">
        <v>1853</v>
      </c>
      <c r="D411" s="16">
        <v>8300000</v>
      </c>
      <c r="E411" s="16">
        <v>2</v>
      </c>
      <c r="F411" s="16">
        <v>4</v>
      </c>
      <c r="G411" s="20" t="s">
        <v>1443</v>
      </c>
      <c r="H411" s="16"/>
      <c r="I411" s="16" t="s">
        <v>1686</v>
      </c>
      <c r="J411" s="16" t="s">
        <v>1687</v>
      </c>
      <c r="K411" s="16" t="s">
        <v>1688</v>
      </c>
    </row>
    <row r="412" spans="1:11" ht="165" hidden="1" x14ac:dyDescent="0.25">
      <c r="A412" s="22">
        <v>409</v>
      </c>
      <c r="B412" s="16" t="s">
        <v>1854</v>
      </c>
      <c r="C412" s="16" t="s">
        <v>1855</v>
      </c>
      <c r="D412" s="16">
        <v>10625000</v>
      </c>
      <c r="E412" s="16">
        <v>3</v>
      </c>
      <c r="F412" s="16">
        <v>3</v>
      </c>
      <c r="G412" s="20" t="s">
        <v>1443</v>
      </c>
      <c r="H412" s="16"/>
      <c r="I412" s="16" t="s">
        <v>1856</v>
      </c>
      <c r="J412" s="16" t="s">
        <v>1857</v>
      </c>
      <c r="K412" s="16" t="s">
        <v>1858</v>
      </c>
    </row>
    <row r="413" spans="1:11" ht="225" hidden="1" x14ac:dyDescent="0.25">
      <c r="A413" s="22">
        <v>410</v>
      </c>
      <c r="B413" s="16" t="s">
        <v>1859</v>
      </c>
      <c r="C413" s="16" t="s">
        <v>1860</v>
      </c>
      <c r="D413" s="16">
        <v>12259000</v>
      </c>
      <c r="E413" s="16">
        <v>2</v>
      </c>
      <c r="F413" s="16">
        <v>3</v>
      </c>
      <c r="G413" s="20" t="s">
        <v>1443</v>
      </c>
      <c r="H413" s="16"/>
      <c r="I413" s="16" t="s">
        <v>1861</v>
      </c>
      <c r="J413" s="16" t="s">
        <v>1862</v>
      </c>
      <c r="K413" s="16" t="s">
        <v>1863</v>
      </c>
    </row>
    <row r="414" spans="1:11" ht="240" hidden="1" x14ac:dyDescent="0.25">
      <c r="A414" s="22">
        <v>411</v>
      </c>
      <c r="B414" s="16" t="s">
        <v>1864</v>
      </c>
      <c r="C414" s="16" t="s">
        <v>1865</v>
      </c>
      <c r="D414" s="16">
        <v>46800000</v>
      </c>
      <c r="E414" s="16">
        <v>2</v>
      </c>
      <c r="F414" s="16">
        <v>3</v>
      </c>
      <c r="G414" s="20" t="s">
        <v>1443</v>
      </c>
      <c r="H414" s="16"/>
      <c r="I414" s="16" t="s">
        <v>1866</v>
      </c>
      <c r="J414" s="16" t="s">
        <v>1867</v>
      </c>
      <c r="K414" s="16" t="s">
        <v>142</v>
      </c>
    </row>
    <row r="415" spans="1:11" ht="270" hidden="1" x14ac:dyDescent="0.25">
      <c r="A415" s="22">
        <v>412</v>
      </c>
      <c r="B415" s="16" t="s">
        <v>1868</v>
      </c>
      <c r="C415" s="16" t="s">
        <v>1869</v>
      </c>
      <c r="D415" s="16">
        <v>285248955</v>
      </c>
      <c r="E415" s="16">
        <v>2</v>
      </c>
      <c r="F415" s="16">
        <v>5</v>
      </c>
      <c r="G415" s="20" t="s">
        <v>1443</v>
      </c>
      <c r="H415" s="16"/>
      <c r="I415" s="16" t="s">
        <v>140</v>
      </c>
      <c r="J415" s="16" t="s">
        <v>1870</v>
      </c>
      <c r="K415" s="16" t="s">
        <v>142</v>
      </c>
    </row>
    <row r="416" spans="1:11" ht="225" hidden="1" x14ac:dyDescent="0.25">
      <c r="A416" s="22">
        <v>413</v>
      </c>
      <c r="B416" s="16" t="s">
        <v>1871</v>
      </c>
      <c r="C416" s="16" t="s">
        <v>1872</v>
      </c>
      <c r="D416" s="16">
        <v>49835457</v>
      </c>
      <c r="E416" s="16">
        <v>2</v>
      </c>
      <c r="F416" s="16">
        <v>3</v>
      </c>
      <c r="G416" s="20" t="s">
        <v>1443</v>
      </c>
      <c r="H416" s="16"/>
      <c r="I416" s="16" t="s">
        <v>380</v>
      </c>
      <c r="J416" s="16" t="s">
        <v>1873</v>
      </c>
      <c r="K416" s="16" t="s">
        <v>1563</v>
      </c>
    </row>
    <row r="417" spans="1:11" ht="195" hidden="1" x14ac:dyDescent="0.25">
      <c r="A417" s="22">
        <v>414</v>
      </c>
      <c r="B417" s="16" t="s">
        <v>1874</v>
      </c>
      <c r="C417" s="16" t="s">
        <v>1875</v>
      </c>
      <c r="D417" s="16">
        <v>7485000</v>
      </c>
      <c r="E417" s="16">
        <v>2</v>
      </c>
      <c r="F417" s="16">
        <v>5</v>
      </c>
      <c r="G417" s="20" t="s">
        <v>1443</v>
      </c>
      <c r="H417" s="16"/>
      <c r="I417" s="16" t="s">
        <v>1876</v>
      </c>
      <c r="J417" s="16" t="s">
        <v>1877</v>
      </c>
      <c r="K417" s="16" t="s">
        <v>1878</v>
      </c>
    </row>
    <row r="418" spans="1:11" ht="240" hidden="1" x14ac:dyDescent="0.25">
      <c r="A418" s="22">
        <v>415</v>
      </c>
      <c r="B418" s="16" t="s">
        <v>1879</v>
      </c>
      <c r="C418" s="16" t="s">
        <v>1880</v>
      </c>
      <c r="D418" s="16">
        <v>24208000</v>
      </c>
      <c r="E418" s="16">
        <v>2</v>
      </c>
      <c r="F418" s="16">
        <v>5</v>
      </c>
      <c r="G418" s="20" t="s">
        <v>1443</v>
      </c>
      <c r="H418" s="16"/>
      <c r="I418" s="16" t="s">
        <v>1881</v>
      </c>
      <c r="J418" s="16" t="s">
        <v>130</v>
      </c>
      <c r="K418" s="16" t="s">
        <v>131</v>
      </c>
    </row>
    <row r="419" spans="1:11" ht="360" hidden="1" x14ac:dyDescent="0.25">
      <c r="A419" s="22">
        <v>416</v>
      </c>
      <c r="B419" s="16" t="s">
        <v>1882</v>
      </c>
      <c r="C419" s="16" t="s">
        <v>1883</v>
      </c>
      <c r="D419" s="16">
        <v>157950910</v>
      </c>
      <c r="E419" s="16">
        <v>2</v>
      </c>
      <c r="F419" s="16">
        <v>5</v>
      </c>
      <c r="G419" s="20" t="s">
        <v>1443</v>
      </c>
      <c r="H419" s="16"/>
      <c r="I419" s="16" t="s">
        <v>1884</v>
      </c>
      <c r="J419" s="16" t="s">
        <v>1885</v>
      </c>
      <c r="K419" s="16" t="s">
        <v>1886</v>
      </c>
    </row>
    <row r="420" spans="1:11" ht="360" hidden="1" x14ac:dyDescent="0.25">
      <c r="A420" s="22">
        <v>417</v>
      </c>
      <c r="B420" s="16" t="s">
        <v>1887</v>
      </c>
      <c r="C420" s="16" t="s">
        <v>1888</v>
      </c>
      <c r="D420" s="16">
        <v>98527444</v>
      </c>
      <c r="E420" s="16">
        <v>2</v>
      </c>
      <c r="F420" s="16">
        <v>5</v>
      </c>
      <c r="G420" s="20" t="s">
        <v>1443</v>
      </c>
      <c r="H420" s="16"/>
      <c r="I420" s="16" t="s">
        <v>1884</v>
      </c>
      <c r="J420" s="16" t="s">
        <v>1885</v>
      </c>
      <c r="K420" s="16" t="s">
        <v>1886</v>
      </c>
    </row>
    <row r="421" spans="1:11" ht="285" hidden="1" x14ac:dyDescent="0.25">
      <c r="A421" s="22">
        <v>418</v>
      </c>
      <c r="B421" s="16" t="s">
        <v>1889</v>
      </c>
      <c r="C421" s="16" t="s">
        <v>1890</v>
      </c>
      <c r="D421" s="16">
        <v>199898830</v>
      </c>
      <c r="E421" s="16">
        <v>3</v>
      </c>
      <c r="F421" s="16">
        <v>3</v>
      </c>
      <c r="G421" s="20" t="s">
        <v>1443</v>
      </c>
      <c r="H421" s="16"/>
      <c r="I421" s="16" t="s">
        <v>1891</v>
      </c>
      <c r="J421" s="16" t="s">
        <v>1892</v>
      </c>
      <c r="K421" s="16" t="s">
        <v>142</v>
      </c>
    </row>
    <row r="422" spans="1:11" ht="210" hidden="1" x14ac:dyDescent="0.25">
      <c r="A422" s="22">
        <v>419</v>
      </c>
      <c r="B422" s="16" t="s">
        <v>1893</v>
      </c>
      <c r="C422" s="16" t="s">
        <v>1894</v>
      </c>
      <c r="D422" s="16">
        <v>3320000</v>
      </c>
      <c r="E422" s="16">
        <v>2</v>
      </c>
      <c r="F422" s="16">
        <v>5</v>
      </c>
      <c r="G422" s="20" t="s">
        <v>1443</v>
      </c>
      <c r="H422" s="16"/>
      <c r="I422" s="16" t="s">
        <v>1895</v>
      </c>
      <c r="J422" s="16" t="s">
        <v>1896</v>
      </c>
      <c r="K422" s="16" t="s">
        <v>1897</v>
      </c>
    </row>
    <row r="423" spans="1:11" ht="225" hidden="1" x14ac:dyDescent="0.25">
      <c r="A423" s="22">
        <v>420</v>
      </c>
      <c r="B423" s="16" t="s">
        <v>1898</v>
      </c>
      <c r="C423" s="16" t="s">
        <v>1899</v>
      </c>
      <c r="D423" s="16">
        <v>49950000</v>
      </c>
      <c r="E423" s="16">
        <v>2</v>
      </c>
      <c r="F423" s="16">
        <v>3</v>
      </c>
      <c r="G423" s="20" t="s">
        <v>1443</v>
      </c>
      <c r="H423" s="16"/>
      <c r="I423" s="16" t="s">
        <v>380</v>
      </c>
      <c r="J423" s="16" t="s">
        <v>1900</v>
      </c>
      <c r="K423" s="16" t="s">
        <v>1563</v>
      </c>
    </row>
    <row r="424" spans="1:11" ht="240" hidden="1" x14ac:dyDescent="0.25">
      <c r="A424" s="22">
        <v>421</v>
      </c>
      <c r="B424" s="16" t="s">
        <v>1901</v>
      </c>
      <c r="C424" s="16" t="s">
        <v>1902</v>
      </c>
      <c r="D424" s="16">
        <v>3300000</v>
      </c>
      <c r="E424" s="16">
        <v>3</v>
      </c>
      <c r="F424" s="16">
        <v>3</v>
      </c>
      <c r="G424" s="20" t="s">
        <v>1443</v>
      </c>
      <c r="H424" s="16"/>
      <c r="I424" s="16" t="s">
        <v>1903</v>
      </c>
      <c r="J424" s="16" t="s">
        <v>1904</v>
      </c>
      <c r="K424" s="16" t="s">
        <v>1905</v>
      </c>
    </row>
    <row r="425" spans="1:11" ht="210" hidden="1" x14ac:dyDescent="0.25">
      <c r="A425" s="22">
        <v>422</v>
      </c>
      <c r="B425" s="16" t="s">
        <v>1906</v>
      </c>
      <c r="C425" s="16" t="s">
        <v>1907</v>
      </c>
      <c r="D425" s="16">
        <v>4073000</v>
      </c>
      <c r="E425" s="16">
        <v>3</v>
      </c>
      <c r="F425" s="16">
        <v>3</v>
      </c>
      <c r="G425" s="20" t="s">
        <v>1443</v>
      </c>
      <c r="H425" s="16"/>
      <c r="I425" s="16" t="s">
        <v>1908</v>
      </c>
      <c r="J425" s="16" t="s">
        <v>1909</v>
      </c>
      <c r="K425" s="16" t="s">
        <v>1910</v>
      </c>
    </row>
    <row r="426" spans="1:11" ht="210" hidden="1" x14ac:dyDescent="0.25">
      <c r="A426" s="22">
        <v>423</v>
      </c>
      <c r="B426" s="16" t="s">
        <v>1911</v>
      </c>
      <c r="C426" s="16" t="s">
        <v>1912</v>
      </c>
      <c r="D426" s="16">
        <v>4592000</v>
      </c>
      <c r="E426" s="16">
        <v>3</v>
      </c>
      <c r="F426" s="16">
        <v>3</v>
      </c>
      <c r="G426" s="20" t="s">
        <v>1443</v>
      </c>
      <c r="H426" s="16"/>
      <c r="I426" s="16" t="s">
        <v>1913</v>
      </c>
      <c r="J426" s="16" t="s">
        <v>1914</v>
      </c>
      <c r="K426" s="16" t="s">
        <v>1915</v>
      </c>
    </row>
    <row r="427" spans="1:11" ht="225" hidden="1" x14ac:dyDescent="0.25">
      <c r="A427" s="22">
        <v>424</v>
      </c>
      <c r="B427" s="16" t="s">
        <v>1916</v>
      </c>
      <c r="C427" s="16" t="s">
        <v>1917</v>
      </c>
      <c r="D427" s="16">
        <v>6523000</v>
      </c>
      <c r="E427" s="16">
        <v>2</v>
      </c>
      <c r="F427" s="16">
        <v>4</v>
      </c>
      <c r="G427" s="20" t="s">
        <v>1443</v>
      </c>
      <c r="H427" s="16"/>
      <c r="I427" s="16" t="s">
        <v>1918</v>
      </c>
      <c r="J427" s="16" t="s">
        <v>1919</v>
      </c>
      <c r="K427" s="16" t="s">
        <v>1920</v>
      </c>
    </row>
    <row r="428" spans="1:11" ht="210" hidden="1" x14ac:dyDescent="0.25">
      <c r="A428" s="22">
        <v>425</v>
      </c>
      <c r="B428" s="16" t="s">
        <v>1921</v>
      </c>
      <c r="C428" s="16" t="s">
        <v>1922</v>
      </c>
      <c r="D428" s="16">
        <v>75211600</v>
      </c>
      <c r="E428" s="16">
        <v>3</v>
      </c>
      <c r="F428" s="16">
        <v>3</v>
      </c>
      <c r="G428" s="20" t="s">
        <v>1443</v>
      </c>
      <c r="H428" s="16"/>
      <c r="I428" s="16" t="s">
        <v>1923</v>
      </c>
      <c r="J428" s="16" t="s">
        <v>1924</v>
      </c>
      <c r="K428" s="16" t="s">
        <v>1925</v>
      </c>
    </row>
    <row r="429" spans="1:11" ht="285" hidden="1" x14ac:dyDescent="0.25">
      <c r="A429" s="22">
        <v>426</v>
      </c>
      <c r="B429" s="16" t="s">
        <v>1926</v>
      </c>
      <c r="C429" s="16" t="s">
        <v>1927</v>
      </c>
      <c r="D429" s="16">
        <v>11200000</v>
      </c>
      <c r="E429" s="16">
        <v>3</v>
      </c>
      <c r="F429" s="16">
        <v>3</v>
      </c>
      <c r="G429" s="20" t="s">
        <v>1443</v>
      </c>
      <c r="H429" s="16"/>
      <c r="I429" s="16" t="s">
        <v>1928</v>
      </c>
      <c r="J429" s="16" t="s">
        <v>1929</v>
      </c>
      <c r="K429" s="16" t="s">
        <v>1930</v>
      </c>
    </row>
    <row r="430" spans="1:11" ht="195" hidden="1" x14ac:dyDescent="0.25">
      <c r="A430" s="22">
        <v>427</v>
      </c>
      <c r="B430" s="16" t="s">
        <v>1931</v>
      </c>
      <c r="C430" s="16" t="s">
        <v>1932</v>
      </c>
      <c r="D430" s="16">
        <v>4965000</v>
      </c>
      <c r="E430" s="16">
        <v>2</v>
      </c>
      <c r="F430" s="16">
        <v>3</v>
      </c>
      <c r="G430" s="20" t="s">
        <v>1443</v>
      </c>
      <c r="H430" s="16"/>
      <c r="I430" s="16" t="s">
        <v>1613</v>
      </c>
      <c r="J430" s="16" t="s">
        <v>1933</v>
      </c>
      <c r="K430" s="16" t="s">
        <v>1615</v>
      </c>
    </row>
    <row r="431" spans="1:11" ht="210" hidden="1" x14ac:dyDescent="0.25">
      <c r="A431" s="22">
        <v>428</v>
      </c>
      <c r="B431" s="16" t="s">
        <v>1934</v>
      </c>
      <c r="C431" s="16" t="s">
        <v>1935</v>
      </c>
      <c r="D431" s="16">
        <v>6965000</v>
      </c>
      <c r="E431" s="16">
        <v>3</v>
      </c>
      <c r="F431" s="16">
        <v>3</v>
      </c>
      <c r="G431" s="20" t="s">
        <v>1443</v>
      </c>
      <c r="H431" s="16"/>
      <c r="I431" s="16" t="s">
        <v>1936</v>
      </c>
      <c r="J431" s="16" t="s">
        <v>1937</v>
      </c>
      <c r="K431" s="16" t="s">
        <v>1938</v>
      </c>
    </row>
    <row r="432" spans="1:11" ht="360" hidden="1" x14ac:dyDescent="0.25">
      <c r="A432" s="22">
        <v>429</v>
      </c>
      <c r="B432" s="16" t="s">
        <v>1939</v>
      </c>
      <c r="C432" s="16" t="s">
        <v>1940</v>
      </c>
      <c r="D432" s="16">
        <v>144902000</v>
      </c>
      <c r="E432" s="16">
        <v>3</v>
      </c>
      <c r="F432" s="16">
        <v>2</v>
      </c>
      <c r="G432" s="20" t="s">
        <v>1443</v>
      </c>
      <c r="H432" s="16"/>
      <c r="I432" s="16" t="s">
        <v>1941</v>
      </c>
      <c r="J432" s="16" t="s">
        <v>1942</v>
      </c>
      <c r="K432" s="16" t="s">
        <v>1943</v>
      </c>
    </row>
    <row r="433" spans="1:11" ht="210" hidden="1" x14ac:dyDescent="0.25">
      <c r="A433" s="22">
        <v>430</v>
      </c>
      <c r="B433" s="16" t="s">
        <v>1944</v>
      </c>
      <c r="C433" s="16" t="s">
        <v>1945</v>
      </c>
      <c r="D433" s="16">
        <v>12907000</v>
      </c>
      <c r="E433" s="16">
        <v>2</v>
      </c>
      <c r="F433" s="16">
        <v>3</v>
      </c>
      <c r="G433" s="20" t="s">
        <v>1443</v>
      </c>
      <c r="H433" s="16"/>
      <c r="I433" s="16" t="s">
        <v>1946</v>
      </c>
      <c r="J433" s="16" t="s">
        <v>1947</v>
      </c>
      <c r="K433" s="16" t="s">
        <v>1948</v>
      </c>
    </row>
    <row r="434" spans="1:11" ht="330" hidden="1" x14ac:dyDescent="0.25">
      <c r="A434" s="22">
        <v>431</v>
      </c>
      <c r="B434" s="16" t="s">
        <v>1949</v>
      </c>
      <c r="C434" s="16" t="s">
        <v>1950</v>
      </c>
      <c r="D434" s="16">
        <v>14975000</v>
      </c>
      <c r="E434" s="16">
        <v>3</v>
      </c>
      <c r="F434" s="16">
        <v>3</v>
      </c>
      <c r="G434" s="20" t="s">
        <v>1443</v>
      </c>
      <c r="H434" s="16"/>
      <c r="I434" s="16" t="s">
        <v>642</v>
      </c>
      <c r="J434" s="16" t="s">
        <v>1951</v>
      </c>
      <c r="K434" s="16" t="s">
        <v>1952</v>
      </c>
    </row>
    <row r="435" spans="1:11" ht="375" hidden="1" x14ac:dyDescent="0.25">
      <c r="A435" s="22">
        <v>432</v>
      </c>
      <c r="B435" s="16" t="s">
        <v>1953</v>
      </c>
      <c r="C435" s="16" t="s">
        <v>1954</v>
      </c>
      <c r="D435" s="16">
        <v>47870000</v>
      </c>
      <c r="E435" s="16">
        <v>3</v>
      </c>
      <c r="F435" s="16">
        <v>3</v>
      </c>
      <c r="G435" s="20" t="s">
        <v>1443</v>
      </c>
      <c r="H435" s="16"/>
      <c r="I435" s="16" t="s">
        <v>1581</v>
      </c>
      <c r="J435" s="16" t="s">
        <v>1582</v>
      </c>
      <c r="K435" s="16" t="s">
        <v>1955</v>
      </c>
    </row>
    <row r="436" spans="1:11" ht="390" hidden="1" x14ac:dyDescent="0.25">
      <c r="A436" s="22">
        <v>433</v>
      </c>
      <c r="B436" s="16" t="s">
        <v>1956</v>
      </c>
      <c r="C436" s="16" t="s">
        <v>1957</v>
      </c>
      <c r="D436" s="16">
        <v>27085000</v>
      </c>
      <c r="E436" s="16">
        <v>3</v>
      </c>
      <c r="F436" s="16">
        <v>3</v>
      </c>
      <c r="G436" s="20" t="s">
        <v>1443</v>
      </c>
      <c r="H436" s="16"/>
      <c r="I436" s="16" t="s">
        <v>642</v>
      </c>
      <c r="J436" s="16" t="s">
        <v>1958</v>
      </c>
      <c r="K436" s="16" t="s">
        <v>1959</v>
      </c>
    </row>
    <row r="437" spans="1:11" ht="375" hidden="1" x14ac:dyDescent="0.25">
      <c r="A437" s="22">
        <v>434</v>
      </c>
      <c r="B437" s="16" t="s">
        <v>1960</v>
      </c>
      <c r="C437" s="16" t="s">
        <v>1961</v>
      </c>
      <c r="D437" s="16">
        <v>8665000</v>
      </c>
      <c r="E437" s="16">
        <v>3</v>
      </c>
      <c r="F437" s="16">
        <v>3</v>
      </c>
      <c r="G437" s="20" t="s">
        <v>1443</v>
      </c>
      <c r="H437" s="16"/>
      <c r="I437" s="16" t="s">
        <v>1962</v>
      </c>
      <c r="J437" s="16" t="s">
        <v>1963</v>
      </c>
      <c r="K437" s="16" t="s">
        <v>1964</v>
      </c>
    </row>
    <row r="438" spans="1:11" ht="390" hidden="1" x14ac:dyDescent="0.25">
      <c r="A438" s="22">
        <v>435</v>
      </c>
      <c r="B438" s="16" t="s">
        <v>1965</v>
      </c>
      <c r="C438" s="16" t="s">
        <v>1966</v>
      </c>
      <c r="D438" s="16">
        <v>18790000</v>
      </c>
      <c r="E438" s="16">
        <v>3</v>
      </c>
      <c r="F438" s="16">
        <v>3</v>
      </c>
      <c r="G438" s="20" t="s">
        <v>1443</v>
      </c>
      <c r="H438" s="16"/>
      <c r="I438" s="16" t="s">
        <v>1663</v>
      </c>
      <c r="J438" s="16" t="s">
        <v>1967</v>
      </c>
      <c r="K438" s="16" t="s">
        <v>1968</v>
      </c>
    </row>
    <row r="439" spans="1:11" ht="255" hidden="1" x14ac:dyDescent="0.25">
      <c r="A439" s="22">
        <v>436</v>
      </c>
      <c r="B439" s="16" t="s">
        <v>1969</v>
      </c>
      <c r="C439" s="16" t="s">
        <v>1970</v>
      </c>
      <c r="D439" s="16">
        <v>6980000</v>
      </c>
      <c r="E439" s="16">
        <v>3</v>
      </c>
      <c r="F439" s="16">
        <v>3</v>
      </c>
      <c r="G439" s="20" t="s">
        <v>1443</v>
      </c>
      <c r="H439" s="16"/>
      <c r="I439" s="16" t="s">
        <v>1663</v>
      </c>
      <c r="J439" s="16" t="s">
        <v>1971</v>
      </c>
      <c r="K439" s="16" t="s">
        <v>1971</v>
      </c>
    </row>
    <row r="440" spans="1:11" ht="270" hidden="1" x14ac:dyDescent="0.25">
      <c r="A440" s="22">
        <v>437</v>
      </c>
      <c r="B440" s="16" t="s">
        <v>1972</v>
      </c>
      <c r="C440" s="16" t="s">
        <v>1973</v>
      </c>
      <c r="D440" s="16">
        <v>7690000</v>
      </c>
      <c r="E440" s="16">
        <v>3</v>
      </c>
      <c r="F440" s="16">
        <v>3</v>
      </c>
      <c r="G440" s="20" t="s">
        <v>1443</v>
      </c>
      <c r="H440" s="16"/>
      <c r="I440" s="16" t="s">
        <v>1663</v>
      </c>
      <c r="J440" s="16" t="s">
        <v>1974</v>
      </c>
      <c r="K440" s="16" t="s">
        <v>1975</v>
      </c>
    </row>
    <row r="441" spans="1:11" ht="409.5" hidden="1" x14ac:dyDescent="0.25">
      <c r="A441" s="22">
        <v>438</v>
      </c>
      <c r="B441" s="16" t="s">
        <v>1976</v>
      </c>
      <c r="C441" s="16" t="s">
        <v>1977</v>
      </c>
      <c r="D441" s="16">
        <v>21545000</v>
      </c>
      <c r="E441" s="16">
        <v>3</v>
      </c>
      <c r="F441" s="16">
        <v>3</v>
      </c>
      <c r="G441" s="20" t="s">
        <v>1443</v>
      </c>
      <c r="H441" s="16"/>
      <c r="I441" s="16" t="s">
        <v>1663</v>
      </c>
      <c r="J441" s="16" t="s">
        <v>1978</v>
      </c>
      <c r="K441" s="16" t="s">
        <v>1979</v>
      </c>
    </row>
    <row r="442" spans="1:11" ht="255" x14ac:dyDescent="0.25">
      <c r="A442" s="22">
        <v>439</v>
      </c>
      <c r="B442" s="16" t="s">
        <v>1980</v>
      </c>
      <c r="C442" s="16" t="s">
        <v>1981</v>
      </c>
      <c r="D442" s="16">
        <v>36820200</v>
      </c>
      <c r="E442" s="16">
        <v>2</v>
      </c>
      <c r="F442" s="16">
        <v>4</v>
      </c>
      <c r="G442" s="20" t="s">
        <v>1443</v>
      </c>
      <c r="H442" s="16"/>
      <c r="I442" s="16" t="s">
        <v>1982</v>
      </c>
      <c r="J442" s="16" t="s">
        <v>1682</v>
      </c>
      <c r="K442" s="16" t="s">
        <v>1683</v>
      </c>
    </row>
    <row r="443" spans="1:11" ht="225" x14ac:dyDescent="0.25">
      <c r="A443" s="22">
        <v>440</v>
      </c>
      <c r="B443" s="16" t="s">
        <v>1983</v>
      </c>
      <c r="C443" s="16" t="s">
        <v>1984</v>
      </c>
      <c r="D443" s="16">
        <v>20385000</v>
      </c>
      <c r="E443" s="16">
        <v>2</v>
      </c>
      <c r="F443" s="16">
        <v>4</v>
      </c>
      <c r="G443" s="20" t="s">
        <v>1443</v>
      </c>
      <c r="H443" s="16"/>
      <c r="I443" s="16" t="s">
        <v>1985</v>
      </c>
      <c r="J443" s="16" t="s">
        <v>1687</v>
      </c>
      <c r="K443" s="16" t="s">
        <v>1688</v>
      </c>
    </row>
    <row r="444" spans="1:11" ht="255" x14ac:dyDescent="0.25">
      <c r="A444" s="22">
        <v>441</v>
      </c>
      <c r="B444" s="16" t="s">
        <v>1986</v>
      </c>
      <c r="C444" s="16" t="s">
        <v>1987</v>
      </c>
      <c r="D444" s="16">
        <v>7020000</v>
      </c>
      <c r="E444" s="16">
        <v>2</v>
      </c>
      <c r="F444" s="16">
        <v>4</v>
      </c>
      <c r="G444" s="20" t="s">
        <v>1443</v>
      </c>
      <c r="H444" s="16"/>
      <c r="I444" s="16" t="s">
        <v>1691</v>
      </c>
      <c r="J444" s="16" t="s">
        <v>1988</v>
      </c>
      <c r="K444" s="16" t="s">
        <v>1693</v>
      </c>
    </row>
    <row r="445" spans="1:11" ht="240" x14ac:dyDescent="0.25">
      <c r="A445" s="22">
        <v>442</v>
      </c>
      <c r="B445" s="16" t="s">
        <v>1989</v>
      </c>
      <c r="C445" s="16" t="s">
        <v>1990</v>
      </c>
      <c r="D445" s="16">
        <v>15155000</v>
      </c>
      <c r="E445" s="16">
        <v>2</v>
      </c>
      <c r="F445" s="16">
        <v>4</v>
      </c>
      <c r="G445" s="20" t="s">
        <v>1443</v>
      </c>
      <c r="H445" s="16"/>
      <c r="I445" s="16" t="s">
        <v>1991</v>
      </c>
      <c r="J445" s="16" t="s">
        <v>130</v>
      </c>
      <c r="K445" s="16" t="s">
        <v>1992</v>
      </c>
    </row>
    <row r="446" spans="1:11" ht="270" x14ac:dyDescent="0.25">
      <c r="A446" s="22">
        <v>443</v>
      </c>
      <c r="B446" s="16" t="s">
        <v>1993</v>
      </c>
      <c r="C446" s="16" t="s">
        <v>1994</v>
      </c>
      <c r="D446" s="16">
        <v>15150000</v>
      </c>
      <c r="E446" s="16">
        <v>2</v>
      </c>
      <c r="F446" s="16">
        <v>4</v>
      </c>
      <c r="G446" s="20" t="s">
        <v>1443</v>
      </c>
      <c r="H446" s="16"/>
      <c r="I446" s="16" t="s">
        <v>1995</v>
      </c>
      <c r="J446" s="16" t="s">
        <v>1996</v>
      </c>
      <c r="K446" s="16" t="s">
        <v>137</v>
      </c>
    </row>
    <row r="447" spans="1:11" ht="270" x14ac:dyDescent="0.25">
      <c r="A447" s="22">
        <v>444</v>
      </c>
      <c r="B447" s="16" t="s">
        <v>1997</v>
      </c>
      <c r="C447" s="16" t="s">
        <v>1998</v>
      </c>
      <c r="D447" s="16">
        <v>50000000</v>
      </c>
      <c r="E447" s="16">
        <v>2</v>
      </c>
      <c r="F447" s="16">
        <v>4</v>
      </c>
      <c r="G447" s="20" t="s">
        <v>1443</v>
      </c>
      <c r="H447" s="16"/>
      <c r="I447" s="16" t="s">
        <v>1999</v>
      </c>
      <c r="J447" s="16" t="s">
        <v>2000</v>
      </c>
      <c r="K447" s="16" t="s">
        <v>1678</v>
      </c>
    </row>
    <row r="448" spans="1:11" ht="360" hidden="1" x14ac:dyDescent="0.25">
      <c r="A448" s="22">
        <v>445</v>
      </c>
      <c r="B448" s="16" t="s">
        <v>2001</v>
      </c>
      <c r="C448" s="16" t="s">
        <v>2002</v>
      </c>
      <c r="D448" s="16">
        <v>36595000</v>
      </c>
      <c r="E448" s="16">
        <v>3</v>
      </c>
      <c r="F448" s="16">
        <v>3</v>
      </c>
      <c r="G448" s="20" t="s">
        <v>1443</v>
      </c>
      <c r="H448" s="16"/>
      <c r="I448" s="16" t="s">
        <v>2003</v>
      </c>
      <c r="J448" s="16" t="s">
        <v>2004</v>
      </c>
      <c r="K448" s="16" t="s">
        <v>2005</v>
      </c>
    </row>
    <row r="449" spans="1:11" ht="409.5" hidden="1" x14ac:dyDescent="0.25">
      <c r="A449" s="22">
        <v>446</v>
      </c>
      <c r="B449" s="16" t="s">
        <v>2006</v>
      </c>
      <c r="C449" s="16" t="s">
        <v>2007</v>
      </c>
      <c r="D449" s="16">
        <v>39919000</v>
      </c>
      <c r="E449" s="16">
        <v>2</v>
      </c>
      <c r="F449" s="16">
        <v>5</v>
      </c>
      <c r="G449" s="20" t="s">
        <v>1443</v>
      </c>
      <c r="H449" s="16"/>
      <c r="I449" s="16" t="s">
        <v>2008</v>
      </c>
      <c r="J449" s="16" t="s">
        <v>1097</v>
      </c>
      <c r="K449" s="16" t="s">
        <v>1098</v>
      </c>
    </row>
    <row r="450" spans="1:11" ht="409.5" hidden="1" x14ac:dyDescent="0.25">
      <c r="A450" s="22">
        <v>447</v>
      </c>
      <c r="B450" s="16" t="s">
        <v>2009</v>
      </c>
      <c r="C450" s="16" t="s">
        <v>2010</v>
      </c>
      <c r="D450" s="16">
        <v>39919000</v>
      </c>
      <c r="E450" s="16">
        <v>2</v>
      </c>
      <c r="F450" s="16">
        <v>4</v>
      </c>
      <c r="G450" s="20" t="s">
        <v>1443</v>
      </c>
      <c r="H450" s="16"/>
      <c r="I450" s="16" t="s">
        <v>2008</v>
      </c>
      <c r="J450" s="16" t="s">
        <v>1097</v>
      </c>
      <c r="K450" s="16" t="s">
        <v>1098</v>
      </c>
    </row>
    <row r="451" spans="1:11" ht="375" hidden="1" x14ac:dyDescent="0.25">
      <c r="A451" s="22">
        <v>448</v>
      </c>
      <c r="B451" s="16" t="s">
        <v>2011</v>
      </c>
      <c r="C451" s="16" t="s">
        <v>2012</v>
      </c>
      <c r="D451" s="16">
        <v>2500000</v>
      </c>
      <c r="E451" s="16">
        <v>2</v>
      </c>
      <c r="F451" s="16">
        <v>5</v>
      </c>
      <c r="G451" s="20" t="s">
        <v>1443</v>
      </c>
      <c r="H451" s="16"/>
      <c r="I451" s="16" t="s">
        <v>1101</v>
      </c>
      <c r="J451" s="16" t="s">
        <v>1102</v>
      </c>
      <c r="K451" s="16" t="s">
        <v>1103</v>
      </c>
    </row>
    <row r="452" spans="1:11" ht="375" hidden="1" x14ac:dyDescent="0.25">
      <c r="A452" s="22">
        <v>449</v>
      </c>
      <c r="B452" s="16" t="s">
        <v>2013</v>
      </c>
      <c r="C452" s="16" t="s">
        <v>2014</v>
      </c>
      <c r="D452" s="16">
        <v>2500000</v>
      </c>
      <c r="E452" s="16">
        <v>2</v>
      </c>
      <c r="F452" s="16">
        <v>4</v>
      </c>
      <c r="G452" s="20" t="s">
        <v>1443</v>
      </c>
      <c r="H452" s="16"/>
      <c r="I452" s="16" t="s">
        <v>1101</v>
      </c>
      <c r="J452" s="16" t="s">
        <v>1102</v>
      </c>
      <c r="K452" s="16" t="s">
        <v>1103</v>
      </c>
    </row>
    <row r="453" spans="1:11" ht="375" hidden="1" x14ac:dyDescent="0.25">
      <c r="A453" s="22">
        <v>450</v>
      </c>
      <c r="B453" s="16" t="s">
        <v>2015</v>
      </c>
      <c r="C453" s="16" t="s">
        <v>2016</v>
      </c>
      <c r="D453" s="16">
        <v>2500000</v>
      </c>
      <c r="E453" s="16">
        <v>2</v>
      </c>
      <c r="F453" s="16">
        <v>4</v>
      </c>
      <c r="G453" s="20" t="s">
        <v>1443</v>
      </c>
      <c r="H453" s="16"/>
      <c r="I453" s="16" t="s">
        <v>1101</v>
      </c>
      <c r="J453" s="16" t="s">
        <v>1102</v>
      </c>
      <c r="K453" s="16" t="s">
        <v>1103</v>
      </c>
    </row>
    <row r="454" spans="1:11" ht="375" hidden="1" x14ac:dyDescent="0.25">
      <c r="A454" s="22">
        <v>451</v>
      </c>
      <c r="B454" s="16" t="s">
        <v>2017</v>
      </c>
      <c r="C454" s="16" t="s">
        <v>2018</v>
      </c>
      <c r="D454" s="16">
        <v>2500000</v>
      </c>
      <c r="E454" s="16">
        <v>2</v>
      </c>
      <c r="F454" s="16">
        <v>4</v>
      </c>
      <c r="G454" s="20" t="s">
        <v>1443</v>
      </c>
      <c r="H454" s="16"/>
      <c r="I454" s="16" t="s">
        <v>1101</v>
      </c>
      <c r="J454" s="16" t="s">
        <v>1102</v>
      </c>
      <c r="K454" s="16" t="s">
        <v>1103</v>
      </c>
    </row>
    <row r="455" spans="1:11" ht="375" hidden="1" x14ac:dyDescent="0.25">
      <c r="A455" s="22">
        <v>452</v>
      </c>
      <c r="B455" s="16" t="s">
        <v>2019</v>
      </c>
      <c r="C455" s="16" t="s">
        <v>2020</v>
      </c>
      <c r="D455" s="16">
        <v>2500000</v>
      </c>
      <c r="E455" s="16">
        <v>2</v>
      </c>
      <c r="F455" s="16">
        <v>4</v>
      </c>
      <c r="G455" s="20" t="s">
        <v>1443</v>
      </c>
      <c r="H455" s="16"/>
      <c r="I455" s="16" t="s">
        <v>1101</v>
      </c>
      <c r="J455" s="16" t="s">
        <v>1102</v>
      </c>
      <c r="K455" s="16" t="s">
        <v>1103</v>
      </c>
    </row>
    <row r="456" spans="1:11" ht="375" hidden="1" x14ac:dyDescent="0.25">
      <c r="A456" s="22">
        <v>453</v>
      </c>
      <c r="B456" s="16" t="s">
        <v>2021</v>
      </c>
      <c r="C456" s="16" t="s">
        <v>2022</v>
      </c>
      <c r="D456" s="16">
        <v>2500000</v>
      </c>
      <c r="E456" s="16">
        <v>2</v>
      </c>
      <c r="F456" s="16">
        <v>4</v>
      </c>
      <c r="G456" s="20" t="s">
        <v>1443</v>
      </c>
      <c r="H456" s="16"/>
      <c r="I456" s="16" t="s">
        <v>1101</v>
      </c>
      <c r="J456" s="16" t="s">
        <v>1102</v>
      </c>
      <c r="K456" s="16" t="s">
        <v>1103</v>
      </c>
    </row>
    <row r="457" spans="1:11" ht="375" hidden="1" x14ac:dyDescent="0.25">
      <c r="A457" s="22">
        <v>454</v>
      </c>
      <c r="B457" s="16" t="s">
        <v>2023</v>
      </c>
      <c r="C457" s="16" t="s">
        <v>2024</v>
      </c>
      <c r="D457" s="16">
        <v>74782500</v>
      </c>
      <c r="E457" s="16">
        <v>2</v>
      </c>
      <c r="F457" s="16">
        <v>4</v>
      </c>
      <c r="G457" s="20" t="s">
        <v>1443</v>
      </c>
      <c r="H457" s="16"/>
      <c r="I457" s="16" t="s">
        <v>1101</v>
      </c>
      <c r="J457" s="16" t="s">
        <v>1102</v>
      </c>
      <c r="K457" s="16" t="s">
        <v>1103</v>
      </c>
    </row>
    <row r="458" spans="1:11" ht="375" hidden="1" x14ac:dyDescent="0.25">
      <c r="A458" s="22">
        <v>455</v>
      </c>
      <c r="B458" s="16" t="s">
        <v>2025</v>
      </c>
      <c r="C458" s="16" t="s">
        <v>2026</v>
      </c>
      <c r="D458" s="16">
        <v>79814200</v>
      </c>
      <c r="E458" s="16">
        <v>2</v>
      </c>
      <c r="F458" s="16">
        <v>4</v>
      </c>
      <c r="G458" s="20" t="s">
        <v>1443</v>
      </c>
      <c r="H458" s="16"/>
      <c r="I458" s="16" t="s">
        <v>1101</v>
      </c>
      <c r="J458" s="16" t="s">
        <v>1102</v>
      </c>
      <c r="K458" s="16" t="s">
        <v>1103</v>
      </c>
    </row>
    <row r="459" spans="1:11" ht="375" hidden="1" x14ac:dyDescent="0.25">
      <c r="A459" s="22">
        <v>456</v>
      </c>
      <c r="B459" s="16" t="s">
        <v>2027</v>
      </c>
      <c r="C459" s="16" t="s">
        <v>2028</v>
      </c>
      <c r="D459" s="16">
        <v>22757300</v>
      </c>
      <c r="E459" s="16">
        <v>2</v>
      </c>
      <c r="F459" s="16">
        <v>4</v>
      </c>
      <c r="G459" s="20" t="s">
        <v>1443</v>
      </c>
      <c r="H459" s="16"/>
      <c r="I459" s="16" t="s">
        <v>1101</v>
      </c>
      <c r="J459" s="16" t="s">
        <v>2029</v>
      </c>
      <c r="K459" s="16" t="s">
        <v>1103</v>
      </c>
    </row>
    <row r="460" spans="1:11" ht="180" hidden="1" x14ac:dyDescent="0.25">
      <c r="A460" s="22">
        <v>457</v>
      </c>
      <c r="B460" s="16" t="s">
        <v>2030</v>
      </c>
      <c r="C460" s="16" t="s">
        <v>2031</v>
      </c>
      <c r="D460" s="16">
        <v>43854550</v>
      </c>
      <c r="E460" s="16">
        <v>3</v>
      </c>
      <c r="F460" s="16">
        <v>3</v>
      </c>
      <c r="G460" s="20" t="s">
        <v>1443</v>
      </c>
      <c r="H460" s="16"/>
      <c r="I460" s="16" t="s">
        <v>2032</v>
      </c>
      <c r="J460" s="16" t="s">
        <v>2033</v>
      </c>
      <c r="K460" s="16" t="s">
        <v>2034</v>
      </c>
    </row>
    <row r="461" spans="1:11" ht="315" hidden="1" x14ac:dyDescent="0.25">
      <c r="A461" s="22">
        <v>458</v>
      </c>
      <c r="B461" s="16" t="s">
        <v>2035</v>
      </c>
      <c r="C461" s="16" t="s">
        <v>2036</v>
      </c>
      <c r="D461" s="16">
        <v>63100000</v>
      </c>
      <c r="E461" s="16">
        <v>3</v>
      </c>
      <c r="F461" s="16">
        <v>2</v>
      </c>
      <c r="G461" s="20" t="s">
        <v>1443</v>
      </c>
      <c r="H461" s="16"/>
      <c r="I461" s="16" t="s">
        <v>2037</v>
      </c>
      <c r="J461" s="16" t="s">
        <v>2038</v>
      </c>
      <c r="K461" s="16" t="s">
        <v>2039</v>
      </c>
    </row>
    <row r="462" spans="1:11" ht="300" hidden="1" x14ac:dyDescent="0.25">
      <c r="A462" s="22">
        <v>459</v>
      </c>
      <c r="B462" s="16" t="s">
        <v>2040</v>
      </c>
      <c r="C462" s="16" t="s">
        <v>2041</v>
      </c>
      <c r="D462" s="16">
        <v>57100000</v>
      </c>
      <c r="E462" s="16">
        <v>3</v>
      </c>
      <c r="F462" s="16">
        <v>2</v>
      </c>
      <c r="G462" s="20" t="s">
        <v>1443</v>
      </c>
      <c r="H462" s="16"/>
      <c r="I462" s="16" t="s">
        <v>2042</v>
      </c>
      <c r="J462" s="16" t="s">
        <v>2043</v>
      </c>
      <c r="K462" s="16" t="s">
        <v>2044</v>
      </c>
    </row>
    <row r="463" spans="1:11" ht="240" hidden="1" x14ac:dyDescent="0.25">
      <c r="A463" s="22">
        <v>460</v>
      </c>
      <c r="B463" s="16" t="s">
        <v>2045</v>
      </c>
      <c r="C463" s="16" t="s">
        <v>2046</v>
      </c>
      <c r="D463" s="16">
        <v>44225000</v>
      </c>
      <c r="E463" s="16">
        <v>3</v>
      </c>
      <c r="F463" s="16">
        <v>3</v>
      </c>
      <c r="G463" s="20" t="s">
        <v>1443</v>
      </c>
      <c r="H463" s="16"/>
      <c r="I463" s="16" t="s">
        <v>2047</v>
      </c>
      <c r="J463" s="16" t="s">
        <v>2048</v>
      </c>
      <c r="K463" s="16" t="s">
        <v>2049</v>
      </c>
    </row>
    <row r="464" spans="1:11" ht="300" hidden="1" x14ac:dyDescent="0.25">
      <c r="A464" s="22">
        <v>461</v>
      </c>
      <c r="B464" s="16" t="s">
        <v>2050</v>
      </c>
      <c r="C464" s="16" t="s">
        <v>2051</v>
      </c>
      <c r="D464" s="16">
        <v>45000000</v>
      </c>
      <c r="E464" s="16">
        <v>3</v>
      </c>
      <c r="F464" s="16">
        <v>3</v>
      </c>
      <c r="G464" s="20" t="s">
        <v>1443</v>
      </c>
      <c r="H464" s="16"/>
      <c r="I464" s="16" t="s">
        <v>1663</v>
      </c>
      <c r="J464" s="16" t="s">
        <v>2052</v>
      </c>
      <c r="K464" s="16" t="s">
        <v>2053</v>
      </c>
    </row>
    <row r="465" spans="1:11" ht="409.5" hidden="1" x14ac:dyDescent="0.25">
      <c r="A465" s="22">
        <v>462</v>
      </c>
      <c r="B465" s="16" t="s">
        <v>2054</v>
      </c>
      <c r="C465" s="16" t="s">
        <v>2055</v>
      </c>
      <c r="D465" s="16">
        <v>9358790</v>
      </c>
      <c r="E465" s="16">
        <v>3</v>
      </c>
      <c r="F465" s="16">
        <v>3</v>
      </c>
      <c r="G465" s="20" t="s">
        <v>1443</v>
      </c>
      <c r="H465" s="16"/>
      <c r="I465" s="16" t="s">
        <v>2056</v>
      </c>
      <c r="J465" s="16" t="s">
        <v>2057</v>
      </c>
      <c r="K465" s="16" t="s">
        <v>2058</v>
      </c>
    </row>
    <row r="466" spans="1:11" ht="409.5" hidden="1" x14ac:dyDescent="0.25">
      <c r="A466" s="22">
        <v>463</v>
      </c>
      <c r="B466" s="16" t="s">
        <v>2059</v>
      </c>
      <c r="C466" s="16" t="s">
        <v>2060</v>
      </c>
      <c r="D466" s="16">
        <v>19466000</v>
      </c>
      <c r="E466" s="16">
        <v>2</v>
      </c>
      <c r="F466" s="16">
        <v>4</v>
      </c>
      <c r="G466" s="20" t="s">
        <v>1443</v>
      </c>
      <c r="H466" s="16"/>
      <c r="I466" s="16" t="s">
        <v>2061</v>
      </c>
      <c r="J466" s="16" t="s">
        <v>2062</v>
      </c>
      <c r="K466" s="16" t="s">
        <v>2063</v>
      </c>
    </row>
    <row r="467" spans="1:11" ht="409.5" hidden="1" x14ac:dyDescent="0.25">
      <c r="A467" s="22">
        <v>464</v>
      </c>
      <c r="B467" s="16" t="s">
        <v>2064</v>
      </c>
      <c r="C467" s="16" t="s">
        <v>2065</v>
      </c>
      <c r="D467" s="16">
        <v>20675000</v>
      </c>
      <c r="E467" s="16">
        <v>2</v>
      </c>
      <c r="F467" s="16">
        <v>3</v>
      </c>
      <c r="G467" s="20" t="s">
        <v>1443</v>
      </c>
      <c r="H467" s="16"/>
      <c r="I467" s="16" t="s">
        <v>2066</v>
      </c>
      <c r="J467" s="16" t="s">
        <v>2067</v>
      </c>
      <c r="K467" s="16" t="s">
        <v>2068</v>
      </c>
    </row>
    <row r="468" spans="1:11" ht="409.5" hidden="1" x14ac:dyDescent="0.25">
      <c r="A468" s="22">
        <v>465</v>
      </c>
      <c r="B468" s="16" t="s">
        <v>2069</v>
      </c>
      <c r="C468" s="16" t="s">
        <v>2070</v>
      </c>
      <c r="D468" s="16">
        <v>20475000</v>
      </c>
      <c r="E468" s="16">
        <v>2</v>
      </c>
      <c r="F468" s="16">
        <v>5</v>
      </c>
      <c r="G468" s="20" t="s">
        <v>1443</v>
      </c>
      <c r="H468" s="16"/>
      <c r="I468" s="16" t="s">
        <v>2071</v>
      </c>
      <c r="J468" s="16" t="s">
        <v>2072</v>
      </c>
      <c r="K468" s="16" t="s">
        <v>2073</v>
      </c>
    </row>
    <row r="469" spans="1:11" ht="409.5" hidden="1" x14ac:dyDescent="0.25">
      <c r="A469" s="22">
        <v>466</v>
      </c>
      <c r="B469" s="16" t="s">
        <v>2074</v>
      </c>
      <c r="C469" s="16" t="s">
        <v>2075</v>
      </c>
      <c r="D469" s="16">
        <v>20475000</v>
      </c>
      <c r="E469" s="16">
        <v>2</v>
      </c>
      <c r="F469" s="16">
        <v>3</v>
      </c>
      <c r="G469" s="20" t="s">
        <v>1443</v>
      </c>
      <c r="H469" s="16"/>
      <c r="I469" s="16" t="s">
        <v>2076</v>
      </c>
      <c r="J469" s="16" t="s">
        <v>2077</v>
      </c>
      <c r="K469" s="16" t="s">
        <v>2078</v>
      </c>
    </row>
    <row r="470" spans="1:11" ht="180" hidden="1" x14ac:dyDescent="0.25">
      <c r="A470" s="22">
        <v>467</v>
      </c>
      <c r="B470" s="16" t="s">
        <v>2079</v>
      </c>
      <c r="C470" s="16" t="s">
        <v>2080</v>
      </c>
      <c r="D470" s="16">
        <v>7466000</v>
      </c>
      <c r="E470" s="16">
        <v>2</v>
      </c>
      <c r="F470" s="16">
        <v>3</v>
      </c>
      <c r="G470" s="20" t="s">
        <v>1443</v>
      </c>
      <c r="H470" s="16"/>
      <c r="I470" s="16" t="s">
        <v>1599</v>
      </c>
      <c r="J470" s="16" t="s">
        <v>2081</v>
      </c>
      <c r="K470" s="16" t="s">
        <v>2082</v>
      </c>
    </row>
    <row r="471" spans="1:11" ht="409.5" hidden="1" x14ac:dyDescent="0.25">
      <c r="A471" s="22">
        <v>468</v>
      </c>
      <c r="B471" s="16" t="s">
        <v>2083</v>
      </c>
      <c r="C471" s="16" t="s">
        <v>2084</v>
      </c>
      <c r="D471" s="16">
        <v>22875000</v>
      </c>
      <c r="E471" s="16">
        <v>2</v>
      </c>
      <c r="F471" s="16">
        <v>5</v>
      </c>
      <c r="G471" s="20" t="s">
        <v>1443</v>
      </c>
      <c r="H471" s="16"/>
      <c r="I471" s="16" t="s">
        <v>2085</v>
      </c>
      <c r="J471" s="16" t="s">
        <v>2086</v>
      </c>
      <c r="K471" s="16" t="s">
        <v>2087</v>
      </c>
    </row>
    <row r="472" spans="1:11" ht="165" hidden="1" x14ac:dyDescent="0.25">
      <c r="A472" s="22">
        <v>469</v>
      </c>
      <c r="B472" s="16" t="s">
        <v>2088</v>
      </c>
      <c r="C472" s="16" t="s">
        <v>2089</v>
      </c>
      <c r="D472" s="16">
        <v>27575000</v>
      </c>
      <c r="E472" s="16">
        <v>2</v>
      </c>
      <c r="F472" s="16">
        <v>3</v>
      </c>
      <c r="G472" s="20" t="s">
        <v>1443</v>
      </c>
      <c r="H472" s="16"/>
      <c r="I472" s="16" t="s">
        <v>1599</v>
      </c>
      <c r="J472" s="16" t="s">
        <v>1600</v>
      </c>
      <c r="K472" s="16" t="s">
        <v>2090</v>
      </c>
    </row>
    <row r="473" spans="1:11" ht="360" hidden="1" x14ac:dyDescent="0.25">
      <c r="A473" s="22">
        <v>470</v>
      </c>
      <c r="B473" s="16" t="s">
        <v>2091</v>
      </c>
      <c r="C473" s="16" t="s">
        <v>2092</v>
      </c>
      <c r="D473" s="16">
        <v>13916000</v>
      </c>
      <c r="E473" s="16">
        <v>2</v>
      </c>
      <c r="F473" s="16">
        <v>5</v>
      </c>
      <c r="G473" s="20" t="s">
        <v>1443</v>
      </c>
      <c r="H473" s="16"/>
      <c r="I473" s="16" t="s">
        <v>1787</v>
      </c>
      <c r="J473" s="16" t="s">
        <v>1788</v>
      </c>
      <c r="K473" s="16" t="s">
        <v>1789</v>
      </c>
    </row>
    <row r="474" spans="1:11" ht="315" hidden="1" x14ac:dyDescent="0.25">
      <c r="A474" s="22">
        <v>471</v>
      </c>
      <c r="B474" s="16" t="s">
        <v>2093</v>
      </c>
      <c r="C474" s="16" t="s">
        <v>2094</v>
      </c>
      <c r="D474" s="16">
        <v>16275000</v>
      </c>
      <c r="E474" s="16">
        <v>2</v>
      </c>
      <c r="F474" s="16">
        <v>5</v>
      </c>
      <c r="G474" s="20" t="s">
        <v>1443</v>
      </c>
      <c r="H474" s="16"/>
      <c r="I474" s="16" t="s">
        <v>390</v>
      </c>
      <c r="J474" s="16" t="s">
        <v>2095</v>
      </c>
      <c r="K474" s="16" t="s">
        <v>392</v>
      </c>
    </row>
    <row r="475" spans="1:11" ht="240" hidden="1" x14ac:dyDescent="0.25">
      <c r="A475" s="22">
        <v>472</v>
      </c>
      <c r="B475" s="16" t="s">
        <v>2096</v>
      </c>
      <c r="C475" s="16" t="s">
        <v>2097</v>
      </c>
      <c r="D475" s="16">
        <v>19145000</v>
      </c>
      <c r="E475" s="16">
        <v>2</v>
      </c>
      <c r="F475" s="16">
        <v>5</v>
      </c>
      <c r="G475" s="20" t="s">
        <v>1443</v>
      </c>
      <c r="H475" s="16"/>
      <c r="I475" s="16" t="s">
        <v>2098</v>
      </c>
      <c r="J475" s="16" t="s">
        <v>2099</v>
      </c>
      <c r="K475" s="16" t="s">
        <v>2100</v>
      </c>
    </row>
    <row r="476" spans="1:11" ht="210" hidden="1" x14ac:dyDescent="0.25">
      <c r="A476" s="22">
        <v>473</v>
      </c>
      <c r="B476" s="16" t="s">
        <v>2101</v>
      </c>
      <c r="C476" s="16" t="s">
        <v>2102</v>
      </c>
      <c r="D476" s="16">
        <v>20000000</v>
      </c>
      <c r="E476" s="16">
        <v>2</v>
      </c>
      <c r="F476" s="16">
        <v>5</v>
      </c>
      <c r="G476" s="20" t="s">
        <v>1443</v>
      </c>
      <c r="H476" s="16"/>
      <c r="I476" s="16" t="s">
        <v>2103</v>
      </c>
      <c r="J476" s="16" t="s">
        <v>2104</v>
      </c>
      <c r="K476" s="16" t="s">
        <v>2105</v>
      </c>
    </row>
    <row r="477" spans="1:11" ht="240" hidden="1" x14ac:dyDescent="0.25">
      <c r="A477" s="22">
        <v>474</v>
      </c>
      <c r="B477" s="16" t="s">
        <v>2106</v>
      </c>
      <c r="C477" s="16" t="s">
        <v>2107</v>
      </c>
      <c r="D477" s="16">
        <v>28193000</v>
      </c>
      <c r="E477" s="16">
        <v>2</v>
      </c>
      <c r="F477" s="16">
        <v>4</v>
      </c>
      <c r="G477" s="20" t="s">
        <v>1443</v>
      </c>
      <c r="H477" s="16"/>
      <c r="I477" s="16" t="s">
        <v>2108</v>
      </c>
      <c r="J477" s="16" t="s">
        <v>2109</v>
      </c>
      <c r="K477" s="16" t="s">
        <v>2110</v>
      </c>
    </row>
    <row r="478" spans="1:11" ht="210" hidden="1" x14ac:dyDescent="0.25">
      <c r="A478" s="22">
        <v>475</v>
      </c>
      <c r="B478" s="16" t="s">
        <v>2111</v>
      </c>
      <c r="C478" s="16" t="s">
        <v>2112</v>
      </c>
      <c r="D478" s="16">
        <v>8929000</v>
      </c>
      <c r="E478" s="16">
        <v>3</v>
      </c>
      <c r="F478" s="16">
        <v>2</v>
      </c>
      <c r="G478" s="20" t="s">
        <v>1443</v>
      </c>
      <c r="H478" s="16"/>
      <c r="I478" s="16" t="s">
        <v>2113</v>
      </c>
      <c r="J478" s="16" t="s">
        <v>2114</v>
      </c>
      <c r="K478" s="16" t="s">
        <v>936</v>
      </c>
    </row>
    <row r="479" spans="1:11" ht="180" hidden="1" x14ac:dyDescent="0.25">
      <c r="A479" s="22">
        <v>476</v>
      </c>
      <c r="B479" s="16" t="s">
        <v>2115</v>
      </c>
      <c r="C479" s="16" t="s">
        <v>2116</v>
      </c>
      <c r="D479" s="16">
        <v>34386000</v>
      </c>
      <c r="E479" s="16">
        <v>2</v>
      </c>
      <c r="F479" s="16">
        <v>4</v>
      </c>
      <c r="G479" s="20" t="s">
        <v>1443</v>
      </c>
      <c r="H479" s="16"/>
      <c r="I479" s="16" t="s">
        <v>2117</v>
      </c>
      <c r="J479" s="16" t="s">
        <v>2118</v>
      </c>
      <c r="K479" s="16" t="s">
        <v>2119</v>
      </c>
    </row>
    <row r="480" spans="1:11" ht="150" hidden="1" x14ac:dyDescent="0.25">
      <c r="A480" s="22">
        <v>477</v>
      </c>
      <c r="B480" s="16" t="s">
        <v>2120</v>
      </c>
      <c r="C480" s="16" t="s">
        <v>2121</v>
      </c>
      <c r="D480" s="16">
        <v>29282000</v>
      </c>
      <c r="E480" s="16">
        <v>3</v>
      </c>
      <c r="F480" s="16">
        <v>3</v>
      </c>
      <c r="G480" s="20" t="s">
        <v>1443</v>
      </c>
      <c r="H480" s="16"/>
      <c r="I480" s="16" t="s">
        <v>2122</v>
      </c>
      <c r="J480" s="16" t="s">
        <v>2123</v>
      </c>
      <c r="K480" s="16" t="s">
        <v>2124</v>
      </c>
    </row>
    <row r="481" spans="1:11" ht="210" hidden="1" x14ac:dyDescent="0.25">
      <c r="A481" s="22">
        <v>478</v>
      </c>
      <c r="B481" s="16" t="s">
        <v>2125</v>
      </c>
      <c r="C481" s="16" t="s">
        <v>2126</v>
      </c>
      <c r="D481" s="16">
        <v>36750000</v>
      </c>
      <c r="E481" s="16">
        <v>2</v>
      </c>
      <c r="F481" s="16">
        <v>3</v>
      </c>
      <c r="G481" s="20" t="s">
        <v>1443</v>
      </c>
      <c r="H481" s="16"/>
      <c r="I481" s="16" t="s">
        <v>2127</v>
      </c>
      <c r="J481" s="16" t="s">
        <v>2128</v>
      </c>
      <c r="K481" s="16" t="s">
        <v>2129</v>
      </c>
    </row>
    <row r="482" spans="1:11" ht="180" hidden="1" x14ac:dyDescent="0.25">
      <c r="A482" s="22">
        <v>479</v>
      </c>
      <c r="B482" s="16" t="s">
        <v>2130</v>
      </c>
      <c r="C482" s="16" t="s">
        <v>2131</v>
      </c>
      <c r="D482" s="16">
        <v>36272000</v>
      </c>
      <c r="E482" s="16">
        <v>3</v>
      </c>
      <c r="F482" s="16">
        <v>3</v>
      </c>
      <c r="G482" s="20" t="s">
        <v>1443</v>
      </c>
      <c r="H482" s="16"/>
      <c r="I482" s="16" t="s">
        <v>2132</v>
      </c>
      <c r="J482" s="16" t="s">
        <v>2133</v>
      </c>
      <c r="K482" s="16" t="s">
        <v>2134</v>
      </c>
    </row>
    <row r="483" spans="1:11" ht="270" hidden="1" x14ac:dyDescent="0.25">
      <c r="A483" s="22">
        <v>480</v>
      </c>
      <c r="B483" s="16" t="s">
        <v>2135</v>
      </c>
      <c r="C483" s="16" t="s">
        <v>2136</v>
      </c>
      <c r="D483" s="16">
        <v>40314000</v>
      </c>
      <c r="E483" s="16">
        <v>2</v>
      </c>
      <c r="F483" s="16">
        <v>3</v>
      </c>
      <c r="G483" s="20" t="s">
        <v>1443</v>
      </c>
      <c r="H483" s="16"/>
      <c r="I483" s="16" t="s">
        <v>2137</v>
      </c>
      <c r="J483" s="16" t="s">
        <v>2138</v>
      </c>
      <c r="K483" s="16" t="s">
        <v>2139</v>
      </c>
    </row>
    <row r="484" spans="1:11" ht="225" hidden="1" x14ac:dyDescent="0.25">
      <c r="A484" s="22">
        <v>481</v>
      </c>
      <c r="B484" s="16" t="s">
        <v>2140</v>
      </c>
      <c r="C484" s="16" t="s">
        <v>2141</v>
      </c>
      <c r="D484" s="16">
        <v>72330000</v>
      </c>
      <c r="E484" s="16">
        <v>2</v>
      </c>
      <c r="F484" s="16">
        <v>4</v>
      </c>
      <c r="G484" s="20" t="s">
        <v>1443</v>
      </c>
      <c r="H484" s="16"/>
      <c r="I484" s="16" t="s">
        <v>2142</v>
      </c>
      <c r="J484" s="16" t="s">
        <v>2143</v>
      </c>
      <c r="K484" s="16" t="s">
        <v>2144</v>
      </c>
    </row>
    <row r="485" spans="1:11" ht="150" hidden="1" x14ac:dyDescent="0.25">
      <c r="A485" s="22">
        <v>482</v>
      </c>
      <c r="B485" s="16" t="s">
        <v>2145</v>
      </c>
      <c r="C485" s="16" t="s">
        <v>2146</v>
      </c>
      <c r="D485" s="16">
        <v>48170000</v>
      </c>
      <c r="E485" s="16">
        <v>3</v>
      </c>
      <c r="F485" s="16">
        <v>3</v>
      </c>
      <c r="G485" s="20" t="s">
        <v>1443</v>
      </c>
      <c r="H485" s="16"/>
      <c r="I485" s="16" t="s">
        <v>2147</v>
      </c>
      <c r="J485" s="16" t="s">
        <v>2148</v>
      </c>
      <c r="K485" s="16" t="s">
        <v>2149</v>
      </c>
    </row>
    <row r="486" spans="1:11" ht="225" hidden="1" x14ac:dyDescent="0.25">
      <c r="A486" s="22">
        <v>483</v>
      </c>
      <c r="B486" s="16" t="s">
        <v>2150</v>
      </c>
      <c r="C486" s="16" t="s">
        <v>2151</v>
      </c>
      <c r="D486" s="16">
        <v>32750000</v>
      </c>
      <c r="E486" s="16">
        <v>2</v>
      </c>
      <c r="F486" s="16">
        <v>3</v>
      </c>
      <c r="G486" s="20" t="s">
        <v>1443</v>
      </c>
      <c r="H486" s="16"/>
      <c r="I486" s="16" t="s">
        <v>2127</v>
      </c>
      <c r="J486" s="16" t="s">
        <v>2152</v>
      </c>
      <c r="K486" s="16" t="s">
        <v>2129</v>
      </c>
    </row>
    <row r="487" spans="1:11" ht="345" hidden="1" x14ac:dyDescent="0.25">
      <c r="A487" s="22">
        <v>484</v>
      </c>
      <c r="B487" s="16" t="s">
        <v>2153</v>
      </c>
      <c r="C487" s="16" t="s">
        <v>2154</v>
      </c>
      <c r="D487" s="16">
        <v>29206000</v>
      </c>
      <c r="E487" s="16">
        <v>2</v>
      </c>
      <c r="F487" s="16">
        <v>4</v>
      </c>
      <c r="G487" s="20" t="s">
        <v>1443</v>
      </c>
      <c r="H487" s="16"/>
      <c r="I487" s="16" t="s">
        <v>2155</v>
      </c>
      <c r="J487" s="16" t="s">
        <v>2156</v>
      </c>
      <c r="K487" s="16" t="s">
        <v>2157</v>
      </c>
    </row>
    <row r="488" spans="1:11" ht="240" hidden="1" x14ac:dyDescent="0.25">
      <c r="A488" s="22">
        <v>485</v>
      </c>
      <c r="B488" s="16" t="s">
        <v>2158</v>
      </c>
      <c r="C488" s="16" t="s">
        <v>2159</v>
      </c>
      <c r="D488" s="16">
        <v>45720000</v>
      </c>
      <c r="E488" s="16">
        <v>2</v>
      </c>
      <c r="F488" s="16">
        <v>4</v>
      </c>
      <c r="G488" s="20" t="s">
        <v>1443</v>
      </c>
      <c r="H488" s="16"/>
      <c r="I488" s="16" t="s">
        <v>2160</v>
      </c>
      <c r="J488" s="16" t="s">
        <v>2161</v>
      </c>
      <c r="K488" s="16" t="s">
        <v>2162</v>
      </c>
    </row>
    <row r="489" spans="1:11" ht="255" hidden="1" x14ac:dyDescent="0.25">
      <c r="A489" s="22">
        <v>486</v>
      </c>
      <c r="B489" s="16" t="s">
        <v>2163</v>
      </c>
      <c r="C489" s="16" t="s">
        <v>2164</v>
      </c>
      <c r="D489" s="16">
        <v>128146000</v>
      </c>
      <c r="E489" s="16">
        <v>2</v>
      </c>
      <c r="F489" s="16">
        <v>4</v>
      </c>
      <c r="G489" s="20" t="s">
        <v>1443</v>
      </c>
      <c r="H489" s="16"/>
      <c r="I489" s="16" t="s">
        <v>2165</v>
      </c>
      <c r="J489" s="16" t="s">
        <v>2166</v>
      </c>
      <c r="K489" s="16" t="s">
        <v>2167</v>
      </c>
    </row>
    <row r="490" spans="1:11" ht="255" hidden="1" x14ac:dyDescent="0.25">
      <c r="A490" s="22">
        <v>487</v>
      </c>
      <c r="B490" s="16" t="s">
        <v>2168</v>
      </c>
      <c r="C490" s="16" t="s">
        <v>2169</v>
      </c>
      <c r="D490" s="16">
        <v>66097000</v>
      </c>
      <c r="E490" s="16">
        <v>2</v>
      </c>
      <c r="F490" s="16">
        <v>4</v>
      </c>
      <c r="G490" s="20" t="s">
        <v>1443</v>
      </c>
      <c r="H490" s="16"/>
      <c r="I490" s="16" t="s">
        <v>2170</v>
      </c>
      <c r="J490" s="16" t="s">
        <v>1996</v>
      </c>
      <c r="K490" s="16" t="s">
        <v>137</v>
      </c>
    </row>
    <row r="491" spans="1:11" ht="225" hidden="1" x14ac:dyDescent="0.25">
      <c r="A491" s="22">
        <v>488</v>
      </c>
      <c r="B491" s="16" t="s">
        <v>2171</v>
      </c>
      <c r="C491" s="16" t="s">
        <v>2172</v>
      </c>
      <c r="D491" s="16">
        <v>162691300</v>
      </c>
      <c r="E491" s="16">
        <v>2</v>
      </c>
      <c r="F491" s="16">
        <v>4</v>
      </c>
      <c r="G491" s="20" t="s">
        <v>1443</v>
      </c>
      <c r="H491" s="16"/>
      <c r="I491" s="16" t="s">
        <v>1676</v>
      </c>
      <c r="J491" s="16" t="s">
        <v>2173</v>
      </c>
      <c r="K491" s="16" t="s">
        <v>2174</v>
      </c>
    </row>
    <row r="492" spans="1:11" ht="240" hidden="1" x14ac:dyDescent="0.25">
      <c r="A492" s="22">
        <v>489</v>
      </c>
      <c r="B492" s="16" t="s">
        <v>2175</v>
      </c>
      <c r="C492" s="16" t="s">
        <v>2176</v>
      </c>
      <c r="D492" s="16">
        <v>65612990</v>
      </c>
      <c r="E492" s="16">
        <v>2</v>
      </c>
      <c r="F492" s="16">
        <v>4</v>
      </c>
      <c r="G492" s="20" t="s">
        <v>1443</v>
      </c>
      <c r="H492" s="16"/>
      <c r="I492" s="16" t="s">
        <v>2177</v>
      </c>
      <c r="J492" s="16" t="s">
        <v>120</v>
      </c>
      <c r="K492" s="16" t="s">
        <v>137</v>
      </c>
    </row>
    <row r="493" spans="1:11" ht="270" hidden="1" x14ac:dyDescent="0.25">
      <c r="A493" s="22">
        <v>490</v>
      </c>
      <c r="B493" s="16" t="s">
        <v>2178</v>
      </c>
      <c r="C493" s="16" t="s">
        <v>2179</v>
      </c>
      <c r="D493" s="16">
        <v>49946000</v>
      </c>
      <c r="E493" s="16">
        <v>2</v>
      </c>
      <c r="F493" s="16">
        <v>4</v>
      </c>
      <c r="G493" s="20" t="s">
        <v>1443</v>
      </c>
      <c r="H493" s="16"/>
      <c r="I493" s="16" t="s">
        <v>2180</v>
      </c>
      <c r="J493" s="16" t="s">
        <v>2181</v>
      </c>
      <c r="K493" s="16" t="s">
        <v>2182</v>
      </c>
    </row>
    <row r="494" spans="1:11" ht="240" hidden="1" x14ac:dyDescent="0.25">
      <c r="A494" s="22">
        <v>491</v>
      </c>
      <c r="B494" s="16" t="s">
        <v>2183</v>
      </c>
      <c r="C494" s="16" t="s">
        <v>2184</v>
      </c>
      <c r="D494" s="16">
        <v>50000000</v>
      </c>
      <c r="E494" s="16">
        <v>2</v>
      </c>
      <c r="F494" s="16">
        <v>4</v>
      </c>
      <c r="G494" s="20" t="s">
        <v>1443</v>
      </c>
      <c r="H494" s="16"/>
      <c r="I494" s="16" t="s">
        <v>1681</v>
      </c>
      <c r="J494" s="16" t="s">
        <v>2185</v>
      </c>
      <c r="K494" s="16" t="s">
        <v>2186</v>
      </c>
    </row>
    <row r="495" spans="1:11" ht="210" hidden="1" x14ac:dyDescent="0.25">
      <c r="A495" s="22">
        <v>492</v>
      </c>
      <c r="B495" s="16" t="s">
        <v>2187</v>
      </c>
      <c r="C495" s="16" t="s">
        <v>2188</v>
      </c>
      <c r="D495" s="16">
        <v>13290000</v>
      </c>
      <c r="E495" s="16">
        <v>3</v>
      </c>
      <c r="F495" s="16">
        <v>3</v>
      </c>
      <c r="G495" s="20" t="s">
        <v>1443</v>
      </c>
      <c r="H495" s="16"/>
      <c r="I495" s="16" t="s">
        <v>2189</v>
      </c>
      <c r="J495" s="16" t="s">
        <v>2190</v>
      </c>
      <c r="K495" s="16" t="s">
        <v>2191</v>
      </c>
    </row>
    <row r="496" spans="1:11" ht="210" hidden="1" x14ac:dyDescent="0.25">
      <c r="A496" s="22">
        <v>493</v>
      </c>
      <c r="B496" s="16" t="s">
        <v>2192</v>
      </c>
      <c r="C496" s="16" t="s">
        <v>2193</v>
      </c>
      <c r="D496" s="16">
        <v>113686000</v>
      </c>
      <c r="E496" s="16">
        <v>2</v>
      </c>
      <c r="F496" s="16">
        <v>3</v>
      </c>
      <c r="G496" s="20" t="s">
        <v>1443</v>
      </c>
      <c r="H496" s="16"/>
      <c r="I496" s="16" t="s">
        <v>2194</v>
      </c>
      <c r="J496" s="16" t="s">
        <v>2195</v>
      </c>
      <c r="K496" s="16" t="s">
        <v>2196</v>
      </c>
    </row>
    <row r="497" spans="1:11" ht="210" hidden="1" x14ac:dyDescent="0.25">
      <c r="A497" s="22">
        <v>494</v>
      </c>
      <c r="B497" s="16" t="s">
        <v>2197</v>
      </c>
      <c r="C497" s="16" t="s">
        <v>2198</v>
      </c>
      <c r="D497" s="16">
        <v>787456000</v>
      </c>
      <c r="E497" s="16">
        <v>2</v>
      </c>
      <c r="F497" s="16">
        <v>5</v>
      </c>
      <c r="G497" s="20" t="s">
        <v>1443</v>
      </c>
      <c r="H497" s="16"/>
      <c r="I497" s="16" t="s">
        <v>2199</v>
      </c>
      <c r="J497" s="16" t="s">
        <v>2200</v>
      </c>
      <c r="K497" s="16" t="s">
        <v>2201</v>
      </c>
    </row>
    <row r="498" spans="1:11" ht="330" hidden="1" x14ac:dyDescent="0.25">
      <c r="A498" s="22">
        <v>495</v>
      </c>
      <c r="B498" s="16" t="s">
        <v>2202</v>
      </c>
      <c r="C498" s="16" t="s">
        <v>2203</v>
      </c>
      <c r="D498" s="16">
        <v>30150000</v>
      </c>
      <c r="E498" s="16">
        <v>2</v>
      </c>
      <c r="F498" s="16">
        <v>3</v>
      </c>
      <c r="G498" s="20" t="s">
        <v>1443</v>
      </c>
      <c r="H498" s="16"/>
      <c r="I498" s="16" t="s">
        <v>2204</v>
      </c>
      <c r="J498" s="16" t="s">
        <v>2205</v>
      </c>
      <c r="K498" s="16" t="s">
        <v>2206</v>
      </c>
    </row>
    <row r="499" spans="1:11" ht="345" hidden="1" x14ac:dyDescent="0.25">
      <c r="A499" s="22">
        <v>496</v>
      </c>
      <c r="B499" s="16" t="s">
        <v>2207</v>
      </c>
      <c r="C499" s="16" t="s">
        <v>2208</v>
      </c>
      <c r="D499" s="16">
        <v>1646400000</v>
      </c>
      <c r="E499" s="16">
        <v>2</v>
      </c>
      <c r="F499" s="16">
        <v>4</v>
      </c>
      <c r="G499" s="20" t="s">
        <v>1443</v>
      </c>
      <c r="H499" s="16"/>
      <c r="I499" s="16" t="s">
        <v>2209</v>
      </c>
      <c r="J499" s="16" t="s">
        <v>2210</v>
      </c>
      <c r="K499" s="16" t="s">
        <v>2211</v>
      </c>
    </row>
    <row r="500" spans="1:11" ht="225" hidden="1" x14ac:dyDescent="0.25">
      <c r="A500" s="22">
        <v>497</v>
      </c>
      <c r="B500" s="16" t="s">
        <v>2212</v>
      </c>
      <c r="C500" s="16" t="s">
        <v>2213</v>
      </c>
      <c r="D500" s="16">
        <v>268425000</v>
      </c>
      <c r="E500" s="16">
        <v>2</v>
      </c>
      <c r="F500" s="16">
        <v>4</v>
      </c>
      <c r="G500" s="20" t="s">
        <v>1443</v>
      </c>
      <c r="H500" s="16"/>
      <c r="I500" s="16" t="s">
        <v>2214</v>
      </c>
      <c r="J500" s="16" t="s">
        <v>2215</v>
      </c>
      <c r="K500" s="16" t="s">
        <v>2216</v>
      </c>
    </row>
    <row r="501" spans="1:11" ht="210" hidden="1" x14ac:dyDescent="0.25">
      <c r="A501" s="22">
        <v>498</v>
      </c>
      <c r="B501" s="16" t="s">
        <v>2217</v>
      </c>
      <c r="C501" s="16" t="s">
        <v>2218</v>
      </c>
      <c r="D501" s="16">
        <v>9557500</v>
      </c>
      <c r="E501" s="16">
        <v>3</v>
      </c>
      <c r="F501" s="16">
        <v>3</v>
      </c>
      <c r="G501" s="20" t="s">
        <v>1443</v>
      </c>
      <c r="H501" s="16"/>
      <c r="I501" s="16" t="s">
        <v>2219</v>
      </c>
      <c r="J501" s="16" t="s">
        <v>2220</v>
      </c>
      <c r="K501" s="16" t="s">
        <v>2221</v>
      </c>
    </row>
    <row r="502" spans="1:11" ht="165" hidden="1" x14ac:dyDescent="0.25">
      <c r="A502" s="22">
        <v>499</v>
      </c>
      <c r="B502" s="16" t="s">
        <v>2222</v>
      </c>
      <c r="C502" s="16" t="s">
        <v>2223</v>
      </c>
      <c r="D502" s="16">
        <v>225066000</v>
      </c>
      <c r="E502" s="16">
        <v>2</v>
      </c>
      <c r="F502" s="16">
        <v>3</v>
      </c>
      <c r="G502" s="20" t="s">
        <v>1443</v>
      </c>
      <c r="H502" s="16"/>
      <c r="I502" s="16" t="s">
        <v>2224</v>
      </c>
      <c r="J502" s="16" t="s">
        <v>2225</v>
      </c>
      <c r="K502" s="16" t="s">
        <v>2226</v>
      </c>
    </row>
    <row r="503" spans="1:11" ht="210" hidden="1" x14ac:dyDescent="0.25">
      <c r="A503" s="22">
        <v>500</v>
      </c>
      <c r="B503" s="16" t="s">
        <v>2227</v>
      </c>
      <c r="C503" s="16" t="s">
        <v>2228</v>
      </c>
      <c r="D503" s="16">
        <v>88600000</v>
      </c>
      <c r="E503" s="16">
        <v>3</v>
      </c>
      <c r="F503" s="16">
        <v>3</v>
      </c>
      <c r="G503" s="20" t="s">
        <v>1443</v>
      </c>
      <c r="H503" s="16"/>
      <c r="I503" s="16" t="s">
        <v>2229</v>
      </c>
      <c r="J503" s="16" t="s">
        <v>2230</v>
      </c>
      <c r="K503" s="16" t="s">
        <v>2231</v>
      </c>
    </row>
    <row r="504" spans="1:11" ht="150" hidden="1" x14ac:dyDescent="0.25">
      <c r="A504" s="22">
        <v>501</v>
      </c>
      <c r="B504" s="16" t="s">
        <v>2232</v>
      </c>
      <c r="C504" s="16" t="s">
        <v>2233</v>
      </c>
      <c r="D504" s="16">
        <v>9071000</v>
      </c>
      <c r="E504" s="16">
        <v>2</v>
      </c>
      <c r="F504" s="16">
        <v>3</v>
      </c>
      <c r="G504" s="20" t="s">
        <v>1443</v>
      </c>
      <c r="H504" s="16"/>
      <c r="I504" s="16" t="s">
        <v>2234</v>
      </c>
      <c r="J504" s="16" t="s">
        <v>2235</v>
      </c>
      <c r="K504" s="16" t="s">
        <v>2236</v>
      </c>
    </row>
    <row r="505" spans="1:11" ht="225" hidden="1" x14ac:dyDescent="0.25">
      <c r="A505" s="22">
        <v>502</v>
      </c>
      <c r="B505" s="16" t="s">
        <v>2237</v>
      </c>
      <c r="C505" s="16" t="s">
        <v>2238</v>
      </c>
      <c r="D505" s="16">
        <v>131959548</v>
      </c>
      <c r="E505" s="16">
        <v>2</v>
      </c>
      <c r="F505" s="16">
        <v>4</v>
      </c>
      <c r="G505" s="20" t="s">
        <v>1443</v>
      </c>
      <c r="H505" s="16"/>
      <c r="I505" s="16" t="s">
        <v>2239</v>
      </c>
      <c r="J505" s="16" t="s">
        <v>2240</v>
      </c>
      <c r="K505" s="16" t="s">
        <v>2241</v>
      </c>
    </row>
    <row r="506" spans="1:11" ht="195" hidden="1" x14ac:dyDescent="0.25">
      <c r="A506" s="22">
        <v>503</v>
      </c>
      <c r="B506" s="16" t="s">
        <v>2242</v>
      </c>
      <c r="C506" s="16" t="s">
        <v>2243</v>
      </c>
      <c r="D506" s="16">
        <v>190264396</v>
      </c>
      <c r="E506" s="16">
        <v>2</v>
      </c>
      <c r="F506" s="16">
        <v>4</v>
      </c>
      <c r="G506" s="20" t="s">
        <v>1443</v>
      </c>
      <c r="H506" s="16"/>
      <c r="I506" s="16" t="s">
        <v>2239</v>
      </c>
      <c r="J506" s="16" t="s">
        <v>2244</v>
      </c>
      <c r="K506" s="16" t="s">
        <v>2241</v>
      </c>
    </row>
    <row r="507" spans="1:11" ht="210" hidden="1" x14ac:dyDescent="0.25">
      <c r="A507" s="22">
        <v>504</v>
      </c>
      <c r="B507" s="16" t="s">
        <v>2245</v>
      </c>
      <c r="C507" s="16" t="s">
        <v>2246</v>
      </c>
      <c r="D507" s="16">
        <v>150368400</v>
      </c>
      <c r="E507" s="16">
        <v>2</v>
      </c>
      <c r="F507" s="16">
        <v>4</v>
      </c>
      <c r="G507" s="20" t="s">
        <v>1443</v>
      </c>
      <c r="H507" s="16"/>
      <c r="I507" s="16" t="s">
        <v>2247</v>
      </c>
      <c r="J507" s="16" t="s">
        <v>2248</v>
      </c>
      <c r="K507" s="16" t="s">
        <v>2249</v>
      </c>
    </row>
    <row r="508" spans="1:11" ht="225" hidden="1" x14ac:dyDescent="0.25">
      <c r="A508" s="22">
        <v>505</v>
      </c>
      <c r="B508" s="16" t="s">
        <v>2250</v>
      </c>
      <c r="C508" s="16" t="s">
        <v>2251</v>
      </c>
      <c r="D508" s="16">
        <v>1946143150</v>
      </c>
      <c r="E508" s="16">
        <v>2</v>
      </c>
      <c r="F508" s="16">
        <v>4</v>
      </c>
      <c r="G508" s="20" t="s">
        <v>1443</v>
      </c>
      <c r="H508" s="16"/>
      <c r="I508" s="16" t="s">
        <v>2252</v>
      </c>
      <c r="J508" s="16" t="s">
        <v>2253</v>
      </c>
      <c r="K508" s="16" t="s">
        <v>2254</v>
      </c>
    </row>
    <row r="509" spans="1:11" ht="195" hidden="1" x14ac:dyDescent="0.25">
      <c r="A509" s="22">
        <v>506</v>
      </c>
      <c r="B509" s="16" t="s">
        <v>2255</v>
      </c>
      <c r="C509" s="16" t="s">
        <v>2256</v>
      </c>
      <c r="D509" s="16">
        <v>1292986606</v>
      </c>
      <c r="E509" s="16">
        <v>2</v>
      </c>
      <c r="F509" s="16">
        <v>4</v>
      </c>
      <c r="G509" s="20" t="s">
        <v>1443</v>
      </c>
      <c r="H509" s="16"/>
      <c r="I509" s="16" t="s">
        <v>2257</v>
      </c>
      <c r="J509" s="16" t="s">
        <v>2258</v>
      </c>
      <c r="K509" s="16" t="s">
        <v>2254</v>
      </c>
    </row>
    <row r="510" spans="1:11" ht="195" hidden="1" x14ac:dyDescent="0.25">
      <c r="A510" s="22">
        <v>507</v>
      </c>
      <c r="B510" s="16" t="s">
        <v>2259</v>
      </c>
      <c r="C510" s="16" t="s">
        <v>2260</v>
      </c>
      <c r="D510" s="16">
        <v>3698315264</v>
      </c>
      <c r="E510" s="16">
        <v>2</v>
      </c>
      <c r="F510" s="16">
        <v>4</v>
      </c>
      <c r="G510" s="20" t="s">
        <v>1443</v>
      </c>
      <c r="H510" s="16"/>
      <c r="I510" s="16" t="s">
        <v>2261</v>
      </c>
      <c r="J510" s="16" t="s">
        <v>2262</v>
      </c>
      <c r="K510" s="16" t="s">
        <v>2254</v>
      </c>
    </row>
    <row r="511" spans="1:11" ht="409.5" hidden="1" x14ac:dyDescent="0.25">
      <c r="A511" s="22">
        <v>508</v>
      </c>
      <c r="B511" s="16" t="s">
        <v>2263</v>
      </c>
      <c r="C511" s="16" t="s">
        <v>2264</v>
      </c>
      <c r="D511" s="16">
        <v>10000000</v>
      </c>
      <c r="E511" s="16">
        <v>2</v>
      </c>
      <c r="F511" s="16">
        <v>4</v>
      </c>
      <c r="G511" s="20" t="s">
        <v>1443</v>
      </c>
      <c r="H511" s="16"/>
      <c r="I511" s="16" t="s">
        <v>2265</v>
      </c>
      <c r="J511" s="16" t="s">
        <v>2266</v>
      </c>
      <c r="K511" s="16" t="s">
        <v>2267</v>
      </c>
    </row>
    <row r="512" spans="1:11" ht="409.5" hidden="1" x14ac:dyDescent="0.25">
      <c r="A512" s="22">
        <v>509</v>
      </c>
      <c r="B512" s="16" t="s">
        <v>2268</v>
      </c>
      <c r="C512" s="16" t="s">
        <v>2269</v>
      </c>
      <c r="D512" s="16">
        <v>381600000</v>
      </c>
      <c r="E512" s="16">
        <v>3</v>
      </c>
      <c r="F512" s="16">
        <v>3</v>
      </c>
      <c r="G512" s="20" t="s">
        <v>1443</v>
      </c>
      <c r="H512" s="16"/>
      <c r="I512" s="16" t="s">
        <v>2270</v>
      </c>
      <c r="J512" s="16" t="s">
        <v>2271</v>
      </c>
      <c r="K512" s="16" t="s">
        <v>2272</v>
      </c>
    </row>
    <row r="513" spans="1:11" ht="409.5" hidden="1" x14ac:dyDescent="0.25">
      <c r="A513" s="22">
        <v>510</v>
      </c>
      <c r="B513" s="16" t="s">
        <v>2273</v>
      </c>
      <c r="C513" s="16" t="s">
        <v>2274</v>
      </c>
      <c r="D513" s="16">
        <v>264000000</v>
      </c>
      <c r="E513" s="16">
        <v>3</v>
      </c>
      <c r="F513" s="16">
        <v>3</v>
      </c>
      <c r="G513" s="20" t="s">
        <v>1443</v>
      </c>
      <c r="H513" s="16"/>
      <c r="I513" s="16" t="s">
        <v>2275</v>
      </c>
      <c r="J513" s="16" t="s">
        <v>2276</v>
      </c>
      <c r="K513" s="16" t="s">
        <v>2277</v>
      </c>
    </row>
    <row r="514" spans="1:11" ht="409.5" hidden="1" x14ac:dyDescent="0.25">
      <c r="A514" s="22">
        <v>511</v>
      </c>
      <c r="B514" s="16" t="s">
        <v>2278</v>
      </c>
      <c r="C514" s="16" t="s">
        <v>2279</v>
      </c>
      <c r="D514" s="16">
        <v>1761377200</v>
      </c>
      <c r="E514" s="16">
        <v>2</v>
      </c>
      <c r="F514" s="16">
        <v>5</v>
      </c>
      <c r="G514" s="20" t="s">
        <v>1443</v>
      </c>
      <c r="H514" s="16"/>
      <c r="I514" s="16" t="s">
        <v>2280</v>
      </c>
      <c r="J514" s="16" t="s">
        <v>2281</v>
      </c>
      <c r="K514" s="16" t="s">
        <v>2282</v>
      </c>
    </row>
    <row r="515" spans="1:11" ht="409.5" hidden="1" x14ac:dyDescent="0.25">
      <c r="A515" s="22">
        <v>512</v>
      </c>
      <c r="B515" s="16" t="s">
        <v>2283</v>
      </c>
      <c r="C515" s="16" t="s">
        <v>2284</v>
      </c>
      <c r="D515" s="16">
        <v>20333000</v>
      </c>
      <c r="E515" s="16">
        <v>3</v>
      </c>
      <c r="F515" s="16">
        <v>3</v>
      </c>
      <c r="G515" s="20" t="s">
        <v>1443</v>
      </c>
      <c r="H515" s="16"/>
      <c r="I515" s="16" t="s">
        <v>2285</v>
      </c>
      <c r="J515" s="16" t="s">
        <v>2286</v>
      </c>
      <c r="K515" s="16" t="s">
        <v>2287</v>
      </c>
    </row>
    <row r="516" spans="1:11" ht="409.5" hidden="1" x14ac:dyDescent="0.25">
      <c r="A516" s="22">
        <v>513</v>
      </c>
      <c r="B516" s="16" t="s">
        <v>2288</v>
      </c>
      <c r="C516" s="16" t="s">
        <v>2289</v>
      </c>
      <c r="D516" s="16">
        <v>20000000</v>
      </c>
      <c r="E516" s="16">
        <v>2</v>
      </c>
      <c r="F516" s="16">
        <v>3</v>
      </c>
      <c r="G516" s="20" t="s">
        <v>1443</v>
      </c>
      <c r="H516" s="16"/>
      <c r="I516" s="16" t="s">
        <v>2290</v>
      </c>
      <c r="J516" s="16" t="s">
        <v>2291</v>
      </c>
      <c r="K516" s="16" t="s">
        <v>2292</v>
      </c>
    </row>
    <row r="517" spans="1:11" ht="409.5" hidden="1" x14ac:dyDescent="0.25">
      <c r="A517" s="22">
        <v>514</v>
      </c>
      <c r="B517" s="16" t="s">
        <v>2293</v>
      </c>
      <c r="C517" s="16" t="s">
        <v>2294</v>
      </c>
      <c r="D517" s="16">
        <v>5000000</v>
      </c>
      <c r="E517" s="16">
        <v>2</v>
      </c>
      <c r="F517" s="16">
        <v>3</v>
      </c>
      <c r="G517" s="20" t="s">
        <v>1443</v>
      </c>
      <c r="H517" s="16"/>
      <c r="I517" s="16" t="s">
        <v>2295</v>
      </c>
      <c r="J517" s="16" t="s">
        <v>2296</v>
      </c>
      <c r="K517" s="16" t="s">
        <v>2297</v>
      </c>
    </row>
    <row r="518" spans="1:11" ht="409.5" hidden="1" x14ac:dyDescent="0.25">
      <c r="A518" s="22">
        <v>515</v>
      </c>
      <c r="B518" s="16" t="s">
        <v>2298</v>
      </c>
      <c r="C518" s="16" t="s">
        <v>2299</v>
      </c>
      <c r="D518" s="16">
        <v>78780000</v>
      </c>
      <c r="E518" s="16">
        <v>3</v>
      </c>
      <c r="F518" s="16">
        <v>3</v>
      </c>
      <c r="G518" s="20" t="s">
        <v>1443</v>
      </c>
      <c r="H518" s="16"/>
      <c r="I518" s="16" t="s">
        <v>2300</v>
      </c>
      <c r="J518" s="16" t="s">
        <v>2301</v>
      </c>
      <c r="K518" s="16" t="s">
        <v>2302</v>
      </c>
    </row>
    <row r="519" spans="1:11" ht="409.5" hidden="1" x14ac:dyDescent="0.25">
      <c r="A519" s="22">
        <v>516</v>
      </c>
      <c r="B519" s="16" t="s">
        <v>2303</v>
      </c>
      <c r="C519" s="16" t="s">
        <v>2304</v>
      </c>
      <c r="D519" s="16">
        <v>75550000</v>
      </c>
      <c r="E519" s="16">
        <v>2</v>
      </c>
      <c r="F519" s="16">
        <v>3</v>
      </c>
      <c r="G519" s="20" t="s">
        <v>1443</v>
      </c>
      <c r="H519" s="16"/>
      <c r="I519" s="16" t="s">
        <v>2305</v>
      </c>
      <c r="J519" s="16" t="s">
        <v>2306</v>
      </c>
      <c r="K519" s="16" t="s">
        <v>2304</v>
      </c>
    </row>
    <row r="520" spans="1:11" ht="345" hidden="1" x14ac:dyDescent="0.25">
      <c r="A520" s="22">
        <v>517</v>
      </c>
      <c r="B520" s="16" t="s">
        <v>2307</v>
      </c>
      <c r="C520" s="16" t="s">
        <v>2308</v>
      </c>
      <c r="D520" s="16">
        <v>42594000</v>
      </c>
      <c r="E520" s="16">
        <v>2</v>
      </c>
      <c r="F520" s="16">
        <v>4</v>
      </c>
      <c r="G520" s="20" t="s">
        <v>1443</v>
      </c>
      <c r="H520" s="16"/>
      <c r="I520" s="16" t="s">
        <v>2309</v>
      </c>
      <c r="J520" s="16" t="s">
        <v>2310</v>
      </c>
      <c r="K520" s="16" t="s">
        <v>2311</v>
      </c>
    </row>
    <row r="521" spans="1:11" ht="360" hidden="1" x14ac:dyDescent="0.25">
      <c r="A521" s="22">
        <v>518</v>
      </c>
      <c r="B521" s="16" t="s">
        <v>2312</v>
      </c>
      <c r="C521" s="16" t="s">
        <v>2313</v>
      </c>
      <c r="D521" s="16">
        <v>24501000</v>
      </c>
      <c r="E521" s="16">
        <v>2</v>
      </c>
      <c r="F521" s="16">
        <v>4</v>
      </c>
      <c r="G521" s="20" t="s">
        <v>1443</v>
      </c>
      <c r="H521" s="16"/>
      <c r="I521" s="16" t="s">
        <v>2314</v>
      </c>
      <c r="J521" s="16" t="s">
        <v>2315</v>
      </c>
      <c r="K521" s="16" t="s">
        <v>2311</v>
      </c>
    </row>
    <row r="522" spans="1:11" ht="360" hidden="1" x14ac:dyDescent="0.25">
      <c r="A522" s="22">
        <v>519</v>
      </c>
      <c r="B522" s="16" t="s">
        <v>2316</v>
      </c>
      <c r="C522" s="16" t="s">
        <v>2317</v>
      </c>
      <c r="D522" s="16">
        <v>8212500</v>
      </c>
      <c r="E522" s="16">
        <v>2</v>
      </c>
      <c r="F522" s="16">
        <v>4</v>
      </c>
      <c r="G522" s="20" t="s">
        <v>1443</v>
      </c>
      <c r="H522" s="16"/>
      <c r="I522" s="16" t="s">
        <v>2318</v>
      </c>
      <c r="J522" s="16" t="s">
        <v>2319</v>
      </c>
      <c r="K522" s="16" t="s">
        <v>2320</v>
      </c>
    </row>
    <row r="523" spans="1:11" ht="315" hidden="1" x14ac:dyDescent="0.25">
      <c r="A523" s="22">
        <v>520</v>
      </c>
      <c r="B523" s="16" t="s">
        <v>2321</v>
      </c>
      <c r="C523" s="16" t="s">
        <v>2322</v>
      </c>
      <c r="D523" s="16">
        <v>40000000</v>
      </c>
      <c r="E523" s="16">
        <v>2</v>
      </c>
      <c r="F523" s="16">
        <v>4</v>
      </c>
      <c r="G523" s="20" t="s">
        <v>1443</v>
      </c>
      <c r="H523" s="16"/>
      <c r="I523" s="16" t="s">
        <v>2323</v>
      </c>
      <c r="J523" s="16" t="s">
        <v>2324</v>
      </c>
      <c r="K523" s="16" t="s">
        <v>2325</v>
      </c>
    </row>
    <row r="524" spans="1:11" ht="409.5" hidden="1" x14ac:dyDescent="0.25">
      <c r="A524" s="22">
        <v>521</v>
      </c>
      <c r="B524" s="16" t="s">
        <v>2326</v>
      </c>
      <c r="C524" s="16" t="s">
        <v>2327</v>
      </c>
      <c r="D524" s="16">
        <v>15000000</v>
      </c>
      <c r="E524" s="16">
        <v>2</v>
      </c>
      <c r="F524" s="16">
        <v>4</v>
      </c>
      <c r="G524" s="20" t="s">
        <v>1443</v>
      </c>
      <c r="H524" s="16"/>
      <c r="I524" s="16" t="s">
        <v>2328</v>
      </c>
      <c r="J524" s="16" t="s">
        <v>2329</v>
      </c>
      <c r="K524" s="16" t="s">
        <v>2330</v>
      </c>
    </row>
    <row r="525" spans="1:11" ht="409.5" hidden="1" x14ac:dyDescent="0.25">
      <c r="A525" s="22">
        <v>522</v>
      </c>
      <c r="B525" s="16" t="s">
        <v>2331</v>
      </c>
      <c r="C525" s="16" t="s">
        <v>2332</v>
      </c>
      <c r="D525" s="16">
        <v>5000000</v>
      </c>
      <c r="E525" s="16">
        <v>2</v>
      </c>
      <c r="F525" s="16">
        <v>4</v>
      </c>
      <c r="G525" s="20" t="s">
        <v>1443</v>
      </c>
      <c r="H525" s="16"/>
      <c r="I525" s="16" t="s">
        <v>2333</v>
      </c>
      <c r="J525" s="16" t="s">
        <v>2334</v>
      </c>
      <c r="K525" s="16" t="s">
        <v>2335</v>
      </c>
    </row>
    <row r="526" spans="1:11" ht="409.5" hidden="1" x14ac:dyDescent="0.25">
      <c r="A526" s="22">
        <v>523</v>
      </c>
      <c r="B526" s="16" t="s">
        <v>2336</v>
      </c>
      <c r="C526" s="16" t="s">
        <v>2337</v>
      </c>
      <c r="D526" s="16">
        <v>15740000</v>
      </c>
      <c r="E526" s="16">
        <v>2</v>
      </c>
      <c r="F526" s="16">
        <v>4</v>
      </c>
      <c r="G526" s="20" t="s">
        <v>1443</v>
      </c>
      <c r="H526" s="16"/>
      <c r="I526" s="16" t="s">
        <v>2338</v>
      </c>
      <c r="J526" s="16" t="s">
        <v>2339</v>
      </c>
      <c r="K526" s="16" t="s">
        <v>2340</v>
      </c>
    </row>
    <row r="527" spans="1:11" ht="225" hidden="1" x14ac:dyDescent="0.25">
      <c r="A527" s="22">
        <v>524</v>
      </c>
      <c r="B527" s="16" t="s">
        <v>2341</v>
      </c>
      <c r="C527" s="16" t="s">
        <v>2342</v>
      </c>
      <c r="D527" s="16">
        <v>6850000</v>
      </c>
      <c r="E527" s="16">
        <v>2</v>
      </c>
      <c r="F527" s="16">
        <v>4</v>
      </c>
      <c r="G527" s="20" t="s">
        <v>1443</v>
      </c>
      <c r="H527" s="16"/>
      <c r="I527" s="16" t="s">
        <v>2343</v>
      </c>
      <c r="J527" s="16" t="s">
        <v>2344</v>
      </c>
      <c r="K527" s="16" t="s">
        <v>2345</v>
      </c>
    </row>
    <row r="528" spans="1:11" ht="315" hidden="1" x14ac:dyDescent="0.25">
      <c r="A528" s="22">
        <v>525</v>
      </c>
      <c r="B528" s="16" t="s">
        <v>2346</v>
      </c>
      <c r="C528" s="16" t="s">
        <v>2347</v>
      </c>
      <c r="D528" s="16">
        <v>24150000</v>
      </c>
      <c r="E528" s="16">
        <v>2</v>
      </c>
      <c r="F528" s="16">
        <v>4</v>
      </c>
      <c r="G528" s="20" t="s">
        <v>1443</v>
      </c>
      <c r="H528" s="16"/>
      <c r="I528" s="16" t="s">
        <v>2348</v>
      </c>
      <c r="J528" s="16" t="s">
        <v>2349</v>
      </c>
      <c r="K528" s="16" t="s">
        <v>2350</v>
      </c>
    </row>
    <row r="529" spans="1:11" ht="315" hidden="1" x14ac:dyDescent="0.25">
      <c r="A529" s="22">
        <v>526</v>
      </c>
      <c r="B529" s="16" t="s">
        <v>2351</v>
      </c>
      <c r="C529" s="16" t="s">
        <v>2352</v>
      </c>
      <c r="D529" s="16">
        <v>49450000</v>
      </c>
      <c r="E529" s="16">
        <v>2</v>
      </c>
      <c r="F529" s="16">
        <v>3</v>
      </c>
      <c r="G529" s="20" t="s">
        <v>1443</v>
      </c>
      <c r="H529" s="16"/>
      <c r="I529" s="16" t="s">
        <v>2353</v>
      </c>
      <c r="J529" s="16" t="s">
        <v>2354</v>
      </c>
      <c r="K529" s="16" t="s">
        <v>2355</v>
      </c>
    </row>
    <row r="530" spans="1:11" ht="315" hidden="1" x14ac:dyDescent="0.25">
      <c r="A530" s="22">
        <v>527</v>
      </c>
      <c r="B530" s="16" t="s">
        <v>2356</v>
      </c>
      <c r="C530" s="16" t="s">
        <v>2357</v>
      </c>
      <c r="D530" s="16">
        <v>30000000</v>
      </c>
      <c r="E530" s="16">
        <v>2</v>
      </c>
      <c r="F530" s="16">
        <v>4</v>
      </c>
      <c r="G530" s="20" t="s">
        <v>1443</v>
      </c>
      <c r="H530" s="16"/>
      <c r="I530" s="16" t="s">
        <v>2358</v>
      </c>
      <c r="J530" s="16" t="s">
        <v>2359</v>
      </c>
      <c r="K530" s="16" t="s">
        <v>2360</v>
      </c>
    </row>
    <row r="531" spans="1:11" ht="315" hidden="1" x14ac:dyDescent="0.25">
      <c r="A531" s="22">
        <v>528</v>
      </c>
      <c r="B531" s="16" t="s">
        <v>2361</v>
      </c>
      <c r="C531" s="16" t="s">
        <v>2362</v>
      </c>
      <c r="D531" s="16">
        <v>6000000</v>
      </c>
      <c r="E531" s="16">
        <v>2</v>
      </c>
      <c r="F531" s="16">
        <v>4</v>
      </c>
      <c r="G531" s="20" t="s">
        <v>1443</v>
      </c>
      <c r="H531" s="16"/>
      <c r="I531" s="16" t="s">
        <v>2363</v>
      </c>
      <c r="J531" s="16" t="s">
        <v>2364</v>
      </c>
      <c r="K531" s="16" t="s">
        <v>2365</v>
      </c>
    </row>
    <row r="532" spans="1:11" ht="360" hidden="1" x14ac:dyDescent="0.25">
      <c r="A532" s="22">
        <v>529</v>
      </c>
      <c r="B532" s="16" t="s">
        <v>2366</v>
      </c>
      <c r="C532" s="16" t="s">
        <v>2367</v>
      </c>
      <c r="D532" s="16">
        <v>18000000</v>
      </c>
      <c r="E532" s="16">
        <v>2</v>
      </c>
      <c r="F532" s="16">
        <v>5</v>
      </c>
      <c r="G532" s="20" t="s">
        <v>1443</v>
      </c>
      <c r="H532" s="16"/>
      <c r="I532" s="16" t="s">
        <v>2368</v>
      </c>
      <c r="J532" s="16" t="s">
        <v>2369</v>
      </c>
      <c r="K532" s="16" t="s">
        <v>2370</v>
      </c>
    </row>
    <row r="533" spans="1:11" ht="315" hidden="1" x14ac:dyDescent="0.25">
      <c r="A533" s="22">
        <v>530</v>
      </c>
      <c r="B533" s="16" t="s">
        <v>2371</v>
      </c>
      <c r="C533" s="16" t="s">
        <v>2372</v>
      </c>
      <c r="D533" s="16">
        <v>27280000</v>
      </c>
      <c r="E533" s="16">
        <v>2</v>
      </c>
      <c r="F533" s="16">
        <v>4</v>
      </c>
      <c r="G533" s="20" t="s">
        <v>1443</v>
      </c>
      <c r="H533" s="16"/>
      <c r="I533" s="16" t="s">
        <v>2373</v>
      </c>
      <c r="J533" s="16" t="s">
        <v>2374</v>
      </c>
      <c r="K533" s="16" t="s">
        <v>2375</v>
      </c>
    </row>
    <row r="534" spans="1:11" ht="409.5" hidden="1" x14ac:dyDescent="0.25">
      <c r="A534" s="22">
        <v>531</v>
      </c>
      <c r="B534" s="16" t="s">
        <v>2376</v>
      </c>
      <c r="C534" s="16" t="s">
        <v>2377</v>
      </c>
      <c r="D534" s="16">
        <v>30000000</v>
      </c>
      <c r="E534" s="16">
        <v>2</v>
      </c>
      <c r="F534" s="16">
        <v>4</v>
      </c>
      <c r="G534" s="20" t="s">
        <v>1443</v>
      </c>
      <c r="H534" s="16"/>
      <c r="I534" s="16" t="s">
        <v>2328</v>
      </c>
      <c r="J534" s="16" t="s">
        <v>2329</v>
      </c>
      <c r="K534" s="16" t="s">
        <v>2330</v>
      </c>
    </row>
    <row r="535" spans="1:11" ht="270" hidden="1" x14ac:dyDescent="0.25">
      <c r="A535" s="22">
        <v>532</v>
      </c>
      <c r="B535" s="16" t="s">
        <v>2378</v>
      </c>
      <c r="C535" s="16" t="s">
        <v>2379</v>
      </c>
      <c r="D535" s="16">
        <v>0</v>
      </c>
      <c r="E535" s="16">
        <v>3</v>
      </c>
      <c r="F535" s="16">
        <v>3</v>
      </c>
      <c r="G535" s="20" t="s">
        <v>1443</v>
      </c>
      <c r="H535" s="16"/>
      <c r="I535" s="16" t="s">
        <v>2380</v>
      </c>
      <c r="J535" s="16" t="s">
        <v>2381</v>
      </c>
      <c r="K535" s="16" t="s">
        <v>2382</v>
      </c>
    </row>
    <row r="536" spans="1:11" ht="165" hidden="1" x14ac:dyDescent="0.25">
      <c r="A536" s="22">
        <v>533</v>
      </c>
      <c r="B536" s="16" t="s">
        <v>2383</v>
      </c>
      <c r="C536" s="16" t="s">
        <v>2384</v>
      </c>
      <c r="D536" s="16">
        <v>4000000</v>
      </c>
      <c r="E536" s="16">
        <v>3</v>
      </c>
      <c r="F536" s="16">
        <v>2</v>
      </c>
      <c r="G536" s="20" t="s">
        <v>1443</v>
      </c>
      <c r="H536" s="16"/>
      <c r="I536" s="16" t="s">
        <v>2385</v>
      </c>
      <c r="J536" s="16" t="s">
        <v>2386</v>
      </c>
      <c r="K536" s="16" t="s">
        <v>2387</v>
      </c>
    </row>
    <row r="537" spans="1:11" ht="210" hidden="1" x14ac:dyDescent="0.25">
      <c r="A537" s="22">
        <v>534</v>
      </c>
      <c r="B537" s="16" t="s">
        <v>2388</v>
      </c>
      <c r="C537" s="16" t="s">
        <v>2389</v>
      </c>
      <c r="D537" s="16">
        <v>22100000</v>
      </c>
      <c r="E537" s="16">
        <v>2</v>
      </c>
      <c r="F537" s="16">
        <v>4</v>
      </c>
      <c r="G537" s="20" t="s">
        <v>1443</v>
      </c>
      <c r="H537" s="16"/>
      <c r="I537" s="16" t="s">
        <v>2390</v>
      </c>
      <c r="J537" s="16" t="s">
        <v>2391</v>
      </c>
      <c r="K537" s="16" t="s">
        <v>2392</v>
      </c>
    </row>
    <row r="538" spans="1:11" ht="255" hidden="1" x14ac:dyDescent="0.25">
      <c r="A538" s="22">
        <v>535</v>
      </c>
      <c r="B538" s="16" t="s">
        <v>2393</v>
      </c>
      <c r="C538" s="16" t="s">
        <v>2394</v>
      </c>
      <c r="D538" s="16">
        <v>8375000</v>
      </c>
      <c r="E538" s="16">
        <v>3</v>
      </c>
      <c r="F538" s="16">
        <v>3</v>
      </c>
      <c r="G538" s="20" t="s">
        <v>1443</v>
      </c>
      <c r="H538" s="16"/>
      <c r="I538" s="16" t="s">
        <v>2395</v>
      </c>
      <c r="J538" s="16" t="s">
        <v>2396</v>
      </c>
      <c r="K538" s="16" t="s">
        <v>2397</v>
      </c>
    </row>
    <row r="539" spans="1:11" ht="390" hidden="1" x14ac:dyDescent="0.25">
      <c r="A539" s="22">
        <v>536</v>
      </c>
      <c r="B539" s="16" t="s">
        <v>2398</v>
      </c>
      <c r="C539" s="16" t="s">
        <v>2399</v>
      </c>
      <c r="D539" s="16">
        <v>19395000</v>
      </c>
      <c r="E539" s="16">
        <v>3</v>
      </c>
      <c r="F539" s="16">
        <v>3</v>
      </c>
      <c r="G539" s="20" t="s">
        <v>1443</v>
      </c>
      <c r="H539" s="16"/>
      <c r="I539" s="16" t="s">
        <v>642</v>
      </c>
      <c r="J539" s="16" t="s">
        <v>2400</v>
      </c>
      <c r="K539" s="16" t="s">
        <v>2401</v>
      </c>
    </row>
    <row r="540" spans="1:11" ht="180" hidden="1" x14ac:dyDescent="0.25">
      <c r="A540" s="22">
        <v>537</v>
      </c>
      <c r="B540" s="16" t="s">
        <v>2402</v>
      </c>
      <c r="C540" s="16" t="s">
        <v>2403</v>
      </c>
      <c r="D540" s="16">
        <v>47566500</v>
      </c>
      <c r="E540" s="16">
        <v>2</v>
      </c>
      <c r="F540" s="16">
        <v>3</v>
      </c>
      <c r="G540" s="20" t="s">
        <v>1443</v>
      </c>
      <c r="H540" s="16"/>
      <c r="I540" s="16" t="s">
        <v>2404</v>
      </c>
      <c r="J540" s="16" t="s">
        <v>2405</v>
      </c>
      <c r="K540" s="16" t="s">
        <v>2406</v>
      </c>
    </row>
    <row r="541" spans="1:11" ht="330" hidden="1" x14ac:dyDescent="0.25">
      <c r="A541" s="22">
        <v>538</v>
      </c>
      <c r="B541" s="16" t="s">
        <v>2407</v>
      </c>
      <c r="C541" s="16" t="s">
        <v>2408</v>
      </c>
      <c r="D541" s="16">
        <v>7755000</v>
      </c>
      <c r="E541" s="16">
        <v>3</v>
      </c>
      <c r="F541" s="16">
        <v>3</v>
      </c>
      <c r="G541" s="20" t="s">
        <v>1443</v>
      </c>
      <c r="H541" s="16"/>
      <c r="I541" s="16" t="s">
        <v>2409</v>
      </c>
      <c r="J541" s="16" t="s">
        <v>2410</v>
      </c>
      <c r="K541" s="16" t="s">
        <v>2411</v>
      </c>
    </row>
    <row r="542" spans="1:11" ht="195" hidden="1" x14ac:dyDescent="0.25">
      <c r="A542" s="22">
        <v>539</v>
      </c>
      <c r="B542" s="16" t="s">
        <v>2412</v>
      </c>
      <c r="C542" s="16" t="s">
        <v>2413</v>
      </c>
      <c r="D542" s="16">
        <v>15500000</v>
      </c>
      <c r="E542" s="16">
        <v>3</v>
      </c>
      <c r="F542" s="16">
        <v>3</v>
      </c>
      <c r="G542" s="20" t="s">
        <v>1443</v>
      </c>
      <c r="H542" s="16"/>
      <c r="I542" s="16" t="s">
        <v>1034</v>
      </c>
      <c r="J542" s="16" t="s">
        <v>2414</v>
      </c>
      <c r="K542" s="16"/>
    </row>
    <row r="543" spans="1:11" ht="240" hidden="1" x14ac:dyDescent="0.25">
      <c r="A543" s="22">
        <v>540</v>
      </c>
      <c r="B543" s="16" t="s">
        <v>2415</v>
      </c>
      <c r="C543" s="16" t="s">
        <v>2416</v>
      </c>
      <c r="D543" s="16">
        <v>22000000</v>
      </c>
      <c r="E543" s="16">
        <v>2</v>
      </c>
      <c r="F543" s="16">
        <v>3</v>
      </c>
      <c r="G543" s="20" t="s">
        <v>1443</v>
      </c>
      <c r="H543" s="16"/>
      <c r="I543" s="16" t="s">
        <v>899</v>
      </c>
      <c r="J543" s="16" t="s">
        <v>900</v>
      </c>
      <c r="K543" s="16" t="s">
        <v>901</v>
      </c>
    </row>
    <row r="544" spans="1:11" ht="409.5" hidden="1" x14ac:dyDescent="0.25">
      <c r="A544" s="22">
        <v>541</v>
      </c>
      <c r="B544" s="16" t="s">
        <v>2417</v>
      </c>
      <c r="C544" s="16" t="s">
        <v>2418</v>
      </c>
      <c r="D544" s="16">
        <v>20000000</v>
      </c>
      <c r="E544" s="16">
        <v>3</v>
      </c>
      <c r="F544" s="16">
        <v>3</v>
      </c>
      <c r="G544" s="20" t="s">
        <v>1443</v>
      </c>
      <c r="H544" s="16"/>
      <c r="I544" s="16" t="s">
        <v>2419</v>
      </c>
      <c r="J544" s="16" t="s">
        <v>2420</v>
      </c>
      <c r="K544" s="16" t="s">
        <v>2421</v>
      </c>
    </row>
    <row r="545" spans="1:11" ht="165" hidden="1" x14ac:dyDescent="0.25">
      <c r="A545" s="22">
        <v>542</v>
      </c>
      <c r="B545" s="16" t="s">
        <v>2422</v>
      </c>
      <c r="C545" s="16" t="s">
        <v>2423</v>
      </c>
      <c r="D545" s="16">
        <v>8996680</v>
      </c>
      <c r="E545" s="16">
        <v>2</v>
      </c>
      <c r="F545" s="16">
        <v>3</v>
      </c>
      <c r="G545" s="20" t="s">
        <v>1443</v>
      </c>
      <c r="H545" s="16"/>
      <c r="I545" s="16" t="s">
        <v>2424</v>
      </c>
      <c r="J545" s="16" t="s">
        <v>2425</v>
      </c>
      <c r="K545" s="16" t="s">
        <v>2426</v>
      </c>
    </row>
    <row r="546" spans="1:11" ht="255" hidden="1" x14ac:dyDescent="0.25">
      <c r="A546" s="22">
        <v>543</v>
      </c>
      <c r="B546" s="16" t="s">
        <v>2427</v>
      </c>
      <c r="C546" s="16" t="s">
        <v>2428</v>
      </c>
      <c r="D546" s="16">
        <v>35000000</v>
      </c>
      <c r="E546" s="16">
        <v>3</v>
      </c>
      <c r="F546" s="16">
        <v>3</v>
      </c>
      <c r="G546" s="20" t="s">
        <v>1443</v>
      </c>
      <c r="H546" s="16"/>
      <c r="I546" s="16" t="s">
        <v>2429</v>
      </c>
      <c r="J546" s="16" t="s">
        <v>2430</v>
      </c>
      <c r="K546" s="16" t="s">
        <v>2431</v>
      </c>
    </row>
    <row r="547" spans="1:11" ht="270" hidden="1" x14ac:dyDescent="0.25">
      <c r="A547" s="22">
        <v>544</v>
      </c>
      <c r="B547" s="16" t="s">
        <v>2432</v>
      </c>
      <c r="C547" s="16" t="s">
        <v>2433</v>
      </c>
      <c r="D547" s="16">
        <v>35000000</v>
      </c>
      <c r="E547" s="16">
        <v>3</v>
      </c>
      <c r="F547" s="16">
        <v>3</v>
      </c>
      <c r="G547" s="20" t="s">
        <v>1443</v>
      </c>
      <c r="H547" s="16"/>
      <c r="I547" s="16" t="s">
        <v>2434</v>
      </c>
      <c r="J547" s="16" t="s">
        <v>2435</v>
      </c>
      <c r="K547" s="16" t="s">
        <v>2436</v>
      </c>
    </row>
    <row r="548" spans="1:11" ht="270" hidden="1" x14ac:dyDescent="0.25">
      <c r="A548" s="22">
        <v>545</v>
      </c>
      <c r="B548" s="16" t="s">
        <v>2437</v>
      </c>
      <c r="C548" s="16" t="s">
        <v>2438</v>
      </c>
      <c r="D548" s="16">
        <v>35000000</v>
      </c>
      <c r="E548" s="16">
        <v>3</v>
      </c>
      <c r="F548" s="16">
        <v>3</v>
      </c>
      <c r="G548" s="20" t="s">
        <v>1443</v>
      </c>
      <c r="H548" s="16"/>
      <c r="I548" s="16" t="s">
        <v>2439</v>
      </c>
      <c r="J548" s="16" t="s">
        <v>2440</v>
      </c>
      <c r="K548" s="16" t="s">
        <v>2441</v>
      </c>
    </row>
    <row r="549" spans="1:11" ht="165" hidden="1" x14ac:dyDescent="0.25">
      <c r="A549" s="22">
        <v>546</v>
      </c>
      <c r="B549" s="16" t="s">
        <v>2442</v>
      </c>
      <c r="C549" s="16" t="s">
        <v>2443</v>
      </c>
      <c r="D549" s="16">
        <v>35000000</v>
      </c>
      <c r="E549" s="16">
        <v>2</v>
      </c>
      <c r="F549" s="16">
        <v>4</v>
      </c>
      <c r="G549" s="20" t="s">
        <v>1443</v>
      </c>
      <c r="H549" s="16"/>
      <c r="I549" s="16" t="s">
        <v>2444</v>
      </c>
      <c r="J549" s="16" t="s">
        <v>2445</v>
      </c>
      <c r="K549" s="16" t="s">
        <v>2446</v>
      </c>
    </row>
    <row r="550" spans="1:11" ht="270" hidden="1" x14ac:dyDescent="0.25">
      <c r="A550" s="22">
        <v>547</v>
      </c>
      <c r="B550" s="16" t="s">
        <v>2447</v>
      </c>
      <c r="C550" s="16" t="s">
        <v>2448</v>
      </c>
      <c r="D550" s="16">
        <v>35000000</v>
      </c>
      <c r="E550" s="16">
        <v>3</v>
      </c>
      <c r="F550" s="16">
        <v>3</v>
      </c>
      <c r="G550" s="20" t="s">
        <v>1443</v>
      </c>
      <c r="H550" s="16"/>
      <c r="I550" s="16" t="s">
        <v>2449</v>
      </c>
      <c r="J550" s="16" t="s">
        <v>2450</v>
      </c>
      <c r="K550" s="16" t="s">
        <v>2451</v>
      </c>
    </row>
    <row r="551" spans="1:11" ht="409.5" hidden="1" x14ac:dyDescent="0.25">
      <c r="A551" s="22">
        <v>548</v>
      </c>
      <c r="B551" s="16" t="s">
        <v>2452</v>
      </c>
      <c r="C551" s="16" t="s">
        <v>2453</v>
      </c>
      <c r="D551" s="16">
        <v>10007000</v>
      </c>
      <c r="E551" s="16">
        <v>3</v>
      </c>
      <c r="F551" s="16">
        <v>3</v>
      </c>
      <c r="G551" s="20" t="s">
        <v>1443</v>
      </c>
      <c r="H551" s="16"/>
      <c r="I551" s="16" t="s">
        <v>2454</v>
      </c>
      <c r="J551" s="16" t="s">
        <v>2455</v>
      </c>
      <c r="K551" s="16" t="s">
        <v>2456</v>
      </c>
    </row>
    <row r="552" spans="1:11" ht="409.5" hidden="1" x14ac:dyDescent="0.25">
      <c r="A552" s="22">
        <v>549</v>
      </c>
      <c r="B552" s="16" t="s">
        <v>2457</v>
      </c>
      <c r="C552" s="16" t="s">
        <v>2458</v>
      </c>
      <c r="D552" s="16">
        <v>9374000</v>
      </c>
      <c r="E552" s="16">
        <v>2</v>
      </c>
      <c r="F552" s="16">
        <v>4</v>
      </c>
      <c r="G552" s="20" t="s">
        <v>1443</v>
      </c>
      <c r="H552" s="16"/>
      <c r="I552" s="16" t="s">
        <v>2459</v>
      </c>
      <c r="J552" s="16" t="s">
        <v>2460</v>
      </c>
      <c r="K552" s="16" t="s">
        <v>2461</v>
      </c>
    </row>
    <row r="553" spans="1:11" ht="285" hidden="1" x14ac:dyDescent="0.25">
      <c r="A553" s="22">
        <v>550</v>
      </c>
      <c r="B553" s="16" t="s">
        <v>2462</v>
      </c>
      <c r="C553" s="16" t="s">
        <v>2463</v>
      </c>
      <c r="D553" s="16">
        <v>28495280</v>
      </c>
      <c r="E553" s="16">
        <v>2</v>
      </c>
      <c r="F553" s="16">
        <v>3</v>
      </c>
      <c r="G553" s="20" t="s">
        <v>1443</v>
      </c>
      <c r="H553" s="16"/>
      <c r="I553" s="16" t="s">
        <v>642</v>
      </c>
      <c r="J553" s="16" t="s">
        <v>2464</v>
      </c>
      <c r="K553" s="16" t="s">
        <v>2465</v>
      </c>
    </row>
    <row r="554" spans="1:11" ht="409.5" hidden="1" x14ac:dyDescent="0.25">
      <c r="A554" s="22">
        <v>551</v>
      </c>
      <c r="B554" s="16" t="s">
        <v>2466</v>
      </c>
      <c r="C554" s="16" t="s">
        <v>2467</v>
      </c>
      <c r="D554" s="16">
        <v>44620000</v>
      </c>
      <c r="E554" s="16">
        <v>2</v>
      </c>
      <c r="F554" s="16">
        <v>3</v>
      </c>
      <c r="G554" s="20" t="s">
        <v>1443</v>
      </c>
      <c r="H554" s="16"/>
      <c r="I554" s="16" t="s">
        <v>642</v>
      </c>
      <c r="J554" s="16" t="s">
        <v>2468</v>
      </c>
      <c r="K554" s="16" t="s">
        <v>2469</v>
      </c>
    </row>
    <row r="555" spans="1:11" ht="345" hidden="1" x14ac:dyDescent="0.25">
      <c r="A555" s="22">
        <v>552</v>
      </c>
      <c r="B555" s="16" t="s">
        <v>2470</v>
      </c>
      <c r="C555" s="16" t="s">
        <v>2471</v>
      </c>
      <c r="D555" s="16">
        <v>29348000</v>
      </c>
      <c r="E555" s="16">
        <v>2</v>
      </c>
      <c r="F555" s="16">
        <v>3</v>
      </c>
      <c r="G555" s="20" t="s">
        <v>1443</v>
      </c>
      <c r="H555" s="16"/>
      <c r="I555" s="16" t="s">
        <v>2472</v>
      </c>
      <c r="J555" s="16" t="s">
        <v>2473</v>
      </c>
      <c r="K555" s="16" t="s">
        <v>2474</v>
      </c>
    </row>
    <row r="556" spans="1:11" ht="405" hidden="1" x14ac:dyDescent="0.25">
      <c r="A556" s="22">
        <v>553</v>
      </c>
      <c r="B556" s="16" t="s">
        <v>2475</v>
      </c>
      <c r="C556" s="16" t="s">
        <v>2476</v>
      </c>
      <c r="D556" s="16">
        <v>1506265000</v>
      </c>
      <c r="E556" s="16">
        <v>2</v>
      </c>
      <c r="F556" s="16">
        <v>5</v>
      </c>
      <c r="G556" s="20" t="s">
        <v>1443</v>
      </c>
      <c r="H556" s="16"/>
      <c r="I556" s="16" t="s">
        <v>642</v>
      </c>
      <c r="J556" s="16" t="s">
        <v>2477</v>
      </c>
      <c r="K556" s="16" t="s">
        <v>2478</v>
      </c>
    </row>
    <row r="557" spans="1:11" ht="315" hidden="1" x14ac:dyDescent="0.25">
      <c r="A557" s="22">
        <v>554</v>
      </c>
      <c r="B557" s="16" t="s">
        <v>2479</v>
      </c>
      <c r="C557" s="16" t="s">
        <v>2480</v>
      </c>
      <c r="D557" s="16">
        <v>42200000</v>
      </c>
      <c r="E557" s="16">
        <v>2</v>
      </c>
      <c r="F557" s="16">
        <v>3</v>
      </c>
      <c r="G557" s="20" t="s">
        <v>1443</v>
      </c>
      <c r="H557" s="16"/>
      <c r="I557" s="16" t="s">
        <v>642</v>
      </c>
      <c r="J557" s="16" t="s">
        <v>2481</v>
      </c>
      <c r="K557" s="16" t="s">
        <v>2482</v>
      </c>
    </row>
    <row r="558" spans="1:11" ht="409.5" hidden="1" x14ac:dyDescent="0.25">
      <c r="A558" s="22">
        <v>555</v>
      </c>
      <c r="B558" s="16" t="s">
        <v>2483</v>
      </c>
      <c r="C558" s="16" t="s">
        <v>2484</v>
      </c>
      <c r="D558" s="16">
        <v>27208000</v>
      </c>
      <c r="E558" s="16">
        <v>2</v>
      </c>
      <c r="F558" s="16">
        <v>3</v>
      </c>
      <c r="G558" s="20" t="s">
        <v>1443</v>
      </c>
      <c r="H558" s="16"/>
      <c r="I558" s="16" t="s">
        <v>642</v>
      </c>
      <c r="J558" s="16" t="s">
        <v>2485</v>
      </c>
      <c r="K558" s="16" t="s">
        <v>2486</v>
      </c>
    </row>
    <row r="559" spans="1:11" ht="120" hidden="1" x14ac:dyDescent="0.25">
      <c r="A559" s="22">
        <v>556</v>
      </c>
      <c r="B559" s="16" t="s">
        <v>2487</v>
      </c>
      <c r="C559" s="16" t="s">
        <v>2488</v>
      </c>
      <c r="D559" s="16">
        <v>115100500</v>
      </c>
      <c r="E559" s="16">
        <v>2</v>
      </c>
      <c r="F559" s="16">
        <v>5</v>
      </c>
      <c r="G559" s="20" t="s">
        <v>1443</v>
      </c>
      <c r="H559" s="16"/>
      <c r="I559" s="16" t="s">
        <v>2489</v>
      </c>
      <c r="J559" s="16" t="s">
        <v>2490</v>
      </c>
      <c r="K559" s="16" t="s">
        <v>2491</v>
      </c>
    </row>
    <row r="560" spans="1:11" ht="345" hidden="1" x14ac:dyDescent="0.25">
      <c r="A560" s="22">
        <v>557</v>
      </c>
      <c r="B560" s="16" t="s">
        <v>2492</v>
      </c>
      <c r="C560" s="16" t="s">
        <v>2493</v>
      </c>
      <c r="D560" s="16">
        <v>137146920</v>
      </c>
      <c r="E560" s="16">
        <v>2</v>
      </c>
      <c r="F560" s="16">
        <v>5</v>
      </c>
      <c r="G560" s="20" t="s">
        <v>1443</v>
      </c>
      <c r="H560" s="16"/>
      <c r="I560" s="16" t="s">
        <v>2494</v>
      </c>
      <c r="J560" s="16" t="s">
        <v>2495</v>
      </c>
      <c r="K560" s="16" t="s">
        <v>2491</v>
      </c>
    </row>
    <row r="561" spans="1:11" ht="375" hidden="1" x14ac:dyDescent="0.25">
      <c r="A561" s="22">
        <v>558</v>
      </c>
      <c r="B561" s="16" t="s">
        <v>2496</v>
      </c>
      <c r="C561" s="16" t="s">
        <v>2497</v>
      </c>
      <c r="D561" s="16">
        <v>110400000</v>
      </c>
      <c r="E561" s="16">
        <v>2</v>
      </c>
      <c r="F561" s="16">
        <v>4</v>
      </c>
      <c r="G561" s="20" t="s">
        <v>1443</v>
      </c>
      <c r="H561" s="16"/>
      <c r="I561" s="16" t="s">
        <v>2498</v>
      </c>
      <c r="J561" s="16" t="s">
        <v>2499</v>
      </c>
      <c r="K561" s="16" t="s">
        <v>2491</v>
      </c>
    </row>
    <row r="562" spans="1:11" ht="360" hidden="1" x14ac:dyDescent="0.25">
      <c r="A562" s="22">
        <v>559</v>
      </c>
      <c r="B562" s="16" t="s">
        <v>2500</v>
      </c>
      <c r="C562" s="16" t="s">
        <v>2501</v>
      </c>
      <c r="D562" s="16">
        <v>36750000</v>
      </c>
      <c r="E562" s="16">
        <v>2</v>
      </c>
      <c r="F562" s="16">
        <v>5</v>
      </c>
      <c r="G562" s="20" t="s">
        <v>1443</v>
      </c>
      <c r="H562" s="16"/>
      <c r="I562" s="16" t="s">
        <v>2502</v>
      </c>
      <c r="J562" s="16" t="s">
        <v>2503</v>
      </c>
      <c r="K562" s="16" t="s">
        <v>2491</v>
      </c>
    </row>
    <row r="563" spans="1:11" ht="345" hidden="1" x14ac:dyDescent="0.25">
      <c r="A563" s="22">
        <v>560</v>
      </c>
      <c r="B563" s="16" t="s">
        <v>2504</v>
      </c>
      <c r="C563" s="16" t="s">
        <v>2505</v>
      </c>
      <c r="D563" s="16">
        <v>31600000</v>
      </c>
      <c r="E563" s="16">
        <v>2</v>
      </c>
      <c r="F563" s="16">
        <v>3</v>
      </c>
      <c r="G563" s="20" t="s">
        <v>1443</v>
      </c>
      <c r="H563" s="16"/>
      <c r="I563" s="16" t="s">
        <v>2502</v>
      </c>
      <c r="J563" s="16" t="s">
        <v>2506</v>
      </c>
      <c r="K563" s="16" t="s">
        <v>2491</v>
      </c>
    </row>
    <row r="564" spans="1:11" ht="360" hidden="1" x14ac:dyDescent="0.25">
      <c r="A564" s="22">
        <v>561</v>
      </c>
      <c r="B564" s="16" t="s">
        <v>2507</v>
      </c>
      <c r="C564" s="16" t="s">
        <v>2508</v>
      </c>
      <c r="D564" s="16">
        <v>19800000</v>
      </c>
      <c r="E564" s="16">
        <v>2</v>
      </c>
      <c r="F564" s="16">
        <v>3</v>
      </c>
      <c r="G564" s="20" t="s">
        <v>1443</v>
      </c>
      <c r="H564" s="16"/>
      <c r="I564" s="16" t="s">
        <v>2502</v>
      </c>
      <c r="J564" s="16" t="s">
        <v>2509</v>
      </c>
      <c r="K564" s="16" t="s">
        <v>2491</v>
      </c>
    </row>
    <row r="565" spans="1:11" ht="315" hidden="1" x14ac:dyDescent="0.25">
      <c r="A565" s="22">
        <v>562</v>
      </c>
      <c r="B565" s="16" t="s">
        <v>2510</v>
      </c>
      <c r="C565" s="16" t="s">
        <v>2511</v>
      </c>
      <c r="D565" s="16">
        <v>59500000</v>
      </c>
      <c r="E565" s="16">
        <v>2</v>
      </c>
      <c r="F565" s="16">
        <v>3</v>
      </c>
      <c r="G565" s="20" t="s">
        <v>1443</v>
      </c>
      <c r="H565" s="16"/>
      <c r="I565" s="16" t="s">
        <v>2512</v>
      </c>
      <c r="J565" s="16" t="s">
        <v>2513</v>
      </c>
      <c r="K565" s="16" t="s">
        <v>2491</v>
      </c>
    </row>
    <row r="566" spans="1:11" ht="315" hidden="1" x14ac:dyDescent="0.25">
      <c r="A566" s="22">
        <v>563</v>
      </c>
      <c r="B566" s="16" t="s">
        <v>2514</v>
      </c>
      <c r="C566" s="16" t="s">
        <v>2515</v>
      </c>
      <c r="D566" s="16">
        <v>50884364</v>
      </c>
      <c r="E566" s="16">
        <v>2</v>
      </c>
      <c r="F566" s="16">
        <v>5</v>
      </c>
      <c r="G566" s="20" t="s">
        <v>1443</v>
      </c>
      <c r="H566" s="16"/>
      <c r="I566" s="16" t="s">
        <v>2502</v>
      </c>
      <c r="J566" s="16" t="s">
        <v>2516</v>
      </c>
      <c r="K566" s="16" t="s">
        <v>2491</v>
      </c>
    </row>
    <row r="567" spans="1:11" ht="409.5" hidden="1" x14ac:dyDescent="0.25">
      <c r="A567" s="22">
        <v>564</v>
      </c>
      <c r="B567" s="16" t="s">
        <v>2517</v>
      </c>
      <c r="C567" s="16" t="s">
        <v>2518</v>
      </c>
      <c r="D567" s="16">
        <v>41507394</v>
      </c>
      <c r="E567" s="16">
        <v>2</v>
      </c>
      <c r="F567" s="16">
        <v>3</v>
      </c>
      <c r="G567" s="20" t="s">
        <v>1443</v>
      </c>
      <c r="H567" s="16"/>
      <c r="I567" s="16" t="s">
        <v>2489</v>
      </c>
      <c r="J567" s="16" t="s">
        <v>2519</v>
      </c>
      <c r="K567" s="16" t="s">
        <v>2491</v>
      </c>
    </row>
    <row r="568" spans="1:11" ht="409.5" hidden="1" x14ac:dyDescent="0.25">
      <c r="A568" s="22">
        <v>565</v>
      </c>
      <c r="B568" s="16" t="s">
        <v>2520</v>
      </c>
      <c r="C568" s="16" t="s">
        <v>2521</v>
      </c>
      <c r="D568" s="16">
        <v>70389272</v>
      </c>
      <c r="E568" s="16">
        <v>2</v>
      </c>
      <c r="F568" s="16">
        <v>3</v>
      </c>
      <c r="G568" s="20" t="s">
        <v>1443</v>
      </c>
      <c r="H568" s="16"/>
      <c r="I568" s="16" t="s">
        <v>2502</v>
      </c>
      <c r="J568" s="16" t="s">
        <v>2522</v>
      </c>
      <c r="K568" s="16" t="s">
        <v>2491</v>
      </c>
    </row>
    <row r="569" spans="1:11" ht="330" hidden="1" x14ac:dyDescent="0.25">
      <c r="A569" s="22">
        <v>566</v>
      </c>
      <c r="B569" s="16" t="s">
        <v>2523</v>
      </c>
      <c r="C569" s="16" t="s">
        <v>2524</v>
      </c>
      <c r="D569" s="16">
        <v>47500000</v>
      </c>
      <c r="E569" s="16">
        <v>2</v>
      </c>
      <c r="F569" s="16">
        <v>4</v>
      </c>
      <c r="G569" s="20" t="s">
        <v>1443</v>
      </c>
      <c r="H569" s="16"/>
      <c r="I569" s="16" t="s">
        <v>2502</v>
      </c>
      <c r="J569" s="16" t="s">
        <v>2525</v>
      </c>
      <c r="K569" s="16" t="s">
        <v>2491</v>
      </c>
    </row>
    <row r="570" spans="1:11" ht="315" hidden="1" x14ac:dyDescent="0.25">
      <c r="A570" s="22">
        <v>567</v>
      </c>
      <c r="B570" s="16" t="s">
        <v>2526</v>
      </c>
      <c r="C570" s="16" t="s">
        <v>2527</v>
      </c>
      <c r="D570" s="16">
        <v>47500000</v>
      </c>
      <c r="E570" s="16">
        <v>2</v>
      </c>
      <c r="F570" s="16">
        <v>4</v>
      </c>
      <c r="G570" s="20" t="s">
        <v>1443</v>
      </c>
      <c r="H570" s="16"/>
      <c r="I570" s="16" t="s">
        <v>2502</v>
      </c>
      <c r="J570" s="16" t="s">
        <v>2528</v>
      </c>
      <c r="K570" s="16" t="s">
        <v>2491</v>
      </c>
    </row>
    <row r="571" spans="1:11" ht="375" hidden="1" x14ac:dyDescent="0.25">
      <c r="A571" s="22">
        <v>568</v>
      </c>
      <c r="B571" s="16" t="s">
        <v>2529</v>
      </c>
      <c r="C571" s="16" t="s">
        <v>2530</v>
      </c>
      <c r="D571" s="16">
        <v>32850000</v>
      </c>
      <c r="E571" s="16">
        <v>2</v>
      </c>
      <c r="F571" s="16">
        <v>5</v>
      </c>
      <c r="G571" s="20" t="s">
        <v>1443</v>
      </c>
      <c r="H571" s="16"/>
      <c r="I571" s="16" t="s">
        <v>2502</v>
      </c>
      <c r="J571" s="16" t="s">
        <v>2531</v>
      </c>
      <c r="K571" s="16" t="s">
        <v>2491</v>
      </c>
    </row>
    <row r="572" spans="1:11" ht="360" hidden="1" x14ac:dyDescent="0.25">
      <c r="A572" s="22">
        <v>569</v>
      </c>
      <c r="B572" s="16" t="s">
        <v>2532</v>
      </c>
      <c r="C572" s="16" t="s">
        <v>2533</v>
      </c>
      <c r="D572" s="16">
        <v>67250000</v>
      </c>
      <c r="E572" s="16">
        <v>2</v>
      </c>
      <c r="F572" s="16">
        <v>3</v>
      </c>
      <c r="G572" s="20" t="s">
        <v>1443</v>
      </c>
      <c r="H572" s="16"/>
      <c r="I572" s="16" t="s">
        <v>2502</v>
      </c>
      <c r="J572" s="16" t="s">
        <v>2534</v>
      </c>
      <c r="K572" s="16" t="s">
        <v>2491</v>
      </c>
    </row>
    <row r="573" spans="1:11" ht="360" hidden="1" x14ac:dyDescent="0.25">
      <c r="A573" s="22">
        <v>570</v>
      </c>
      <c r="B573" s="16" t="s">
        <v>2535</v>
      </c>
      <c r="C573" s="16" t="s">
        <v>2536</v>
      </c>
      <c r="D573" s="16">
        <v>26200000</v>
      </c>
      <c r="E573" s="16">
        <v>2</v>
      </c>
      <c r="F573" s="16">
        <v>3</v>
      </c>
      <c r="G573" s="20" t="s">
        <v>1443</v>
      </c>
      <c r="H573" s="16"/>
      <c r="I573" s="16" t="s">
        <v>2502</v>
      </c>
      <c r="J573" s="16" t="s">
        <v>2537</v>
      </c>
      <c r="K573" s="16" t="s">
        <v>2491</v>
      </c>
    </row>
    <row r="574" spans="1:11" ht="330" hidden="1" x14ac:dyDescent="0.25">
      <c r="A574" s="22">
        <v>571</v>
      </c>
      <c r="B574" s="16" t="s">
        <v>2538</v>
      </c>
      <c r="C574" s="16" t="s">
        <v>2539</v>
      </c>
      <c r="D574" s="16">
        <v>52200000</v>
      </c>
      <c r="E574" s="16">
        <v>2</v>
      </c>
      <c r="F574" s="16">
        <v>3</v>
      </c>
      <c r="G574" s="20" t="s">
        <v>1443</v>
      </c>
      <c r="H574" s="16"/>
      <c r="I574" s="16" t="s">
        <v>2502</v>
      </c>
      <c r="J574" s="16" t="s">
        <v>2540</v>
      </c>
      <c r="K574" s="16" t="s">
        <v>2491</v>
      </c>
    </row>
    <row r="575" spans="1:11" ht="390" hidden="1" x14ac:dyDescent="0.25">
      <c r="A575" s="22">
        <v>572</v>
      </c>
      <c r="B575" s="16" t="s">
        <v>2541</v>
      </c>
      <c r="C575" s="16" t="s">
        <v>2542</v>
      </c>
      <c r="D575" s="16">
        <v>50500000</v>
      </c>
      <c r="E575" s="16">
        <v>2</v>
      </c>
      <c r="F575" s="16">
        <v>5</v>
      </c>
      <c r="G575" s="20" t="s">
        <v>1443</v>
      </c>
      <c r="H575" s="16"/>
      <c r="I575" s="16" t="s">
        <v>2502</v>
      </c>
      <c r="J575" s="16" t="s">
        <v>2543</v>
      </c>
      <c r="K575" s="16" t="s">
        <v>2491</v>
      </c>
    </row>
    <row r="576" spans="1:11" ht="345" hidden="1" x14ac:dyDescent="0.25">
      <c r="A576" s="22">
        <v>573</v>
      </c>
      <c r="B576" s="16" t="s">
        <v>2544</v>
      </c>
      <c r="C576" s="16" t="s">
        <v>2545</v>
      </c>
      <c r="D576" s="16">
        <v>47500000</v>
      </c>
      <c r="E576" s="16">
        <v>2</v>
      </c>
      <c r="F576" s="16">
        <v>4</v>
      </c>
      <c r="G576" s="20" t="s">
        <v>1443</v>
      </c>
      <c r="H576" s="16"/>
      <c r="I576" s="16" t="s">
        <v>2502</v>
      </c>
      <c r="J576" s="16" t="s">
        <v>2546</v>
      </c>
      <c r="K576" s="16" t="s">
        <v>2491</v>
      </c>
    </row>
    <row r="577" spans="1:11" ht="360" hidden="1" x14ac:dyDescent="0.25">
      <c r="A577" s="22">
        <v>574</v>
      </c>
      <c r="B577" s="16" t="s">
        <v>2547</v>
      </c>
      <c r="C577" s="16" t="s">
        <v>2548</v>
      </c>
      <c r="D577" s="16">
        <v>41023761</v>
      </c>
      <c r="E577" s="16">
        <v>2</v>
      </c>
      <c r="F577" s="16">
        <v>5</v>
      </c>
      <c r="G577" s="20" t="s">
        <v>1443</v>
      </c>
      <c r="H577" s="16"/>
      <c r="I577" s="16" t="s">
        <v>2502</v>
      </c>
      <c r="J577" s="16" t="s">
        <v>2549</v>
      </c>
      <c r="K577" s="16" t="s">
        <v>2491</v>
      </c>
    </row>
    <row r="578" spans="1:11" ht="409.5" hidden="1" x14ac:dyDescent="0.25">
      <c r="A578" s="22">
        <v>575</v>
      </c>
      <c r="B578" s="16" t="s">
        <v>2550</v>
      </c>
      <c r="C578" s="16" t="s">
        <v>2551</v>
      </c>
      <c r="D578" s="16">
        <v>75574272</v>
      </c>
      <c r="E578" s="16">
        <v>2</v>
      </c>
      <c r="F578" s="16">
        <v>3</v>
      </c>
      <c r="G578" s="20" t="s">
        <v>1443</v>
      </c>
      <c r="H578" s="16"/>
      <c r="I578" s="16" t="s">
        <v>2502</v>
      </c>
      <c r="J578" s="16" t="s">
        <v>2552</v>
      </c>
      <c r="K578" s="16" t="s">
        <v>2491</v>
      </c>
    </row>
    <row r="579" spans="1:11" ht="345" hidden="1" x14ac:dyDescent="0.25">
      <c r="A579" s="22">
        <v>576</v>
      </c>
      <c r="B579" s="16" t="s">
        <v>2553</v>
      </c>
      <c r="C579" s="16" t="s">
        <v>2554</v>
      </c>
      <c r="D579" s="16">
        <v>73234272</v>
      </c>
      <c r="E579" s="16">
        <v>2</v>
      </c>
      <c r="F579" s="16">
        <v>3</v>
      </c>
      <c r="G579" s="20" t="s">
        <v>1443</v>
      </c>
      <c r="H579" s="16"/>
      <c r="I579" s="16" t="s">
        <v>2502</v>
      </c>
      <c r="J579" s="16" t="s">
        <v>2555</v>
      </c>
      <c r="K579" s="16" t="s">
        <v>2491</v>
      </c>
    </row>
    <row r="580" spans="1:11" ht="409.5" hidden="1" x14ac:dyDescent="0.25">
      <c r="A580" s="22">
        <v>577</v>
      </c>
      <c r="B580" s="16" t="s">
        <v>2556</v>
      </c>
      <c r="C580" s="16" t="s">
        <v>2557</v>
      </c>
      <c r="D580" s="16">
        <v>62284200</v>
      </c>
      <c r="E580" s="16">
        <v>2</v>
      </c>
      <c r="F580" s="16">
        <v>3</v>
      </c>
      <c r="G580" s="20" t="s">
        <v>1443</v>
      </c>
      <c r="H580" s="16"/>
      <c r="I580" s="16" t="s">
        <v>2502</v>
      </c>
      <c r="J580" s="16" t="s">
        <v>2558</v>
      </c>
      <c r="K580" s="16" t="s">
        <v>2491</v>
      </c>
    </row>
    <row r="581" spans="1:11" ht="315" hidden="1" x14ac:dyDescent="0.25">
      <c r="A581" s="22">
        <v>578</v>
      </c>
      <c r="B581" s="16" t="s">
        <v>2559</v>
      </c>
      <c r="C581" s="16" t="s">
        <v>2560</v>
      </c>
      <c r="D581" s="16">
        <v>47500000</v>
      </c>
      <c r="E581" s="16">
        <v>2</v>
      </c>
      <c r="F581" s="16">
        <v>4</v>
      </c>
      <c r="G581" s="20" t="s">
        <v>1443</v>
      </c>
      <c r="H581" s="16"/>
      <c r="I581" s="16" t="s">
        <v>2502</v>
      </c>
      <c r="J581" s="16" t="s">
        <v>2561</v>
      </c>
      <c r="K581" s="16" t="s">
        <v>2491</v>
      </c>
    </row>
    <row r="582" spans="1:11" ht="405" hidden="1" x14ac:dyDescent="0.25">
      <c r="A582" s="22">
        <v>579</v>
      </c>
      <c r="B582" s="16" t="s">
        <v>2562</v>
      </c>
      <c r="C582" s="16" t="s">
        <v>2563</v>
      </c>
      <c r="D582" s="16">
        <v>82694396</v>
      </c>
      <c r="E582" s="16">
        <v>2</v>
      </c>
      <c r="F582" s="16">
        <v>4</v>
      </c>
      <c r="G582" s="20" t="s">
        <v>1443</v>
      </c>
      <c r="H582" s="16"/>
      <c r="I582" s="16" t="s">
        <v>2502</v>
      </c>
      <c r="J582" s="16" t="s">
        <v>2564</v>
      </c>
      <c r="K582" s="16" t="s">
        <v>2491</v>
      </c>
    </row>
    <row r="583" spans="1:11" ht="375" hidden="1" x14ac:dyDescent="0.25">
      <c r="A583" s="22">
        <v>580</v>
      </c>
      <c r="B583" s="16" t="s">
        <v>2565</v>
      </c>
      <c r="C583" s="16" t="s">
        <v>2566</v>
      </c>
      <c r="D583" s="16">
        <v>50523200</v>
      </c>
      <c r="E583" s="16">
        <v>2</v>
      </c>
      <c r="F583" s="16">
        <v>3</v>
      </c>
      <c r="G583" s="20" t="s">
        <v>1443</v>
      </c>
      <c r="H583" s="16"/>
      <c r="I583" s="16" t="s">
        <v>2489</v>
      </c>
      <c r="J583" s="16" t="s">
        <v>2567</v>
      </c>
      <c r="K583" s="16" t="s">
        <v>2491</v>
      </c>
    </row>
    <row r="584" spans="1:11" ht="345" hidden="1" x14ac:dyDescent="0.25">
      <c r="A584" s="22">
        <v>581</v>
      </c>
      <c r="B584" s="16" t="s">
        <v>2568</v>
      </c>
      <c r="C584" s="16" t="s">
        <v>2569</v>
      </c>
      <c r="D584" s="16">
        <v>91460448</v>
      </c>
      <c r="E584" s="16">
        <v>2</v>
      </c>
      <c r="F584" s="16">
        <v>4</v>
      </c>
      <c r="G584" s="20" t="s">
        <v>1443</v>
      </c>
      <c r="H584" s="16"/>
      <c r="I584" s="16" t="s">
        <v>2502</v>
      </c>
      <c r="J584" s="16" t="s">
        <v>2570</v>
      </c>
      <c r="K584" s="16" t="s">
        <v>2491</v>
      </c>
    </row>
    <row r="585" spans="1:11" ht="409.5" hidden="1" x14ac:dyDescent="0.25">
      <c r="A585" s="22">
        <v>582</v>
      </c>
      <c r="B585" s="16" t="s">
        <v>2571</v>
      </c>
      <c r="C585" s="16" t="s">
        <v>2572</v>
      </c>
      <c r="D585" s="16">
        <v>78971000</v>
      </c>
      <c r="E585" s="16">
        <v>2</v>
      </c>
      <c r="F585" s="16">
        <v>4</v>
      </c>
      <c r="G585" s="20" t="s">
        <v>1443</v>
      </c>
      <c r="H585" s="16"/>
      <c r="I585" s="16" t="s">
        <v>2502</v>
      </c>
      <c r="J585" s="16" t="s">
        <v>2573</v>
      </c>
      <c r="K585" s="16" t="s">
        <v>2491</v>
      </c>
    </row>
    <row r="586" spans="1:11" ht="345" hidden="1" x14ac:dyDescent="0.25">
      <c r="A586" s="22">
        <v>583</v>
      </c>
      <c r="B586" s="16" t="s">
        <v>2574</v>
      </c>
      <c r="C586" s="16" t="s">
        <v>2575</v>
      </c>
      <c r="D586" s="16">
        <v>71461000</v>
      </c>
      <c r="E586" s="16">
        <v>2</v>
      </c>
      <c r="F586" s="16">
        <v>5</v>
      </c>
      <c r="G586" s="20" t="s">
        <v>1443</v>
      </c>
      <c r="H586" s="16"/>
      <c r="I586" s="16" t="s">
        <v>2494</v>
      </c>
      <c r="J586" s="16" t="s">
        <v>2576</v>
      </c>
      <c r="K586" s="16" t="s">
        <v>2491</v>
      </c>
    </row>
    <row r="587" spans="1:11" ht="120" hidden="1" x14ac:dyDescent="0.25">
      <c r="A587" s="22">
        <v>584</v>
      </c>
      <c r="B587" s="16" t="s">
        <v>2577</v>
      </c>
      <c r="C587" s="16" t="s">
        <v>2578</v>
      </c>
      <c r="D587" s="16">
        <v>15190000</v>
      </c>
      <c r="E587" s="16">
        <v>3</v>
      </c>
      <c r="F587" s="16">
        <v>3</v>
      </c>
      <c r="G587" s="20" t="s">
        <v>1443</v>
      </c>
      <c r="H587" s="16"/>
      <c r="I587" s="16" t="s">
        <v>2579</v>
      </c>
      <c r="J587" s="16" t="s">
        <v>2580</v>
      </c>
      <c r="K587" s="16" t="s">
        <v>2581</v>
      </c>
    </row>
    <row r="588" spans="1:11" ht="90" hidden="1" x14ac:dyDescent="0.25">
      <c r="A588" s="22">
        <v>585</v>
      </c>
      <c r="B588" s="16" t="s">
        <v>2582</v>
      </c>
      <c r="C588" s="16" t="s">
        <v>2583</v>
      </c>
      <c r="D588" s="16">
        <v>11080000</v>
      </c>
      <c r="E588" s="16">
        <v>3</v>
      </c>
      <c r="F588" s="16">
        <v>3</v>
      </c>
      <c r="G588" s="20" t="s">
        <v>1443</v>
      </c>
      <c r="H588" s="16"/>
      <c r="I588" s="16" t="s">
        <v>2584</v>
      </c>
      <c r="J588" s="16" t="s">
        <v>2585</v>
      </c>
      <c r="K588" s="16" t="s">
        <v>2586</v>
      </c>
    </row>
    <row r="589" spans="1:11" ht="165" hidden="1" x14ac:dyDescent="0.25">
      <c r="A589" s="22">
        <v>586</v>
      </c>
      <c r="B589" s="16" t="s">
        <v>2587</v>
      </c>
      <c r="C589" s="16" t="s">
        <v>2588</v>
      </c>
      <c r="D589" s="16">
        <v>15020000</v>
      </c>
      <c r="E589" s="16">
        <v>3</v>
      </c>
      <c r="F589" s="16">
        <v>3</v>
      </c>
      <c r="G589" s="20" t="s">
        <v>1443</v>
      </c>
      <c r="H589" s="16"/>
      <c r="I589" s="16" t="s">
        <v>2589</v>
      </c>
      <c r="J589" s="16" t="s">
        <v>2590</v>
      </c>
      <c r="K589" s="16" t="s">
        <v>2591</v>
      </c>
    </row>
    <row r="590" spans="1:11" ht="135" hidden="1" x14ac:dyDescent="0.25">
      <c r="A590" s="22">
        <v>587</v>
      </c>
      <c r="B590" s="16" t="s">
        <v>2592</v>
      </c>
      <c r="C590" s="16" t="s">
        <v>2593</v>
      </c>
      <c r="D590" s="16">
        <v>14250000</v>
      </c>
      <c r="E590" s="16">
        <v>2</v>
      </c>
      <c r="F590" s="16">
        <v>3</v>
      </c>
      <c r="G590" s="20" t="s">
        <v>1443</v>
      </c>
      <c r="H590" s="16"/>
      <c r="I590" s="16" t="s">
        <v>2594</v>
      </c>
      <c r="J590" s="16" t="s">
        <v>2595</v>
      </c>
      <c r="K590" s="16" t="s">
        <v>2596</v>
      </c>
    </row>
    <row r="591" spans="1:11" ht="165" hidden="1" x14ac:dyDescent="0.25">
      <c r="A591" s="22">
        <v>588</v>
      </c>
      <c r="B591" s="16" t="s">
        <v>2597</v>
      </c>
      <c r="C591" s="16" t="s">
        <v>2598</v>
      </c>
      <c r="D591" s="16">
        <v>69985500</v>
      </c>
      <c r="E591" s="16">
        <v>3</v>
      </c>
      <c r="F591" s="16">
        <v>3</v>
      </c>
      <c r="G591" s="20" t="s">
        <v>1443</v>
      </c>
      <c r="H591" s="16"/>
      <c r="I591" s="16" t="s">
        <v>2599</v>
      </c>
      <c r="J591" s="16" t="s">
        <v>2600</v>
      </c>
      <c r="K591" s="16" t="s">
        <v>2601</v>
      </c>
    </row>
    <row r="592" spans="1:11" ht="195" hidden="1" x14ac:dyDescent="0.25">
      <c r="A592" s="22">
        <v>589</v>
      </c>
      <c r="B592" s="16" t="s">
        <v>2602</v>
      </c>
      <c r="C592" s="16" t="s">
        <v>2603</v>
      </c>
      <c r="D592" s="16">
        <v>8300000</v>
      </c>
      <c r="E592" s="16">
        <v>2</v>
      </c>
      <c r="F592" s="16">
        <v>5</v>
      </c>
      <c r="G592" s="20" t="s">
        <v>1443</v>
      </c>
      <c r="H592" s="16"/>
      <c r="I592" s="16" t="s">
        <v>2604</v>
      </c>
      <c r="J592" s="16" t="s">
        <v>2605</v>
      </c>
      <c r="K592" s="16" t="s">
        <v>2606</v>
      </c>
    </row>
    <row r="593" spans="1:11" ht="225" hidden="1" x14ac:dyDescent="0.25">
      <c r="A593" s="22">
        <v>590</v>
      </c>
      <c r="B593" s="16" t="s">
        <v>2607</v>
      </c>
      <c r="C593" s="16" t="s">
        <v>2608</v>
      </c>
      <c r="D593" s="16">
        <v>14440000</v>
      </c>
      <c r="E593" s="16">
        <v>3</v>
      </c>
      <c r="F593" s="16">
        <v>3</v>
      </c>
      <c r="G593" s="20" t="s">
        <v>1443</v>
      </c>
      <c r="H593" s="16"/>
      <c r="I593" s="16" t="s">
        <v>364</v>
      </c>
      <c r="J593" s="16" t="s">
        <v>2609</v>
      </c>
      <c r="K593" s="16" t="s">
        <v>2610</v>
      </c>
    </row>
    <row r="594" spans="1:11" ht="300" hidden="1" x14ac:dyDescent="0.25">
      <c r="A594" s="22">
        <v>591</v>
      </c>
      <c r="B594" s="16" t="s">
        <v>2611</v>
      </c>
      <c r="C594" s="16" t="s">
        <v>2612</v>
      </c>
      <c r="D594" s="16">
        <v>370000000</v>
      </c>
      <c r="E594" s="16">
        <v>2</v>
      </c>
      <c r="F594" s="16">
        <v>5</v>
      </c>
      <c r="G594" s="20" t="s">
        <v>1443</v>
      </c>
      <c r="H594" s="16"/>
      <c r="I594" s="16" t="s">
        <v>2613</v>
      </c>
      <c r="J594" s="16" t="s">
        <v>2614</v>
      </c>
      <c r="K594" s="16" t="s">
        <v>2615</v>
      </c>
    </row>
    <row r="595" spans="1:11" ht="240" hidden="1" x14ac:dyDescent="0.25">
      <c r="A595" s="22">
        <v>592</v>
      </c>
      <c r="B595" s="16" t="s">
        <v>2616</v>
      </c>
      <c r="C595" s="16" t="s">
        <v>2617</v>
      </c>
      <c r="D595" s="16">
        <v>3618671150</v>
      </c>
      <c r="E595" s="16">
        <v>2</v>
      </c>
      <c r="F595" s="16">
        <v>5</v>
      </c>
      <c r="G595" s="20" t="s">
        <v>1443</v>
      </c>
      <c r="H595" s="16"/>
      <c r="I595" s="16" t="s">
        <v>2618</v>
      </c>
      <c r="J595" s="16" t="s">
        <v>2619</v>
      </c>
      <c r="K595" s="16" t="s">
        <v>2620</v>
      </c>
    </row>
    <row r="596" spans="1:11" ht="300" hidden="1" x14ac:dyDescent="0.25">
      <c r="A596" s="22">
        <v>593</v>
      </c>
      <c r="B596" s="16" t="s">
        <v>2621</v>
      </c>
      <c r="C596" s="16" t="s">
        <v>2622</v>
      </c>
      <c r="D596" s="16">
        <v>150000000</v>
      </c>
      <c r="E596" s="16">
        <v>2</v>
      </c>
      <c r="F596" s="16">
        <v>5</v>
      </c>
      <c r="G596" s="20" t="s">
        <v>1443</v>
      </c>
      <c r="H596" s="16"/>
      <c r="I596" s="16" t="s">
        <v>2613</v>
      </c>
      <c r="J596" s="16" t="s">
        <v>2614</v>
      </c>
      <c r="K596" s="16" t="s">
        <v>2615</v>
      </c>
    </row>
    <row r="597" spans="1:11" ht="240" hidden="1" x14ac:dyDescent="0.25">
      <c r="A597" s="22">
        <v>594</v>
      </c>
      <c r="B597" s="16" t="s">
        <v>2623</v>
      </c>
      <c r="C597" s="16" t="s">
        <v>2624</v>
      </c>
      <c r="D597" s="16">
        <v>149006500</v>
      </c>
      <c r="E597" s="16">
        <v>2</v>
      </c>
      <c r="F597" s="16">
        <v>5</v>
      </c>
      <c r="G597" s="20" t="s">
        <v>1443</v>
      </c>
      <c r="H597" s="16"/>
      <c r="I597" s="16" t="s">
        <v>2625</v>
      </c>
      <c r="J597" s="16" t="s">
        <v>2626</v>
      </c>
      <c r="K597" s="16" t="s">
        <v>753</v>
      </c>
    </row>
    <row r="598" spans="1:11" ht="240" hidden="1" x14ac:dyDescent="0.25">
      <c r="A598" s="22">
        <v>595</v>
      </c>
      <c r="B598" s="16" t="s">
        <v>2627</v>
      </c>
      <c r="C598" s="16" t="s">
        <v>2628</v>
      </c>
      <c r="D598" s="16">
        <v>350000000</v>
      </c>
      <c r="E598" s="16">
        <v>2</v>
      </c>
      <c r="F598" s="16">
        <v>5</v>
      </c>
      <c r="G598" s="20" t="s">
        <v>1443</v>
      </c>
      <c r="H598" s="16"/>
      <c r="I598" s="16" t="s">
        <v>2625</v>
      </c>
      <c r="J598" s="16" t="s">
        <v>2626</v>
      </c>
      <c r="K598" s="16" t="s">
        <v>753</v>
      </c>
    </row>
    <row r="599" spans="1:11" ht="240" hidden="1" x14ac:dyDescent="0.25">
      <c r="A599" s="22">
        <v>596</v>
      </c>
      <c r="B599" s="16" t="s">
        <v>2629</v>
      </c>
      <c r="C599" s="16" t="s">
        <v>2630</v>
      </c>
      <c r="D599" s="16">
        <v>185000000</v>
      </c>
      <c r="E599" s="16">
        <v>2</v>
      </c>
      <c r="F599" s="16">
        <v>5</v>
      </c>
      <c r="G599" s="20" t="s">
        <v>1443</v>
      </c>
      <c r="H599" s="16"/>
      <c r="I599" s="16" t="s">
        <v>2625</v>
      </c>
      <c r="J599" s="16" t="s">
        <v>2626</v>
      </c>
      <c r="K599" s="16" t="s">
        <v>753</v>
      </c>
    </row>
    <row r="600" spans="1:11" ht="240" hidden="1" x14ac:dyDescent="0.25">
      <c r="A600" s="22">
        <v>597</v>
      </c>
      <c r="B600" s="16" t="s">
        <v>2631</v>
      </c>
      <c r="C600" s="16" t="s">
        <v>2632</v>
      </c>
      <c r="D600" s="16">
        <v>550000000</v>
      </c>
      <c r="E600" s="16">
        <v>2</v>
      </c>
      <c r="F600" s="16">
        <v>5</v>
      </c>
      <c r="G600" s="20" t="s">
        <v>1443</v>
      </c>
      <c r="H600" s="16"/>
      <c r="I600" s="16" t="s">
        <v>2625</v>
      </c>
      <c r="J600" s="16" t="s">
        <v>2626</v>
      </c>
      <c r="K600" s="16" t="s">
        <v>753</v>
      </c>
    </row>
    <row r="601" spans="1:11" ht="240" hidden="1" x14ac:dyDescent="0.25">
      <c r="A601" s="22">
        <v>598</v>
      </c>
      <c r="B601" s="16" t="s">
        <v>2633</v>
      </c>
      <c r="C601" s="16" t="s">
        <v>2634</v>
      </c>
      <c r="D601" s="16">
        <v>930000000</v>
      </c>
      <c r="E601" s="16">
        <v>2</v>
      </c>
      <c r="F601" s="16">
        <v>5</v>
      </c>
      <c r="G601" s="20" t="s">
        <v>1443</v>
      </c>
      <c r="H601" s="16"/>
      <c r="I601" s="16" t="s">
        <v>2625</v>
      </c>
      <c r="J601" s="16" t="s">
        <v>2626</v>
      </c>
      <c r="K601" s="16" t="s">
        <v>753</v>
      </c>
    </row>
    <row r="602" spans="1:11" ht="240" hidden="1" x14ac:dyDescent="0.25">
      <c r="A602" s="22">
        <v>599</v>
      </c>
      <c r="B602" s="16" t="s">
        <v>2635</v>
      </c>
      <c r="C602" s="16" t="s">
        <v>2636</v>
      </c>
      <c r="D602" s="16">
        <v>7529773200</v>
      </c>
      <c r="E602" s="16">
        <v>2</v>
      </c>
      <c r="F602" s="16">
        <v>5</v>
      </c>
      <c r="G602" s="20" t="s">
        <v>1443</v>
      </c>
      <c r="H602" s="16"/>
      <c r="I602" s="16" t="s">
        <v>2637</v>
      </c>
      <c r="J602" s="16" t="s">
        <v>2638</v>
      </c>
      <c r="K602" s="16" t="s">
        <v>753</v>
      </c>
    </row>
    <row r="603" spans="1:11" ht="240" hidden="1" x14ac:dyDescent="0.25">
      <c r="A603" s="22">
        <v>600</v>
      </c>
      <c r="B603" s="16" t="s">
        <v>2639</v>
      </c>
      <c r="C603" s="16" t="s">
        <v>2640</v>
      </c>
      <c r="D603" s="16">
        <v>353000000</v>
      </c>
      <c r="E603" s="16">
        <v>2</v>
      </c>
      <c r="F603" s="16">
        <v>5</v>
      </c>
      <c r="G603" s="20" t="s">
        <v>1443</v>
      </c>
      <c r="H603" s="16"/>
      <c r="I603" s="16" t="s">
        <v>2641</v>
      </c>
      <c r="J603" s="16" t="s">
        <v>2638</v>
      </c>
      <c r="K603" s="16" t="s">
        <v>753</v>
      </c>
    </row>
    <row r="604" spans="1:11" ht="270" hidden="1" x14ac:dyDescent="0.25">
      <c r="A604" s="22">
        <v>601</v>
      </c>
      <c r="B604" s="16" t="s">
        <v>2642</v>
      </c>
      <c r="C604" s="16" t="s">
        <v>2643</v>
      </c>
      <c r="D604" s="16">
        <v>950000000</v>
      </c>
      <c r="E604" s="16">
        <v>2</v>
      </c>
      <c r="F604" s="16">
        <v>4</v>
      </c>
      <c r="G604" s="20" t="s">
        <v>1443</v>
      </c>
      <c r="H604" s="16"/>
      <c r="I604" s="16" t="s">
        <v>2644</v>
      </c>
      <c r="J604" s="16" t="s">
        <v>2645</v>
      </c>
      <c r="K604" s="16" t="s">
        <v>2646</v>
      </c>
    </row>
    <row r="605" spans="1:11" ht="285" hidden="1" x14ac:dyDescent="0.25">
      <c r="A605" s="22">
        <v>602</v>
      </c>
      <c r="B605" s="16" t="s">
        <v>2647</v>
      </c>
      <c r="C605" s="16" t="s">
        <v>2648</v>
      </c>
      <c r="D605" s="16">
        <v>7560987522</v>
      </c>
      <c r="E605" s="16">
        <v>2</v>
      </c>
      <c r="F605" s="16">
        <v>5</v>
      </c>
      <c r="G605" s="20" t="s">
        <v>1443</v>
      </c>
      <c r="H605" s="16"/>
      <c r="I605" s="16" t="s">
        <v>2649</v>
      </c>
      <c r="J605" s="16" t="s">
        <v>2650</v>
      </c>
      <c r="K605" s="16" t="s">
        <v>2651</v>
      </c>
    </row>
    <row r="606" spans="1:11" ht="225" hidden="1" x14ac:dyDescent="0.25">
      <c r="A606" s="22">
        <v>603</v>
      </c>
      <c r="B606" s="16" t="s">
        <v>2652</v>
      </c>
      <c r="C606" s="16" t="s">
        <v>2653</v>
      </c>
      <c r="D606" s="16">
        <v>3217922425</v>
      </c>
      <c r="E606" s="16">
        <v>2</v>
      </c>
      <c r="F606" s="16">
        <v>3</v>
      </c>
      <c r="G606" s="20" t="s">
        <v>1443</v>
      </c>
      <c r="H606" s="16"/>
      <c r="I606" s="16" t="s">
        <v>2654</v>
      </c>
      <c r="J606" s="16" t="s">
        <v>2655</v>
      </c>
      <c r="K606" s="16" t="s">
        <v>2656</v>
      </c>
    </row>
    <row r="607" spans="1:11" ht="210" hidden="1" x14ac:dyDescent="0.25">
      <c r="A607" s="22">
        <v>604</v>
      </c>
      <c r="B607" s="16" t="s">
        <v>2657</v>
      </c>
      <c r="C607" s="16" t="s">
        <v>2658</v>
      </c>
      <c r="D607" s="16">
        <v>1289000000</v>
      </c>
      <c r="E607" s="16">
        <v>2</v>
      </c>
      <c r="F607" s="16">
        <v>4</v>
      </c>
      <c r="G607" s="20" t="s">
        <v>1443</v>
      </c>
      <c r="H607" s="16"/>
      <c r="I607" s="16" t="s">
        <v>2659</v>
      </c>
      <c r="J607" s="16" t="s">
        <v>2660</v>
      </c>
      <c r="K607" s="16" t="s">
        <v>2661</v>
      </c>
    </row>
    <row r="608" spans="1:11" ht="240" hidden="1" x14ac:dyDescent="0.25">
      <c r="A608" s="22">
        <v>605</v>
      </c>
      <c r="B608" s="16" t="s">
        <v>2662</v>
      </c>
      <c r="C608" s="16" t="s">
        <v>2663</v>
      </c>
      <c r="D608" s="16">
        <v>3070000000</v>
      </c>
      <c r="E608" s="16">
        <v>2</v>
      </c>
      <c r="F608" s="16">
        <v>5</v>
      </c>
      <c r="G608" s="20" t="s">
        <v>1443</v>
      </c>
      <c r="H608" s="16"/>
      <c r="I608" s="16" t="s">
        <v>2637</v>
      </c>
      <c r="J608" s="16" t="s">
        <v>2638</v>
      </c>
      <c r="K608" s="16" t="s">
        <v>753</v>
      </c>
    </row>
    <row r="609" spans="1:11" ht="240" hidden="1" x14ac:dyDescent="0.25">
      <c r="A609" s="22">
        <v>606</v>
      </c>
      <c r="B609" s="16" t="s">
        <v>2664</v>
      </c>
      <c r="C609" s="16" t="s">
        <v>2665</v>
      </c>
      <c r="D609" s="16">
        <v>353000000</v>
      </c>
      <c r="E609" s="16">
        <v>2</v>
      </c>
      <c r="F609" s="16">
        <v>5</v>
      </c>
      <c r="G609" s="20" t="s">
        <v>1443</v>
      </c>
      <c r="H609" s="16"/>
      <c r="I609" s="16" t="s">
        <v>2641</v>
      </c>
      <c r="J609" s="16" t="s">
        <v>2638</v>
      </c>
      <c r="K609" s="16" t="s">
        <v>753</v>
      </c>
    </row>
    <row r="610" spans="1:11" ht="240" hidden="1" x14ac:dyDescent="0.25">
      <c r="A610" s="22">
        <v>607</v>
      </c>
      <c r="B610" s="16" t="s">
        <v>2666</v>
      </c>
      <c r="C610" s="16" t="s">
        <v>2667</v>
      </c>
      <c r="D610" s="16">
        <v>3070000000</v>
      </c>
      <c r="E610" s="16">
        <v>2</v>
      </c>
      <c r="F610" s="16">
        <v>5</v>
      </c>
      <c r="G610" s="20" t="s">
        <v>1443</v>
      </c>
      <c r="H610" s="16"/>
      <c r="I610" s="16" t="s">
        <v>2637</v>
      </c>
      <c r="J610" s="16" t="s">
        <v>2638</v>
      </c>
      <c r="K610" s="16" t="s">
        <v>753</v>
      </c>
    </row>
    <row r="611" spans="1:11" ht="240" hidden="1" x14ac:dyDescent="0.25">
      <c r="A611" s="22">
        <v>608</v>
      </c>
      <c r="B611" s="16" t="s">
        <v>2668</v>
      </c>
      <c r="C611" s="16" t="s">
        <v>2669</v>
      </c>
      <c r="D611" s="16">
        <v>7529773200</v>
      </c>
      <c r="E611" s="16">
        <v>2</v>
      </c>
      <c r="F611" s="16">
        <v>5</v>
      </c>
      <c r="G611" s="20" t="s">
        <v>1443</v>
      </c>
      <c r="H611" s="16"/>
      <c r="I611" s="16" t="s">
        <v>2637</v>
      </c>
      <c r="J611" s="16" t="s">
        <v>2638</v>
      </c>
      <c r="K611" s="16" t="s">
        <v>753</v>
      </c>
    </row>
    <row r="612" spans="1:11" ht="240" hidden="1" x14ac:dyDescent="0.25">
      <c r="A612" s="22">
        <v>609</v>
      </c>
      <c r="B612" s="16" t="s">
        <v>2670</v>
      </c>
      <c r="C612" s="16" t="s">
        <v>2671</v>
      </c>
      <c r="D612" s="16">
        <v>142000000</v>
      </c>
      <c r="E612" s="16">
        <v>2</v>
      </c>
      <c r="F612" s="16">
        <v>5</v>
      </c>
      <c r="G612" s="20" t="s">
        <v>1443</v>
      </c>
      <c r="H612" s="16"/>
      <c r="I612" s="16" t="s">
        <v>2625</v>
      </c>
      <c r="J612" s="16" t="s">
        <v>2626</v>
      </c>
      <c r="K612" s="16" t="s">
        <v>753</v>
      </c>
    </row>
    <row r="613" spans="1:11" ht="240" hidden="1" x14ac:dyDescent="0.25">
      <c r="A613" s="22">
        <v>610</v>
      </c>
      <c r="B613" s="16" t="s">
        <v>2672</v>
      </c>
      <c r="C613" s="16" t="s">
        <v>2673</v>
      </c>
      <c r="D613" s="16">
        <v>185000000</v>
      </c>
      <c r="E613" s="16">
        <v>2</v>
      </c>
      <c r="F613" s="16">
        <v>5</v>
      </c>
      <c r="G613" s="20" t="s">
        <v>1443</v>
      </c>
      <c r="H613" s="16"/>
      <c r="I613" s="16" t="s">
        <v>2625</v>
      </c>
      <c r="J613" s="16" t="s">
        <v>2626</v>
      </c>
      <c r="K613" s="16" t="s">
        <v>753</v>
      </c>
    </row>
    <row r="614" spans="1:11" ht="240" hidden="1" x14ac:dyDescent="0.25">
      <c r="A614" s="22">
        <v>611</v>
      </c>
      <c r="B614" s="16" t="s">
        <v>2674</v>
      </c>
      <c r="C614" s="16" t="s">
        <v>2675</v>
      </c>
      <c r="D614" s="16">
        <v>930000000</v>
      </c>
      <c r="E614" s="16">
        <v>2</v>
      </c>
      <c r="F614" s="16">
        <v>5</v>
      </c>
      <c r="G614" s="20" t="s">
        <v>1443</v>
      </c>
      <c r="H614" s="16"/>
      <c r="I614" s="16" t="s">
        <v>2625</v>
      </c>
      <c r="J614" s="16" t="s">
        <v>2626</v>
      </c>
      <c r="K614" s="16" t="s">
        <v>753</v>
      </c>
    </row>
    <row r="615" spans="1:11" ht="240" hidden="1" x14ac:dyDescent="0.25">
      <c r="A615" s="22">
        <v>612</v>
      </c>
      <c r="B615" s="16" t="s">
        <v>2676</v>
      </c>
      <c r="C615" s="16" t="s">
        <v>2677</v>
      </c>
      <c r="D615" s="16">
        <v>350000000</v>
      </c>
      <c r="E615" s="16">
        <v>2</v>
      </c>
      <c r="F615" s="16">
        <v>5</v>
      </c>
      <c r="G615" s="20" t="s">
        <v>1443</v>
      </c>
      <c r="H615" s="16"/>
      <c r="I615" s="16" t="s">
        <v>2625</v>
      </c>
      <c r="J615" s="16" t="s">
        <v>2626</v>
      </c>
      <c r="K615" s="16" t="s">
        <v>753</v>
      </c>
    </row>
    <row r="616" spans="1:11" ht="240" hidden="1" x14ac:dyDescent="0.25">
      <c r="A616" s="22">
        <v>613</v>
      </c>
      <c r="B616" s="16" t="s">
        <v>2678</v>
      </c>
      <c r="C616" s="16" t="s">
        <v>2679</v>
      </c>
      <c r="D616" s="16">
        <v>550000000</v>
      </c>
      <c r="E616" s="16">
        <v>2</v>
      </c>
      <c r="F616" s="16">
        <v>5</v>
      </c>
      <c r="G616" s="20" t="s">
        <v>1443</v>
      </c>
      <c r="H616" s="16"/>
      <c r="I616" s="16" t="s">
        <v>2625</v>
      </c>
      <c r="J616" s="16" t="s">
        <v>2626</v>
      </c>
      <c r="K616" s="16" t="s">
        <v>753</v>
      </c>
    </row>
    <row r="617" spans="1:11" ht="240" hidden="1" x14ac:dyDescent="0.25">
      <c r="A617" s="22">
        <v>614</v>
      </c>
      <c r="B617" s="16" t="s">
        <v>2680</v>
      </c>
      <c r="C617" s="16" t="s">
        <v>2681</v>
      </c>
      <c r="D617" s="16">
        <v>149006500</v>
      </c>
      <c r="E617" s="16">
        <v>2</v>
      </c>
      <c r="F617" s="16">
        <v>5</v>
      </c>
      <c r="G617" s="20" t="s">
        <v>1443</v>
      </c>
      <c r="H617" s="16"/>
      <c r="I617" s="16" t="s">
        <v>2625</v>
      </c>
      <c r="J617" s="16" t="s">
        <v>2626</v>
      </c>
      <c r="K617" s="16" t="s">
        <v>753</v>
      </c>
    </row>
    <row r="618" spans="1:11" ht="210" hidden="1" x14ac:dyDescent="0.25">
      <c r="A618" s="22">
        <v>615</v>
      </c>
      <c r="B618" s="16" t="s">
        <v>2682</v>
      </c>
      <c r="C618" s="16" t="s">
        <v>2683</v>
      </c>
      <c r="D618" s="16">
        <v>1464000000</v>
      </c>
      <c r="E618" s="16">
        <v>2</v>
      </c>
      <c r="F618" s="16">
        <v>5</v>
      </c>
      <c r="G618" s="20" t="s">
        <v>1443</v>
      </c>
      <c r="H618" s="16"/>
      <c r="I618" s="16" t="s">
        <v>2684</v>
      </c>
      <c r="J618" s="16" t="s">
        <v>2685</v>
      </c>
      <c r="K618" s="16" t="s">
        <v>2686</v>
      </c>
    </row>
    <row r="619" spans="1:11" ht="195" hidden="1" x14ac:dyDescent="0.25">
      <c r="A619" s="22">
        <v>616</v>
      </c>
      <c r="B619" s="16" t="s">
        <v>2687</v>
      </c>
      <c r="C619" s="16" t="s">
        <v>2688</v>
      </c>
      <c r="D619" s="16">
        <v>672500000</v>
      </c>
      <c r="E619" s="16">
        <v>2</v>
      </c>
      <c r="F619" s="16">
        <v>4</v>
      </c>
      <c r="G619" s="20" t="s">
        <v>1443</v>
      </c>
      <c r="H619" s="16"/>
      <c r="I619" s="16" t="s">
        <v>2689</v>
      </c>
      <c r="J619" s="16" t="s">
        <v>2690</v>
      </c>
      <c r="K619" s="16" t="s">
        <v>2691</v>
      </c>
    </row>
    <row r="620" spans="1:11" ht="210" hidden="1" x14ac:dyDescent="0.25">
      <c r="A620" s="22">
        <v>617</v>
      </c>
      <c r="B620" s="16" t="s">
        <v>2692</v>
      </c>
      <c r="C620" s="16" t="s">
        <v>2693</v>
      </c>
      <c r="D620" s="16">
        <v>3162000000</v>
      </c>
      <c r="E620" s="16">
        <v>2</v>
      </c>
      <c r="F620" s="16">
        <v>4</v>
      </c>
      <c r="G620" s="20" t="s">
        <v>1443</v>
      </c>
      <c r="H620" s="16"/>
      <c r="I620" s="16" t="s">
        <v>2694</v>
      </c>
      <c r="J620" s="16" t="s">
        <v>2695</v>
      </c>
      <c r="K620" s="16" t="s">
        <v>2696</v>
      </c>
    </row>
    <row r="621" spans="1:11" ht="210" hidden="1" x14ac:dyDescent="0.25">
      <c r="A621" s="22">
        <v>618</v>
      </c>
      <c r="B621" s="16" t="s">
        <v>2697</v>
      </c>
      <c r="C621" s="16" t="s">
        <v>2698</v>
      </c>
      <c r="D621" s="16">
        <v>166000000</v>
      </c>
      <c r="E621" s="16">
        <v>2</v>
      </c>
      <c r="F621" s="16">
        <v>4</v>
      </c>
      <c r="G621" s="20" t="s">
        <v>1443</v>
      </c>
      <c r="H621" s="16"/>
      <c r="I621" s="16" t="s">
        <v>2699</v>
      </c>
      <c r="J621" s="16" t="s">
        <v>2700</v>
      </c>
      <c r="K621" s="16" t="s">
        <v>2701</v>
      </c>
    </row>
    <row r="622" spans="1:11" ht="270" hidden="1" x14ac:dyDescent="0.25">
      <c r="A622" s="22">
        <v>619</v>
      </c>
      <c r="B622" s="16" t="s">
        <v>2702</v>
      </c>
      <c r="C622" s="16" t="s">
        <v>2703</v>
      </c>
      <c r="D622" s="16">
        <v>61525000</v>
      </c>
      <c r="E622" s="16">
        <v>2</v>
      </c>
      <c r="F622" s="16">
        <v>3</v>
      </c>
      <c r="G622" s="20" t="s">
        <v>1443</v>
      </c>
      <c r="H622" s="16"/>
      <c r="I622" s="16" t="s">
        <v>2704</v>
      </c>
      <c r="J622" s="16" t="s">
        <v>2705</v>
      </c>
      <c r="K622" s="16" t="s">
        <v>2706</v>
      </c>
    </row>
    <row r="623" spans="1:11" ht="345" hidden="1" x14ac:dyDescent="0.25">
      <c r="A623" s="22">
        <v>620</v>
      </c>
      <c r="B623" s="16" t="s">
        <v>2707</v>
      </c>
      <c r="C623" s="16" t="s">
        <v>2708</v>
      </c>
      <c r="D623" s="16">
        <v>44900000</v>
      </c>
      <c r="E623" s="16">
        <v>3</v>
      </c>
      <c r="F623" s="16">
        <v>2</v>
      </c>
      <c r="G623" s="20" t="s">
        <v>1443</v>
      </c>
      <c r="H623" s="16"/>
      <c r="I623" s="16" t="s">
        <v>2709</v>
      </c>
      <c r="J623" s="16" t="s">
        <v>2710</v>
      </c>
      <c r="K623" s="16" t="s">
        <v>2711</v>
      </c>
    </row>
    <row r="624" spans="1:11" ht="345" hidden="1" x14ac:dyDescent="0.25">
      <c r="A624" s="22">
        <v>621</v>
      </c>
      <c r="B624" s="16" t="s">
        <v>2712</v>
      </c>
      <c r="C624" s="16" t="s">
        <v>2713</v>
      </c>
      <c r="D624" s="16">
        <v>55600000</v>
      </c>
      <c r="E624" s="16">
        <v>2</v>
      </c>
      <c r="F624" s="16">
        <v>3</v>
      </c>
      <c r="G624" s="20" t="s">
        <v>1443</v>
      </c>
      <c r="H624" s="16"/>
      <c r="I624" s="16" t="s">
        <v>2714</v>
      </c>
      <c r="J624" s="16" t="s">
        <v>2715</v>
      </c>
      <c r="K624" s="16" t="s">
        <v>2716</v>
      </c>
    </row>
    <row r="625" spans="1:11" ht="390" hidden="1" x14ac:dyDescent="0.25">
      <c r="A625" s="22">
        <v>622</v>
      </c>
      <c r="B625" s="16" t="s">
        <v>2717</v>
      </c>
      <c r="C625" s="16" t="s">
        <v>2718</v>
      </c>
      <c r="D625" s="16">
        <v>118000000</v>
      </c>
      <c r="E625" s="16">
        <v>3</v>
      </c>
      <c r="F625" s="16">
        <v>3</v>
      </c>
      <c r="G625" s="20" t="s">
        <v>1443</v>
      </c>
      <c r="H625" s="16"/>
      <c r="I625" s="16" t="s">
        <v>2719</v>
      </c>
      <c r="J625" s="16" t="s">
        <v>2720</v>
      </c>
      <c r="K625" s="16" t="s">
        <v>2721</v>
      </c>
    </row>
    <row r="626" spans="1:11" ht="225" hidden="1" x14ac:dyDescent="0.25">
      <c r="A626" s="22">
        <v>623</v>
      </c>
      <c r="B626" s="16" t="s">
        <v>2722</v>
      </c>
      <c r="C626" s="16" t="s">
        <v>2723</v>
      </c>
      <c r="D626" s="16">
        <v>28600000</v>
      </c>
      <c r="E626" s="16">
        <v>3</v>
      </c>
      <c r="F626" s="16">
        <v>3</v>
      </c>
      <c r="G626" s="20" t="s">
        <v>1443</v>
      </c>
      <c r="H626" s="16"/>
      <c r="I626" s="16" t="s">
        <v>2724</v>
      </c>
      <c r="J626" s="16" t="s">
        <v>2725</v>
      </c>
      <c r="K626" s="16" t="s">
        <v>2726</v>
      </c>
    </row>
    <row r="627" spans="1:11" ht="240" hidden="1" x14ac:dyDescent="0.25">
      <c r="A627" s="22">
        <v>624</v>
      </c>
      <c r="B627" s="16" t="s">
        <v>2727</v>
      </c>
      <c r="C627" s="16" t="s">
        <v>2728</v>
      </c>
      <c r="D627" s="16">
        <v>170318500</v>
      </c>
      <c r="E627" s="16">
        <v>3</v>
      </c>
      <c r="F627" s="16">
        <v>3</v>
      </c>
      <c r="G627" s="20" t="s">
        <v>1443</v>
      </c>
      <c r="H627" s="16"/>
      <c r="I627" s="16" t="s">
        <v>2729</v>
      </c>
      <c r="J627" s="16" t="s">
        <v>2730</v>
      </c>
      <c r="K627" s="16" t="s">
        <v>2731</v>
      </c>
    </row>
    <row r="628" spans="1:11" ht="240" hidden="1" x14ac:dyDescent="0.25">
      <c r="A628" s="22">
        <v>625</v>
      </c>
      <c r="B628" s="16" t="s">
        <v>2732</v>
      </c>
      <c r="C628" s="16" t="s">
        <v>2733</v>
      </c>
      <c r="D628" s="16">
        <v>115000000</v>
      </c>
      <c r="E628" s="16">
        <v>3</v>
      </c>
      <c r="F628" s="16">
        <v>2</v>
      </c>
      <c r="G628" s="20" t="s">
        <v>1443</v>
      </c>
      <c r="H628" s="16"/>
      <c r="I628" s="16" t="s">
        <v>2734</v>
      </c>
      <c r="J628" s="16" t="s">
        <v>2735</v>
      </c>
      <c r="K628" s="16" t="s">
        <v>2736</v>
      </c>
    </row>
    <row r="629" spans="1:11" ht="165" hidden="1" x14ac:dyDescent="0.25">
      <c r="A629" s="22">
        <v>626</v>
      </c>
      <c r="B629" s="16" t="s">
        <v>2737</v>
      </c>
      <c r="C629" s="16" t="s">
        <v>2738</v>
      </c>
      <c r="D629" s="16">
        <v>91735600</v>
      </c>
      <c r="E629" s="16">
        <v>3</v>
      </c>
      <c r="F629" s="16">
        <v>2</v>
      </c>
      <c r="G629" s="20" t="s">
        <v>1443</v>
      </c>
      <c r="H629" s="16"/>
      <c r="I629" s="16" t="s">
        <v>2739</v>
      </c>
      <c r="J629" s="16" t="s">
        <v>2740</v>
      </c>
      <c r="K629" s="16" t="s">
        <v>2741</v>
      </c>
    </row>
    <row r="630" spans="1:11" ht="180" hidden="1" x14ac:dyDescent="0.25">
      <c r="A630" s="22">
        <v>627</v>
      </c>
      <c r="B630" s="16" t="s">
        <v>2742</v>
      </c>
      <c r="C630" s="16" t="s">
        <v>2743</v>
      </c>
      <c r="D630" s="16">
        <v>19600000</v>
      </c>
      <c r="E630" s="16">
        <v>2</v>
      </c>
      <c r="F630" s="16">
        <v>4</v>
      </c>
      <c r="G630" s="20" t="s">
        <v>1443</v>
      </c>
      <c r="H630" s="16"/>
      <c r="I630" s="16" t="s">
        <v>2744</v>
      </c>
      <c r="J630" s="16" t="s">
        <v>2745</v>
      </c>
      <c r="K630" s="16" t="s">
        <v>2746</v>
      </c>
    </row>
    <row r="631" spans="1:11" ht="300" hidden="1" x14ac:dyDescent="0.25">
      <c r="A631" s="22">
        <v>628</v>
      </c>
      <c r="B631" s="16" t="s">
        <v>2747</v>
      </c>
      <c r="C631" s="16" t="s">
        <v>2748</v>
      </c>
      <c r="D631" s="16">
        <v>17690000</v>
      </c>
      <c r="E631" s="16">
        <v>3</v>
      </c>
      <c r="F631" s="16">
        <v>2</v>
      </c>
      <c r="G631" s="20" t="s">
        <v>1443</v>
      </c>
      <c r="H631" s="16"/>
      <c r="I631" s="16" t="s">
        <v>2749</v>
      </c>
      <c r="J631" s="16" t="s">
        <v>2750</v>
      </c>
      <c r="K631" s="16" t="s">
        <v>2751</v>
      </c>
    </row>
    <row r="632" spans="1:11" ht="255" hidden="1" x14ac:dyDescent="0.25">
      <c r="A632" s="22">
        <v>629</v>
      </c>
      <c r="B632" s="16" t="s">
        <v>2752</v>
      </c>
      <c r="C632" s="16" t="s">
        <v>2753</v>
      </c>
      <c r="D632" s="16">
        <v>40020000</v>
      </c>
      <c r="E632" s="16">
        <v>2</v>
      </c>
      <c r="F632" s="16">
        <v>4</v>
      </c>
      <c r="G632" s="20" t="s">
        <v>1443</v>
      </c>
      <c r="H632" s="16"/>
      <c r="I632" s="16" t="s">
        <v>2754</v>
      </c>
      <c r="J632" s="16" t="s">
        <v>2755</v>
      </c>
      <c r="K632" s="16" t="s">
        <v>2756</v>
      </c>
    </row>
    <row r="633" spans="1:11" ht="165" hidden="1" x14ac:dyDescent="0.25">
      <c r="A633" s="22">
        <v>630</v>
      </c>
      <c r="B633" s="16" t="s">
        <v>2757</v>
      </c>
      <c r="C633" s="16" t="s">
        <v>2758</v>
      </c>
      <c r="D633" s="16">
        <v>23800000</v>
      </c>
      <c r="E633" s="16">
        <v>3</v>
      </c>
      <c r="F633" s="16">
        <v>2</v>
      </c>
      <c r="G633" s="20" t="s">
        <v>1443</v>
      </c>
      <c r="H633" s="16"/>
      <c r="I633" s="16" t="s">
        <v>2759</v>
      </c>
      <c r="J633" s="16" t="s">
        <v>2760</v>
      </c>
      <c r="K633" s="16" t="s">
        <v>2761</v>
      </c>
    </row>
    <row r="634" spans="1:11" ht="150" hidden="1" x14ac:dyDescent="0.25">
      <c r="A634" s="22">
        <v>631</v>
      </c>
      <c r="B634" s="16" t="s">
        <v>2762</v>
      </c>
      <c r="C634" s="16" t="s">
        <v>2763</v>
      </c>
      <c r="D634" s="16">
        <v>51588000</v>
      </c>
      <c r="E634" s="16">
        <v>3</v>
      </c>
      <c r="F634" s="16">
        <v>2</v>
      </c>
      <c r="G634" s="20" t="s">
        <v>1443</v>
      </c>
      <c r="H634" s="16"/>
      <c r="I634" s="16" t="s">
        <v>2764</v>
      </c>
      <c r="J634" s="16" t="s">
        <v>2765</v>
      </c>
      <c r="K634" s="16" t="s">
        <v>2766</v>
      </c>
    </row>
    <row r="635" spans="1:11" ht="180" hidden="1" x14ac:dyDescent="0.25">
      <c r="A635" s="22">
        <v>632</v>
      </c>
      <c r="B635" s="16" t="s">
        <v>2767</v>
      </c>
      <c r="C635" s="16" t="s">
        <v>2768</v>
      </c>
      <c r="D635" s="16">
        <v>101840000</v>
      </c>
      <c r="E635" s="16">
        <v>3</v>
      </c>
      <c r="F635" s="16">
        <v>2</v>
      </c>
      <c r="G635" s="20" t="s">
        <v>1443</v>
      </c>
      <c r="H635" s="16"/>
      <c r="I635" s="16" t="s">
        <v>2769</v>
      </c>
      <c r="J635" s="16" t="s">
        <v>2770</v>
      </c>
      <c r="K635" s="16" t="s">
        <v>2766</v>
      </c>
    </row>
    <row r="636" spans="1:11" ht="195" hidden="1" x14ac:dyDescent="0.25">
      <c r="A636" s="22">
        <v>633</v>
      </c>
      <c r="B636" s="16" t="s">
        <v>2771</v>
      </c>
      <c r="C636" s="16" t="s">
        <v>2772</v>
      </c>
      <c r="D636" s="16">
        <v>35920000</v>
      </c>
      <c r="E636" s="16">
        <v>3</v>
      </c>
      <c r="F636" s="16">
        <v>2</v>
      </c>
      <c r="G636" s="20" t="s">
        <v>1443</v>
      </c>
      <c r="H636" s="16"/>
      <c r="I636" s="16" t="s">
        <v>2773</v>
      </c>
      <c r="J636" s="16" t="s">
        <v>2774</v>
      </c>
      <c r="K636" s="16" t="s">
        <v>2766</v>
      </c>
    </row>
    <row r="637" spans="1:11" ht="180" hidden="1" x14ac:dyDescent="0.25">
      <c r="A637" s="22">
        <v>634</v>
      </c>
      <c r="B637" s="16" t="s">
        <v>2775</v>
      </c>
      <c r="C637" s="16" t="s">
        <v>2776</v>
      </c>
      <c r="D637" s="16">
        <v>299700000</v>
      </c>
      <c r="E637" s="16">
        <v>3</v>
      </c>
      <c r="F637" s="16">
        <v>2</v>
      </c>
      <c r="G637" s="20" t="s">
        <v>1443</v>
      </c>
      <c r="H637" s="16"/>
      <c r="I637" s="16" t="s">
        <v>2777</v>
      </c>
      <c r="J637" s="16" t="s">
        <v>2778</v>
      </c>
      <c r="K637" s="16" t="s">
        <v>2779</v>
      </c>
    </row>
    <row r="638" spans="1:11" ht="165" hidden="1" x14ac:dyDescent="0.25">
      <c r="A638" s="22">
        <v>635</v>
      </c>
      <c r="B638" s="16" t="s">
        <v>2780</v>
      </c>
      <c r="C638" s="16" t="s">
        <v>2781</v>
      </c>
      <c r="D638" s="16">
        <v>31710000</v>
      </c>
      <c r="E638" s="16">
        <v>3</v>
      </c>
      <c r="F638" s="16">
        <v>2</v>
      </c>
      <c r="G638" s="20" t="s">
        <v>1443</v>
      </c>
      <c r="H638" s="16"/>
      <c r="I638" s="16" t="s">
        <v>2782</v>
      </c>
      <c r="J638" s="16" t="s">
        <v>2783</v>
      </c>
      <c r="K638" s="16" t="s">
        <v>2784</v>
      </c>
    </row>
    <row r="639" spans="1:11" ht="180" hidden="1" x14ac:dyDescent="0.25">
      <c r="A639" s="22">
        <v>636</v>
      </c>
      <c r="B639" s="16" t="s">
        <v>2785</v>
      </c>
      <c r="C639" s="16" t="s">
        <v>2786</v>
      </c>
      <c r="D639" s="16">
        <v>28260000</v>
      </c>
      <c r="E639" s="16">
        <v>2</v>
      </c>
      <c r="F639" s="16">
        <v>4</v>
      </c>
      <c r="G639" s="20" t="s">
        <v>1443</v>
      </c>
      <c r="H639" s="16"/>
      <c r="I639" s="16" t="s">
        <v>2787</v>
      </c>
      <c r="J639" s="16" t="s">
        <v>2788</v>
      </c>
      <c r="K639" s="16" t="s">
        <v>2789</v>
      </c>
    </row>
    <row r="640" spans="1:11" ht="210" hidden="1" x14ac:dyDescent="0.25">
      <c r="A640" s="22">
        <v>637</v>
      </c>
      <c r="B640" s="16" t="s">
        <v>2790</v>
      </c>
      <c r="C640" s="16" t="s">
        <v>2791</v>
      </c>
      <c r="D640" s="16">
        <v>194300000</v>
      </c>
      <c r="E640" s="16">
        <v>3</v>
      </c>
      <c r="F640" s="16">
        <v>3</v>
      </c>
      <c r="G640" s="20" t="s">
        <v>1443</v>
      </c>
      <c r="H640" s="16"/>
      <c r="I640" s="16" t="s">
        <v>2792</v>
      </c>
      <c r="J640" s="16" t="s">
        <v>2793</v>
      </c>
      <c r="K640" s="16" t="s">
        <v>2794</v>
      </c>
    </row>
    <row r="641" spans="1:11" ht="270" hidden="1" x14ac:dyDescent="0.25">
      <c r="A641" s="22">
        <v>638</v>
      </c>
      <c r="B641" s="16" t="s">
        <v>2795</v>
      </c>
      <c r="C641" s="16" t="s">
        <v>2796</v>
      </c>
      <c r="D641" s="16">
        <v>118260000</v>
      </c>
      <c r="E641" s="16">
        <v>2</v>
      </c>
      <c r="F641" s="16">
        <v>4</v>
      </c>
      <c r="G641" s="20" t="s">
        <v>1443</v>
      </c>
      <c r="H641" s="16"/>
      <c r="I641" s="16" t="s">
        <v>2797</v>
      </c>
      <c r="J641" s="16" t="s">
        <v>2798</v>
      </c>
      <c r="K641" s="16" t="s">
        <v>2799</v>
      </c>
    </row>
    <row r="642" spans="1:11" ht="255" hidden="1" x14ac:dyDescent="0.25">
      <c r="A642" s="22">
        <v>639</v>
      </c>
      <c r="B642" s="16" t="s">
        <v>2800</v>
      </c>
      <c r="C642" s="16" t="s">
        <v>2801</v>
      </c>
      <c r="D642" s="16">
        <v>364249400</v>
      </c>
      <c r="E642" s="16">
        <v>3</v>
      </c>
      <c r="F642" s="16">
        <v>2</v>
      </c>
      <c r="G642" s="20" t="s">
        <v>1443</v>
      </c>
      <c r="H642" s="16"/>
      <c r="I642" s="16" t="s">
        <v>2802</v>
      </c>
      <c r="J642" s="16" t="s">
        <v>2803</v>
      </c>
      <c r="K642" s="16" t="s">
        <v>2804</v>
      </c>
    </row>
    <row r="643" spans="1:11" ht="285" hidden="1" x14ac:dyDescent="0.25">
      <c r="A643" s="22">
        <v>640</v>
      </c>
      <c r="B643" s="16" t="s">
        <v>2805</v>
      </c>
      <c r="C643" s="16" t="s">
        <v>2806</v>
      </c>
      <c r="D643" s="16">
        <v>60000000</v>
      </c>
      <c r="E643" s="16">
        <v>1</v>
      </c>
      <c r="F643" s="16">
        <v>5</v>
      </c>
      <c r="G643" s="21" t="s">
        <v>2807</v>
      </c>
      <c r="H643" s="16"/>
      <c r="I643" s="16" t="s">
        <v>2808</v>
      </c>
      <c r="J643" s="16" t="s">
        <v>2809</v>
      </c>
      <c r="K643" s="16" t="s">
        <v>2810</v>
      </c>
    </row>
    <row r="644" spans="1:11" ht="135" hidden="1" x14ac:dyDescent="0.25">
      <c r="A644" s="22">
        <v>641</v>
      </c>
      <c r="B644" s="16" t="s">
        <v>2811</v>
      </c>
      <c r="C644" s="16" t="s">
        <v>2812</v>
      </c>
      <c r="D644" s="16">
        <v>32101000</v>
      </c>
      <c r="E644" s="16">
        <v>2</v>
      </c>
      <c r="F644" s="16">
        <v>2</v>
      </c>
      <c r="G644" s="21" t="s">
        <v>2807</v>
      </c>
      <c r="H644" s="16"/>
      <c r="I644" s="16" t="s">
        <v>2813</v>
      </c>
      <c r="J644" s="16" t="s">
        <v>2814</v>
      </c>
      <c r="K644" s="16" t="s">
        <v>2815</v>
      </c>
    </row>
    <row r="645" spans="1:11" ht="195" hidden="1" x14ac:dyDescent="0.25">
      <c r="A645" s="22">
        <v>642</v>
      </c>
      <c r="B645" s="16" t="s">
        <v>2816</v>
      </c>
      <c r="C645" s="16" t="s">
        <v>2817</v>
      </c>
      <c r="D645" s="16">
        <v>21332000</v>
      </c>
      <c r="E645" s="16">
        <v>1</v>
      </c>
      <c r="F645" s="16">
        <v>4</v>
      </c>
      <c r="G645" s="21" t="s">
        <v>2807</v>
      </c>
      <c r="H645" s="16"/>
      <c r="I645" s="16" t="s">
        <v>129</v>
      </c>
      <c r="J645" s="16" t="s">
        <v>997</v>
      </c>
      <c r="K645" s="16" t="s">
        <v>998</v>
      </c>
    </row>
    <row r="646" spans="1:11" ht="240" hidden="1" x14ac:dyDescent="0.25">
      <c r="A646" s="22">
        <v>643</v>
      </c>
      <c r="B646" s="16" t="s">
        <v>2818</v>
      </c>
      <c r="C646" s="16" t="s">
        <v>2819</v>
      </c>
      <c r="D646" s="16">
        <v>6654000</v>
      </c>
      <c r="E646" s="16">
        <v>1</v>
      </c>
      <c r="F646" s="16">
        <v>5</v>
      </c>
      <c r="G646" s="21" t="s">
        <v>2807</v>
      </c>
      <c r="H646" s="16"/>
      <c r="I646" s="16" t="s">
        <v>129</v>
      </c>
      <c r="J646" s="16" t="s">
        <v>130</v>
      </c>
      <c r="K646" s="16" t="s">
        <v>131</v>
      </c>
    </row>
    <row r="647" spans="1:11" ht="240" hidden="1" x14ac:dyDescent="0.25">
      <c r="A647" s="22">
        <v>644</v>
      </c>
      <c r="B647" s="16" t="s">
        <v>2820</v>
      </c>
      <c r="C647" s="16" t="s">
        <v>2821</v>
      </c>
      <c r="D647" s="16">
        <v>6654000</v>
      </c>
      <c r="E647" s="16">
        <v>1</v>
      </c>
      <c r="F647" s="16">
        <v>4</v>
      </c>
      <c r="G647" s="21" t="s">
        <v>2807</v>
      </c>
      <c r="H647" s="16"/>
      <c r="I647" s="16" t="s">
        <v>129</v>
      </c>
      <c r="J647" s="16" t="s">
        <v>130</v>
      </c>
      <c r="K647" s="16" t="s">
        <v>2822</v>
      </c>
    </row>
    <row r="648" spans="1:11" ht="270" hidden="1" x14ac:dyDescent="0.25">
      <c r="A648" s="22">
        <v>645</v>
      </c>
      <c r="B648" s="16" t="s">
        <v>2823</v>
      </c>
      <c r="C648" s="16" t="s">
        <v>2824</v>
      </c>
      <c r="D648" s="16">
        <v>127227000</v>
      </c>
      <c r="E648" s="16">
        <v>1</v>
      </c>
      <c r="F648" s="16">
        <v>3</v>
      </c>
      <c r="G648" s="21" t="s">
        <v>2807</v>
      </c>
      <c r="H648" s="16"/>
      <c r="I648" s="16" t="s">
        <v>140</v>
      </c>
      <c r="J648" s="16" t="s">
        <v>2825</v>
      </c>
      <c r="K648" s="16" t="s">
        <v>142</v>
      </c>
    </row>
    <row r="649" spans="1:11" ht="225" hidden="1" x14ac:dyDescent="0.25">
      <c r="A649" s="22">
        <v>646</v>
      </c>
      <c r="B649" s="16" t="s">
        <v>2826</v>
      </c>
      <c r="C649" s="16" t="s">
        <v>2827</v>
      </c>
      <c r="D649" s="16">
        <v>49447289</v>
      </c>
      <c r="E649" s="16">
        <v>1</v>
      </c>
      <c r="F649" s="16">
        <v>3</v>
      </c>
      <c r="G649" s="21" t="s">
        <v>2807</v>
      </c>
      <c r="H649" s="16"/>
      <c r="I649" s="16" t="s">
        <v>380</v>
      </c>
      <c r="J649" s="16" t="s">
        <v>2828</v>
      </c>
      <c r="K649" s="16" t="s">
        <v>1563</v>
      </c>
    </row>
    <row r="650" spans="1:11" ht="270" hidden="1" x14ac:dyDescent="0.25">
      <c r="A650" s="22">
        <v>647</v>
      </c>
      <c r="B650" s="16" t="s">
        <v>2829</v>
      </c>
      <c r="C650" s="16" t="s">
        <v>2830</v>
      </c>
      <c r="D650" s="16">
        <v>82477440</v>
      </c>
      <c r="E650" s="16">
        <v>1</v>
      </c>
      <c r="F650" s="16">
        <v>3</v>
      </c>
      <c r="G650" s="21" t="s">
        <v>2807</v>
      </c>
      <c r="H650" s="16"/>
      <c r="I650" s="16" t="s">
        <v>380</v>
      </c>
      <c r="J650" s="16" t="s">
        <v>910</v>
      </c>
      <c r="K650" s="16" t="s">
        <v>1124</v>
      </c>
    </row>
    <row r="651" spans="1:11" ht="195" hidden="1" x14ac:dyDescent="0.25">
      <c r="A651" s="22">
        <v>648</v>
      </c>
      <c r="B651" s="16" t="s">
        <v>2831</v>
      </c>
      <c r="C651" s="16" t="s">
        <v>2832</v>
      </c>
      <c r="D651" s="16">
        <v>24300000</v>
      </c>
      <c r="E651" s="16">
        <v>1</v>
      </c>
      <c r="F651" s="16">
        <v>4</v>
      </c>
      <c r="G651" s="21" t="s">
        <v>2807</v>
      </c>
      <c r="H651" s="16"/>
      <c r="I651" s="16" t="s">
        <v>129</v>
      </c>
      <c r="J651" s="16" t="s">
        <v>997</v>
      </c>
      <c r="K651" s="16" t="s">
        <v>998</v>
      </c>
    </row>
    <row r="652" spans="1:11" ht="315" hidden="1" x14ac:dyDescent="0.25">
      <c r="A652" s="22">
        <v>649</v>
      </c>
      <c r="B652" s="16" t="s">
        <v>2833</v>
      </c>
      <c r="C652" s="16" t="s">
        <v>2834</v>
      </c>
      <c r="D652" s="16">
        <v>14450000</v>
      </c>
      <c r="E652" s="16">
        <v>1</v>
      </c>
      <c r="F652" s="16">
        <v>3</v>
      </c>
      <c r="G652" s="21" t="s">
        <v>2807</v>
      </c>
      <c r="H652" s="16"/>
      <c r="I652" s="16" t="s">
        <v>2835</v>
      </c>
      <c r="J652" s="16" t="s">
        <v>2836</v>
      </c>
      <c r="K652" s="16" t="s">
        <v>2837</v>
      </c>
    </row>
    <row r="653" spans="1:11" ht="255" hidden="1" x14ac:dyDescent="0.25">
      <c r="A653" s="22">
        <v>650</v>
      </c>
      <c r="B653" s="16" t="s">
        <v>2838</v>
      </c>
      <c r="C653" s="16" t="s">
        <v>2839</v>
      </c>
      <c r="D653" s="16">
        <v>16956000</v>
      </c>
      <c r="E653" s="16">
        <v>1</v>
      </c>
      <c r="F653" s="16">
        <v>3</v>
      </c>
      <c r="G653" s="21" t="s">
        <v>2807</v>
      </c>
      <c r="H653" s="16"/>
      <c r="I653" s="16" t="s">
        <v>2840</v>
      </c>
      <c r="J653" s="16" t="s">
        <v>2841</v>
      </c>
      <c r="K653" s="16" t="s">
        <v>2842</v>
      </c>
    </row>
    <row r="654" spans="1:11" ht="210" hidden="1" x14ac:dyDescent="0.25">
      <c r="A654" s="22">
        <v>651</v>
      </c>
      <c r="B654" s="16" t="s">
        <v>2843</v>
      </c>
      <c r="C654" s="16" t="s">
        <v>2844</v>
      </c>
      <c r="D654" s="16">
        <v>10545000</v>
      </c>
      <c r="E654" s="16">
        <v>2</v>
      </c>
      <c r="F654" s="16">
        <v>2</v>
      </c>
      <c r="G654" s="21" t="s">
        <v>2807</v>
      </c>
      <c r="H654" s="16"/>
      <c r="I654" s="16" t="s">
        <v>2845</v>
      </c>
      <c r="J654" s="16" t="s">
        <v>2846</v>
      </c>
      <c r="K654" s="16" t="s">
        <v>2847</v>
      </c>
    </row>
    <row r="655" spans="1:11" ht="210" hidden="1" x14ac:dyDescent="0.25">
      <c r="A655" s="22">
        <v>652</v>
      </c>
      <c r="B655" s="16" t="s">
        <v>2848</v>
      </c>
      <c r="C655" s="16" t="s">
        <v>2849</v>
      </c>
      <c r="D655" s="16">
        <v>7350000</v>
      </c>
      <c r="E655" s="16">
        <v>2</v>
      </c>
      <c r="F655" s="16">
        <v>2</v>
      </c>
      <c r="G655" s="21" t="s">
        <v>2807</v>
      </c>
      <c r="H655" s="16"/>
      <c r="I655" s="16" t="s">
        <v>2845</v>
      </c>
      <c r="J655" s="16" t="s">
        <v>2846</v>
      </c>
      <c r="K655" s="16" t="s">
        <v>2847</v>
      </c>
    </row>
    <row r="656" spans="1:11" ht="360" hidden="1" x14ac:dyDescent="0.25">
      <c r="A656" s="22">
        <v>653</v>
      </c>
      <c r="B656" s="16" t="s">
        <v>2850</v>
      </c>
      <c r="C656" s="16" t="s">
        <v>2851</v>
      </c>
      <c r="D656" s="16">
        <v>5275000</v>
      </c>
      <c r="E656" s="16">
        <v>2</v>
      </c>
      <c r="F656" s="16">
        <v>1</v>
      </c>
      <c r="G656" s="21" t="s">
        <v>2807</v>
      </c>
      <c r="H656" s="16"/>
      <c r="I656" s="16" t="s">
        <v>2852</v>
      </c>
      <c r="J656" s="16" t="s">
        <v>2853</v>
      </c>
      <c r="K656" s="16" t="s">
        <v>2854</v>
      </c>
    </row>
    <row r="657" spans="1:11" ht="195" hidden="1" x14ac:dyDescent="0.25">
      <c r="A657" s="22">
        <v>654</v>
      </c>
      <c r="B657" s="16" t="s">
        <v>2855</v>
      </c>
      <c r="C657" s="16" t="s">
        <v>2856</v>
      </c>
      <c r="D657" s="16">
        <v>25290000</v>
      </c>
      <c r="E657" s="16">
        <v>2</v>
      </c>
      <c r="F657" s="16">
        <v>2</v>
      </c>
      <c r="G657" s="21" t="s">
        <v>2807</v>
      </c>
      <c r="H657" s="16"/>
      <c r="I657" s="16" t="s">
        <v>2857</v>
      </c>
      <c r="J657" s="16" t="s">
        <v>2858</v>
      </c>
      <c r="K657" s="16" t="s">
        <v>2859</v>
      </c>
    </row>
    <row r="658" spans="1:11" ht="195" hidden="1" x14ac:dyDescent="0.25">
      <c r="A658" s="22">
        <v>655</v>
      </c>
      <c r="B658" s="16" t="s">
        <v>2860</v>
      </c>
      <c r="C658" s="16" t="s">
        <v>2861</v>
      </c>
      <c r="D658" s="16">
        <v>11405000</v>
      </c>
      <c r="E658" s="16">
        <v>1</v>
      </c>
      <c r="F658" s="16">
        <v>2</v>
      </c>
      <c r="G658" s="21" t="s">
        <v>2807</v>
      </c>
      <c r="H658" s="16"/>
      <c r="I658" s="16" t="s">
        <v>2862</v>
      </c>
      <c r="J658" s="16" t="s">
        <v>2863</v>
      </c>
      <c r="K658" s="16" t="s">
        <v>2864</v>
      </c>
    </row>
    <row r="659" spans="1:11" ht="270" hidden="1" x14ac:dyDescent="0.25">
      <c r="A659" s="22">
        <v>656</v>
      </c>
      <c r="B659" s="16" t="s">
        <v>2865</v>
      </c>
      <c r="C659" s="16" t="s">
        <v>2866</v>
      </c>
      <c r="D659" s="16">
        <v>2822500</v>
      </c>
      <c r="E659" s="16">
        <v>2</v>
      </c>
      <c r="F659" s="16">
        <v>2</v>
      </c>
      <c r="G659" s="21" t="s">
        <v>2807</v>
      </c>
      <c r="H659" s="16"/>
      <c r="I659" s="16" t="s">
        <v>2867</v>
      </c>
      <c r="J659" s="16" t="s">
        <v>2868</v>
      </c>
      <c r="K659" s="16" t="s">
        <v>2869</v>
      </c>
    </row>
    <row r="660" spans="1:11" ht="409.5" hidden="1" x14ac:dyDescent="0.25">
      <c r="A660" s="22">
        <v>657</v>
      </c>
      <c r="B660" s="16" t="s">
        <v>2870</v>
      </c>
      <c r="C660" s="16" t="s">
        <v>2871</v>
      </c>
      <c r="D660" s="16">
        <v>39669000</v>
      </c>
      <c r="E660" s="16">
        <v>1</v>
      </c>
      <c r="F660" s="16">
        <v>3</v>
      </c>
      <c r="G660" s="21" t="s">
        <v>2807</v>
      </c>
      <c r="H660" s="16"/>
      <c r="I660" s="16" t="s">
        <v>2872</v>
      </c>
      <c r="J660" s="16" t="s">
        <v>2873</v>
      </c>
      <c r="K660" s="16" t="s">
        <v>2874</v>
      </c>
    </row>
    <row r="661" spans="1:11" ht="300" hidden="1" x14ac:dyDescent="0.25">
      <c r="A661" s="22">
        <v>658</v>
      </c>
      <c r="B661" s="16" t="s">
        <v>2875</v>
      </c>
      <c r="C661" s="16" t="s">
        <v>2876</v>
      </c>
      <c r="D661" s="16">
        <v>17383000</v>
      </c>
      <c r="E661" s="16">
        <v>2</v>
      </c>
      <c r="F661" s="16">
        <v>2</v>
      </c>
      <c r="G661" s="21" t="s">
        <v>2807</v>
      </c>
      <c r="H661" s="16"/>
      <c r="I661" s="16" t="s">
        <v>2877</v>
      </c>
      <c r="J661" s="16" t="s">
        <v>2878</v>
      </c>
      <c r="K661" s="16" t="s">
        <v>2879</v>
      </c>
    </row>
    <row r="662" spans="1:11" ht="345" hidden="1" x14ac:dyDescent="0.25">
      <c r="A662" s="22">
        <v>659</v>
      </c>
      <c r="B662" s="16" t="s">
        <v>2880</v>
      </c>
      <c r="C662" s="16" t="s">
        <v>2881</v>
      </c>
      <c r="D662" s="16">
        <v>7625000</v>
      </c>
      <c r="E662" s="16">
        <v>2</v>
      </c>
      <c r="F662" s="16">
        <v>2</v>
      </c>
      <c r="G662" s="21" t="s">
        <v>2807</v>
      </c>
      <c r="H662" s="16"/>
      <c r="I662" s="16" t="s">
        <v>2882</v>
      </c>
      <c r="J662" s="16" t="s">
        <v>2883</v>
      </c>
      <c r="K662" s="16" t="s">
        <v>2884</v>
      </c>
    </row>
    <row r="663" spans="1:11" ht="345" hidden="1" x14ac:dyDescent="0.25">
      <c r="A663" s="22">
        <v>660</v>
      </c>
      <c r="B663" s="16" t="s">
        <v>2885</v>
      </c>
      <c r="C663" s="16" t="s">
        <v>2886</v>
      </c>
      <c r="D663" s="16">
        <v>7053000</v>
      </c>
      <c r="E663" s="16">
        <v>2</v>
      </c>
      <c r="F663" s="16">
        <v>2</v>
      </c>
      <c r="G663" s="21" t="s">
        <v>2807</v>
      </c>
      <c r="H663" s="16"/>
      <c r="I663" s="16" t="s">
        <v>2887</v>
      </c>
      <c r="J663" s="16" t="s">
        <v>2888</v>
      </c>
      <c r="K663" s="16" t="s">
        <v>2884</v>
      </c>
    </row>
    <row r="664" spans="1:11" ht="390" hidden="1" x14ac:dyDescent="0.25">
      <c r="A664" s="22">
        <v>661</v>
      </c>
      <c r="B664" s="16" t="s">
        <v>2889</v>
      </c>
      <c r="C664" s="16" t="s">
        <v>2890</v>
      </c>
      <c r="D664" s="16">
        <v>23925000</v>
      </c>
      <c r="E664" s="16">
        <v>1</v>
      </c>
      <c r="F664" s="16">
        <v>3</v>
      </c>
      <c r="G664" s="21" t="s">
        <v>2807</v>
      </c>
      <c r="H664" s="16"/>
      <c r="I664" s="16" t="s">
        <v>2891</v>
      </c>
      <c r="J664" s="16" t="s">
        <v>2892</v>
      </c>
      <c r="K664" s="16" t="s">
        <v>2893</v>
      </c>
    </row>
    <row r="665" spans="1:11" ht="409.5" hidden="1" x14ac:dyDescent="0.25">
      <c r="A665" s="22">
        <v>662</v>
      </c>
      <c r="B665" s="16" t="s">
        <v>2894</v>
      </c>
      <c r="C665" s="16" t="s">
        <v>2895</v>
      </c>
      <c r="D665" s="16">
        <v>12370000</v>
      </c>
      <c r="E665" s="16">
        <v>2</v>
      </c>
      <c r="F665" s="16">
        <v>2</v>
      </c>
      <c r="G665" s="21" t="s">
        <v>2807</v>
      </c>
      <c r="H665" s="16"/>
      <c r="I665" s="16" t="s">
        <v>2896</v>
      </c>
      <c r="J665" s="16" t="s">
        <v>2897</v>
      </c>
      <c r="K665" s="16" t="s">
        <v>2898</v>
      </c>
    </row>
    <row r="666" spans="1:11" ht="315" hidden="1" x14ac:dyDescent="0.25">
      <c r="A666" s="22">
        <v>663</v>
      </c>
      <c r="B666" s="16" t="s">
        <v>2899</v>
      </c>
      <c r="C666" s="16" t="s">
        <v>2900</v>
      </c>
      <c r="D666" s="16">
        <v>21550000</v>
      </c>
      <c r="E666" s="16">
        <v>1</v>
      </c>
      <c r="F666" s="16">
        <v>3</v>
      </c>
      <c r="G666" s="21" t="s">
        <v>2807</v>
      </c>
      <c r="H666" s="16"/>
      <c r="I666" s="16" t="s">
        <v>2835</v>
      </c>
      <c r="J666" s="16" t="s">
        <v>2836</v>
      </c>
      <c r="K666" s="16" t="s">
        <v>2837</v>
      </c>
    </row>
    <row r="667" spans="1:11" ht="255" hidden="1" x14ac:dyDescent="0.25">
      <c r="A667" s="22">
        <v>664</v>
      </c>
      <c r="B667" s="16" t="s">
        <v>2901</v>
      </c>
      <c r="C667" s="16" t="s">
        <v>2902</v>
      </c>
      <c r="D667" s="16">
        <v>24329000</v>
      </c>
      <c r="E667" s="16">
        <v>1</v>
      </c>
      <c r="F667" s="16">
        <v>3</v>
      </c>
      <c r="G667" s="21" t="s">
        <v>2807</v>
      </c>
      <c r="H667" s="16"/>
      <c r="I667" s="16" t="s">
        <v>2840</v>
      </c>
      <c r="J667" s="16" t="s">
        <v>2841</v>
      </c>
      <c r="K667" s="16" t="s">
        <v>2842</v>
      </c>
    </row>
    <row r="668" spans="1:11" ht="210" hidden="1" x14ac:dyDescent="0.25">
      <c r="A668" s="22">
        <v>665</v>
      </c>
      <c r="B668" s="16" t="s">
        <v>2903</v>
      </c>
      <c r="C668" s="16" t="s">
        <v>2904</v>
      </c>
      <c r="D668" s="16">
        <v>11620000</v>
      </c>
      <c r="E668" s="16">
        <v>2</v>
      </c>
      <c r="F668" s="16">
        <v>2</v>
      </c>
      <c r="G668" s="21" t="s">
        <v>2807</v>
      </c>
      <c r="H668" s="16"/>
      <c r="I668" s="16" t="s">
        <v>2845</v>
      </c>
      <c r="J668" s="16" t="s">
        <v>2846</v>
      </c>
      <c r="K668" s="16" t="s">
        <v>2847</v>
      </c>
    </row>
    <row r="669" spans="1:11" ht="360" hidden="1" x14ac:dyDescent="0.25">
      <c r="A669" s="22">
        <v>666</v>
      </c>
      <c r="B669" s="16" t="s">
        <v>2905</v>
      </c>
      <c r="C669" s="16" t="s">
        <v>2906</v>
      </c>
      <c r="D669" s="16">
        <v>9180000</v>
      </c>
      <c r="E669" s="16">
        <v>2</v>
      </c>
      <c r="F669" s="16">
        <v>2</v>
      </c>
      <c r="G669" s="21" t="s">
        <v>2807</v>
      </c>
      <c r="H669" s="16"/>
      <c r="I669" s="16" t="s">
        <v>2907</v>
      </c>
      <c r="J669" s="16" t="s">
        <v>2908</v>
      </c>
      <c r="K669" s="16" t="s">
        <v>2909</v>
      </c>
    </row>
    <row r="670" spans="1:11" ht="210" hidden="1" x14ac:dyDescent="0.25">
      <c r="A670" s="22">
        <v>667</v>
      </c>
      <c r="B670" s="16" t="s">
        <v>2910</v>
      </c>
      <c r="C670" s="16" t="s">
        <v>2911</v>
      </c>
      <c r="D670" s="16">
        <v>9248000</v>
      </c>
      <c r="E670" s="16">
        <v>1</v>
      </c>
      <c r="F670" s="16">
        <v>3</v>
      </c>
      <c r="G670" s="21" t="s">
        <v>2807</v>
      </c>
      <c r="H670" s="16"/>
      <c r="I670" s="16" t="s">
        <v>2912</v>
      </c>
      <c r="J670" s="16" t="s">
        <v>2913</v>
      </c>
      <c r="K670" s="16" t="s">
        <v>2914</v>
      </c>
    </row>
    <row r="671" spans="1:11" ht="240" hidden="1" x14ac:dyDescent="0.25">
      <c r="A671" s="22">
        <v>668</v>
      </c>
      <c r="B671" s="16" t="s">
        <v>2915</v>
      </c>
      <c r="C671" s="16" t="s">
        <v>2916</v>
      </c>
      <c r="D671" s="16">
        <v>11609500</v>
      </c>
      <c r="E671" s="16">
        <v>1</v>
      </c>
      <c r="F671" s="16">
        <v>5</v>
      </c>
      <c r="G671" s="21" t="s">
        <v>2807</v>
      </c>
      <c r="H671" s="16"/>
      <c r="I671" s="16" t="s">
        <v>129</v>
      </c>
      <c r="J671" s="16" t="s">
        <v>130</v>
      </c>
      <c r="K671" s="16" t="s">
        <v>131</v>
      </c>
    </row>
    <row r="672" spans="1:11" ht="240" hidden="1" x14ac:dyDescent="0.25">
      <c r="A672" s="22">
        <v>669</v>
      </c>
      <c r="B672" s="16" t="s">
        <v>2917</v>
      </c>
      <c r="C672" s="16" t="s">
        <v>2918</v>
      </c>
      <c r="D672" s="16">
        <v>11643000</v>
      </c>
      <c r="E672" s="16">
        <v>1</v>
      </c>
      <c r="F672" s="16">
        <v>5</v>
      </c>
      <c r="G672" s="21" t="s">
        <v>2807</v>
      </c>
      <c r="H672" s="16"/>
      <c r="I672" s="16" t="s">
        <v>129</v>
      </c>
      <c r="J672" s="16" t="s">
        <v>130</v>
      </c>
      <c r="K672" s="16" t="s">
        <v>131</v>
      </c>
    </row>
    <row r="673" spans="1:11" ht="225" hidden="1" x14ac:dyDescent="0.25">
      <c r="A673" s="22">
        <v>670</v>
      </c>
      <c r="B673" s="16" t="s">
        <v>2919</v>
      </c>
      <c r="C673" s="16" t="s">
        <v>2920</v>
      </c>
      <c r="D673" s="16">
        <v>32600000</v>
      </c>
      <c r="E673" s="16">
        <v>1</v>
      </c>
      <c r="F673" s="16">
        <v>4</v>
      </c>
      <c r="G673" s="21" t="s">
        <v>2807</v>
      </c>
      <c r="H673" s="16"/>
      <c r="I673" s="16" t="s">
        <v>1599</v>
      </c>
      <c r="J673" s="16" t="s">
        <v>2921</v>
      </c>
      <c r="K673" s="16" t="s">
        <v>2922</v>
      </c>
    </row>
    <row r="674" spans="1:11" ht="240" hidden="1" x14ac:dyDescent="0.25">
      <c r="A674" s="22">
        <v>671</v>
      </c>
      <c r="B674" s="16" t="s">
        <v>2923</v>
      </c>
      <c r="C674" s="16" t="s">
        <v>2924</v>
      </c>
      <c r="D674" s="16">
        <v>10020000</v>
      </c>
      <c r="E674" s="16">
        <v>2</v>
      </c>
      <c r="F674" s="16">
        <v>2</v>
      </c>
      <c r="G674" s="21" t="s">
        <v>2807</v>
      </c>
      <c r="H674" s="16"/>
      <c r="I674" s="16" t="s">
        <v>2925</v>
      </c>
      <c r="J674" s="16" t="s">
        <v>2926</v>
      </c>
      <c r="K674" s="16" t="s">
        <v>2927</v>
      </c>
    </row>
    <row r="675" spans="1:11" ht="390" hidden="1" x14ac:dyDescent="0.25">
      <c r="A675" s="22">
        <v>672</v>
      </c>
      <c r="B675" s="16" t="s">
        <v>2928</v>
      </c>
      <c r="C675" s="16" t="s">
        <v>2929</v>
      </c>
      <c r="D675" s="16">
        <v>11900000</v>
      </c>
      <c r="E675" s="16">
        <v>1</v>
      </c>
      <c r="F675" s="16">
        <v>1</v>
      </c>
      <c r="G675" s="21" t="s">
        <v>2807</v>
      </c>
      <c r="H675" s="16"/>
      <c r="I675" s="16" t="s">
        <v>2930</v>
      </c>
      <c r="J675" s="16" t="s">
        <v>2931</v>
      </c>
      <c r="K675" s="16" t="s">
        <v>2932</v>
      </c>
    </row>
    <row r="676" spans="1:11" ht="390" hidden="1" x14ac:dyDescent="0.25">
      <c r="A676" s="22">
        <v>673</v>
      </c>
      <c r="B676" s="16" t="s">
        <v>2933</v>
      </c>
      <c r="C676" s="16" t="s">
        <v>2934</v>
      </c>
      <c r="D676" s="16">
        <v>132100000</v>
      </c>
      <c r="E676" s="16">
        <v>2</v>
      </c>
      <c r="F676" s="16">
        <v>2</v>
      </c>
      <c r="G676" s="21" t="s">
        <v>2807</v>
      </c>
      <c r="H676" s="16"/>
      <c r="I676" s="16" t="s">
        <v>2935</v>
      </c>
      <c r="J676" s="16" t="s">
        <v>2936</v>
      </c>
      <c r="K676" s="16" t="s">
        <v>2937</v>
      </c>
    </row>
    <row r="677" spans="1:11" ht="255" hidden="1" x14ac:dyDescent="0.25">
      <c r="A677" s="22">
        <v>674</v>
      </c>
      <c r="B677" s="16" t="s">
        <v>2938</v>
      </c>
      <c r="C677" s="16" t="s">
        <v>2939</v>
      </c>
      <c r="D677" s="16">
        <v>13000000</v>
      </c>
      <c r="E677" s="16">
        <v>2</v>
      </c>
      <c r="F677" s="16">
        <v>2</v>
      </c>
      <c r="G677" s="21" t="s">
        <v>2807</v>
      </c>
      <c r="H677" s="16"/>
      <c r="I677" s="16" t="s">
        <v>2940</v>
      </c>
      <c r="J677" s="16" t="s">
        <v>2941</v>
      </c>
      <c r="K677" s="16" t="s">
        <v>2942</v>
      </c>
    </row>
    <row r="678" spans="1:11" ht="165" hidden="1" x14ac:dyDescent="0.25">
      <c r="A678" s="22">
        <v>675</v>
      </c>
      <c r="B678" s="16" t="s">
        <v>2943</v>
      </c>
      <c r="C678" s="16" t="s">
        <v>2944</v>
      </c>
      <c r="D678" s="16">
        <v>7705000</v>
      </c>
      <c r="E678" s="16">
        <v>1</v>
      </c>
      <c r="F678" s="16">
        <v>3</v>
      </c>
      <c r="G678" s="21" t="s">
        <v>2807</v>
      </c>
      <c r="H678" s="16"/>
      <c r="I678" s="16" t="s">
        <v>2945</v>
      </c>
      <c r="J678" s="16" t="s">
        <v>2946</v>
      </c>
      <c r="K678" s="16" t="s">
        <v>2947</v>
      </c>
    </row>
    <row r="679" spans="1:11" ht="409.5" hidden="1" x14ac:dyDescent="0.25">
      <c r="A679" s="22">
        <v>676</v>
      </c>
      <c r="B679" s="16" t="s">
        <v>2948</v>
      </c>
      <c r="C679" s="16" t="s">
        <v>2949</v>
      </c>
      <c r="D679" s="16">
        <v>10000000</v>
      </c>
      <c r="E679" s="16">
        <v>1</v>
      </c>
      <c r="F679" s="16">
        <v>3</v>
      </c>
      <c r="G679" s="21" t="s">
        <v>2807</v>
      </c>
      <c r="H679" s="16"/>
      <c r="I679" s="16" t="s">
        <v>2950</v>
      </c>
      <c r="J679" s="16" t="s">
        <v>2951</v>
      </c>
      <c r="K679" s="16" t="s">
        <v>2952</v>
      </c>
    </row>
    <row r="680" spans="1:11" ht="409.5" hidden="1" x14ac:dyDescent="0.25">
      <c r="A680" s="22">
        <v>677</v>
      </c>
      <c r="B680" s="16" t="s">
        <v>2953</v>
      </c>
      <c r="C680" s="16" t="s">
        <v>2954</v>
      </c>
      <c r="D680" s="16">
        <v>6000000</v>
      </c>
      <c r="E680" s="16">
        <v>2</v>
      </c>
      <c r="F680" s="16">
        <v>1</v>
      </c>
      <c r="G680" s="21" t="s">
        <v>2807</v>
      </c>
      <c r="H680" s="16"/>
      <c r="I680" s="16" t="s">
        <v>2955</v>
      </c>
      <c r="J680" s="16" t="s">
        <v>2956</v>
      </c>
      <c r="K680" s="16" t="s">
        <v>2957</v>
      </c>
    </row>
    <row r="681" spans="1:11" ht="409.5" hidden="1" x14ac:dyDescent="0.25">
      <c r="A681" s="22">
        <v>678</v>
      </c>
      <c r="B681" s="16" t="s">
        <v>2958</v>
      </c>
      <c r="C681" s="16" t="s">
        <v>2959</v>
      </c>
      <c r="D681" s="16">
        <v>6000000</v>
      </c>
      <c r="E681" s="16">
        <v>2</v>
      </c>
      <c r="F681" s="16">
        <v>1</v>
      </c>
      <c r="G681" s="21" t="s">
        <v>2807</v>
      </c>
      <c r="H681" s="16"/>
      <c r="I681" s="16" t="s">
        <v>2960</v>
      </c>
      <c r="J681" s="16" t="s">
        <v>2961</v>
      </c>
      <c r="K681" s="16" t="s">
        <v>2957</v>
      </c>
    </row>
    <row r="682" spans="1:11" ht="285" hidden="1" x14ac:dyDescent="0.25">
      <c r="A682" s="22">
        <v>679</v>
      </c>
      <c r="B682" s="16" t="s">
        <v>2962</v>
      </c>
      <c r="C682" s="16" t="s">
        <v>2963</v>
      </c>
      <c r="D682" s="16">
        <v>23720000</v>
      </c>
      <c r="E682" s="16">
        <v>2</v>
      </c>
      <c r="F682" s="16">
        <v>2</v>
      </c>
      <c r="G682" s="21" t="s">
        <v>2807</v>
      </c>
      <c r="H682" s="16"/>
      <c r="I682" s="16" t="s">
        <v>2964</v>
      </c>
      <c r="J682" s="16" t="s">
        <v>2965</v>
      </c>
      <c r="K682" s="16" t="s">
        <v>2966</v>
      </c>
    </row>
    <row r="683" spans="1:11" ht="330" hidden="1" x14ac:dyDescent="0.25">
      <c r="A683" s="22">
        <v>680</v>
      </c>
      <c r="B683" s="16" t="s">
        <v>2967</v>
      </c>
      <c r="C683" s="16" t="s">
        <v>2968</v>
      </c>
      <c r="D683" s="16">
        <v>99230000</v>
      </c>
      <c r="E683" s="16">
        <v>1</v>
      </c>
      <c r="F683" s="16">
        <v>3</v>
      </c>
      <c r="G683" s="21" t="s">
        <v>2807</v>
      </c>
      <c r="H683" s="16"/>
      <c r="I683" s="16" t="s">
        <v>1663</v>
      </c>
      <c r="J683" s="16" t="s">
        <v>2969</v>
      </c>
      <c r="K683" s="16" t="s">
        <v>2970</v>
      </c>
    </row>
    <row r="684" spans="1:11" ht="180" hidden="1" x14ac:dyDescent="0.25">
      <c r="A684" s="22">
        <v>681</v>
      </c>
      <c r="B684" s="16" t="s">
        <v>2971</v>
      </c>
      <c r="C684" s="16" t="s">
        <v>2972</v>
      </c>
      <c r="D684" s="16">
        <v>4000000</v>
      </c>
      <c r="E684" s="16">
        <v>1</v>
      </c>
      <c r="F684" s="16">
        <v>1</v>
      </c>
      <c r="G684" s="21" t="s">
        <v>2807</v>
      </c>
      <c r="H684" s="16"/>
      <c r="I684" s="16" t="s">
        <v>2973</v>
      </c>
      <c r="J684" s="16" t="s">
        <v>2974</v>
      </c>
      <c r="K684" s="16" t="s">
        <v>2975</v>
      </c>
    </row>
    <row r="685" spans="1:11" ht="315" hidden="1" x14ac:dyDescent="0.25">
      <c r="A685" s="22">
        <v>682</v>
      </c>
      <c r="B685" s="16" t="s">
        <v>2976</v>
      </c>
      <c r="C685" s="16" t="s">
        <v>2977</v>
      </c>
      <c r="D685" s="16">
        <v>40600000</v>
      </c>
      <c r="E685" s="16">
        <v>1</v>
      </c>
      <c r="F685" s="16">
        <v>4</v>
      </c>
      <c r="G685" s="21" t="s">
        <v>2807</v>
      </c>
      <c r="H685" s="16"/>
      <c r="I685" s="16" t="s">
        <v>2978</v>
      </c>
      <c r="J685" s="16" t="s">
        <v>2979</v>
      </c>
      <c r="K685" s="16" t="s">
        <v>2311</v>
      </c>
    </row>
    <row r="686" spans="1:11" ht="360" hidden="1" x14ac:dyDescent="0.25">
      <c r="A686" s="22">
        <v>683</v>
      </c>
      <c r="B686" s="16" t="s">
        <v>2980</v>
      </c>
      <c r="C686" s="16" t="s">
        <v>2981</v>
      </c>
      <c r="D686" s="16">
        <v>29378750</v>
      </c>
      <c r="E686" s="16">
        <v>1</v>
      </c>
      <c r="F686" s="16">
        <v>5</v>
      </c>
      <c r="G686" s="21" t="s">
        <v>2807</v>
      </c>
      <c r="H686" s="16"/>
      <c r="I686" s="16" t="s">
        <v>2314</v>
      </c>
      <c r="J686" s="16" t="s">
        <v>2982</v>
      </c>
      <c r="K686" s="16" t="s">
        <v>2311</v>
      </c>
    </row>
    <row r="687" spans="1:11" ht="409.5" hidden="1" x14ac:dyDescent="0.25">
      <c r="A687" s="22">
        <v>684</v>
      </c>
      <c r="B687" s="16" t="s">
        <v>2983</v>
      </c>
      <c r="C687" s="16" t="s">
        <v>2984</v>
      </c>
      <c r="D687" s="16">
        <v>6000000</v>
      </c>
      <c r="E687" s="16">
        <v>2</v>
      </c>
      <c r="F687" s="16">
        <v>1</v>
      </c>
      <c r="G687" s="21" t="s">
        <v>2807</v>
      </c>
      <c r="H687" s="16"/>
      <c r="I687" s="16" t="s">
        <v>2985</v>
      </c>
      <c r="J687" s="16" t="s">
        <v>2986</v>
      </c>
      <c r="K687" s="16" t="s">
        <v>2987</v>
      </c>
    </row>
    <row r="688" spans="1:11" ht="225" hidden="1" x14ac:dyDescent="0.25">
      <c r="A688" s="22">
        <v>685</v>
      </c>
      <c r="B688" s="16" t="s">
        <v>2988</v>
      </c>
      <c r="C688" s="16" t="s">
        <v>2989</v>
      </c>
      <c r="D688" s="16">
        <v>7500000</v>
      </c>
      <c r="E688" s="16">
        <v>2</v>
      </c>
      <c r="F688" s="16">
        <v>2</v>
      </c>
      <c r="G688" s="21" t="s">
        <v>2807</v>
      </c>
      <c r="H688" s="16"/>
      <c r="I688" s="16" t="s">
        <v>2343</v>
      </c>
      <c r="J688" s="16" t="s">
        <v>2990</v>
      </c>
      <c r="K688" s="16" t="s">
        <v>2345</v>
      </c>
    </row>
    <row r="689" spans="1:11" ht="330" hidden="1" x14ac:dyDescent="0.25">
      <c r="A689" s="22">
        <v>686</v>
      </c>
      <c r="B689" s="16" t="s">
        <v>2991</v>
      </c>
      <c r="C689" s="16" t="s">
        <v>2992</v>
      </c>
      <c r="D689" s="16">
        <v>15150000</v>
      </c>
      <c r="E689" s="16">
        <v>2</v>
      </c>
      <c r="F689" s="16">
        <v>1</v>
      </c>
      <c r="G689" s="21" t="s">
        <v>2807</v>
      </c>
      <c r="H689" s="16"/>
      <c r="I689" s="16" t="s">
        <v>2993</v>
      </c>
      <c r="J689" s="16" t="s">
        <v>2994</v>
      </c>
      <c r="K689" s="16" t="s">
        <v>2995</v>
      </c>
    </row>
    <row r="690" spans="1:11" ht="405" hidden="1" x14ac:dyDescent="0.25">
      <c r="A690" s="22">
        <v>687</v>
      </c>
      <c r="B690" s="16" t="s">
        <v>2996</v>
      </c>
      <c r="C690" s="16" t="s">
        <v>2997</v>
      </c>
      <c r="D690" s="16">
        <v>4000000</v>
      </c>
      <c r="E690" s="16">
        <v>2</v>
      </c>
      <c r="F690" s="16">
        <v>2</v>
      </c>
      <c r="G690" s="21" t="s">
        <v>2807</v>
      </c>
      <c r="H690" s="16"/>
      <c r="I690" s="16" t="s">
        <v>2998</v>
      </c>
      <c r="J690" s="16" t="s">
        <v>2999</v>
      </c>
      <c r="K690" s="16" t="s">
        <v>3000</v>
      </c>
    </row>
    <row r="691" spans="1:11" ht="315" hidden="1" x14ac:dyDescent="0.25">
      <c r="A691" s="22">
        <v>688</v>
      </c>
      <c r="B691" s="16" t="s">
        <v>3001</v>
      </c>
      <c r="C691" s="16" t="s">
        <v>3002</v>
      </c>
      <c r="D691" s="16">
        <v>121200550</v>
      </c>
      <c r="E691" s="16">
        <v>1</v>
      </c>
      <c r="F691" s="16">
        <v>4</v>
      </c>
      <c r="G691" s="21" t="s">
        <v>2807</v>
      </c>
      <c r="H691" s="16"/>
      <c r="I691" s="16" t="s">
        <v>3003</v>
      </c>
      <c r="J691" s="16" t="s">
        <v>3004</v>
      </c>
      <c r="K691" s="16" t="s">
        <v>3005</v>
      </c>
    </row>
    <row r="692" spans="1:11" ht="409.5" hidden="1" x14ac:dyDescent="0.25">
      <c r="A692" s="22">
        <v>689</v>
      </c>
      <c r="B692" s="16" t="s">
        <v>3006</v>
      </c>
      <c r="C692" s="16" t="s">
        <v>3007</v>
      </c>
      <c r="D692" s="16">
        <v>15074000</v>
      </c>
      <c r="E692" s="16">
        <v>1</v>
      </c>
      <c r="F692" s="16">
        <v>5</v>
      </c>
      <c r="G692" s="21" t="s">
        <v>2807</v>
      </c>
      <c r="H692" s="16"/>
      <c r="I692" s="16" t="s">
        <v>3008</v>
      </c>
      <c r="J692" s="16" t="s">
        <v>3009</v>
      </c>
      <c r="K692" s="16" t="s">
        <v>3010</v>
      </c>
    </row>
    <row r="693" spans="1:11" ht="409.5" hidden="1" x14ac:dyDescent="0.25">
      <c r="A693" s="22">
        <v>690</v>
      </c>
      <c r="B693" s="16" t="s">
        <v>3011</v>
      </c>
      <c r="C693" s="16" t="s">
        <v>3012</v>
      </c>
      <c r="D693" s="16">
        <v>30000000</v>
      </c>
      <c r="E693" s="16">
        <v>1</v>
      </c>
      <c r="F693" s="16">
        <v>5</v>
      </c>
      <c r="G693" s="21" t="s">
        <v>2807</v>
      </c>
      <c r="H693" s="16"/>
      <c r="I693" s="16" t="s">
        <v>3008</v>
      </c>
      <c r="J693" s="16" t="s">
        <v>3013</v>
      </c>
      <c r="K693" s="16" t="s">
        <v>3014</v>
      </c>
    </row>
    <row r="694" spans="1:11" ht="255" hidden="1" x14ac:dyDescent="0.25">
      <c r="A694" s="22">
        <v>691</v>
      </c>
      <c r="B694" s="16" t="s">
        <v>3015</v>
      </c>
      <c r="C694" s="16" t="s">
        <v>3016</v>
      </c>
      <c r="D694" s="16">
        <v>7215000</v>
      </c>
      <c r="E694" s="16">
        <v>2</v>
      </c>
      <c r="F694" s="16">
        <v>1</v>
      </c>
      <c r="G694" s="21" t="s">
        <v>2807</v>
      </c>
      <c r="H694" s="16"/>
      <c r="I694" s="16" t="s">
        <v>3017</v>
      </c>
      <c r="J694" s="16" t="s">
        <v>3018</v>
      </c>
      <c r="K694" s="16" t="s">
        <v>3019</v>
      </c>
    </row>
    <row r="695" spans="1:11" ht="210" hidden="1" x14ac:dyDescent="0.25">
      <c r="A695" s="22">
        <v>692</v>
      </c>
      <c r="B695" s="16" t="s">
        <v>3020</v>
      </c>
      <c r="C695" s="16" t="s">
        <v>3021</v>
      </c>
      <c r="D695" s="16">
        <v>4275000</v>
      </c>
      <c r="E695" s="16">
        <v>2</v>
      </c>
      <c r="F695" s="16">
        <v>1</v>
      </c>
      <c r="G695" s="21" t="s">
        <v>2807</v>
      </c>
      <c r="H695" s="16"/>
      <c r="I695" s="16" t="s">
        <v>3022</v>
      </c>
      <c r="J695" s="16" t="s">
        <v>3023</v>
      </c>
      <c r="K695" s="16" t="s">
        <v>3024</v>
      </c>
    </row>
    <row r="696" spans="1:11" ht="270" hidden="1" x14ac:dyDescent="0.25">
      <c r="A696" s="22">
        <v>693</v>
      </c>
      <c r="B696" s="16" t="s">
        <v>3025</v>
      </c>
      <c r="C696" s="16" t="s">
        <v>3026</v>
      </c>
      <c r="D696" s="16">
        <v>6275000</v>
      </c>
      <c r="E696" s="16">
        <v>2</v>
      </c>
      <c r="F696" s="16">
        <v>1</v>
      </c>
      <c r="G696" s="21" t="s">
        <v>2807</v>
      </c>
      <c r="H696" s="16"/>
      <c r="I696" s="16" t="s">
        <v>3027</v>
      </c>
      <c r="J696" s="16" t="s">
        <v>3028</v>
      </c>
      <c r="K696" s="16" t="s">
        <v>3029</v>
      </c>
    </row>
    <row r="697" spans="1:11" ht="195" hidden="1" x14ac:dyDescent="0.25">
      <c r="A697" s="22">
        <v>694</v>
      </c>
      <c r="B697" s="16" t="s">
        <v>3030</v>
      </c>
      <c r="C697" s="16" t="s">
        <v>3031</v>
      </c>
      <c r="D697" s="16">
        <v>22608000</v>
      </c>
      <c r="E697" s="16">
        <v>1</v>
      </c>
      <c r="F697" s="16">
        <v>4</v>
      </c>
      <c r="G697" s="21" t="s">
        <v>2807</v>
      </c>
      <c r="H697" s="16"/>
      <c r="I697" s="16" t="s">
        <v>129</v>
      </c>
      <c r="J697" s="16" t="s">
        <v>3032</v>
      </c>
      <c r="K697" s="16"/>
    </row>
    <row r="698" spans="1:11" ht="409.5" hidden="1" x14ac:dyDescent="0.25">
      <c r="A698" s="22">
        <v>695</v>
      </c>
      <c r="B698" s="16" t="s">
        <v>3033</v>
      </c>
      <c r="C698" s="16" t="s">
        <v>3034</v>
      </c>
      <c r="D698" s="16">
        <v>20000000</v>
      </c>
      <c r="E698" s="16">
        <v>2</v>
      </c>
      <c r="F698" s="16">
        <v>2</v>
      </c>
      <c r="G698" s="21" t="s">
        <v>2807</v>
      </c>
      <c r="H698" s="16"/>
      <c r="I698" s="16" t="s">
        <v>3035</v>
      </c>
      <c r="J698" s="16" t="s">
        <v>3036</v>
      </c>
      <c r="K698" s="16" t="s">
        <v>2421</v>
      </c>
    </row>
    <row r="699" spans="1:11" ht="300" hidden="1" x14ac:dyDescent="0.25">
      <c r="A699" s="22">
        <v>696</v>
      </c>
      <c r="B699" s="16" t="s">
        <v>3037</v>
      </c>
      <c r="C699" s="16" t="s">
        <v>3038</v>
      </c>
      <c r="D699" s="16">
        <v>15000000</v>
      </c>
      <c r="E699" s="16">
        <v>1</v>
      </c>
      <c r="F699" s="16">
        <v>4</v>
      </c>
      <c r="G699" s="21" t="s">
        <v>2807</v>
      </c>
      <c r="H699" s="16"/>
      <c r="I699" s="16" t="s">
        <v>3039</v>
      </c>
      <c r="J699" s="16" t="s">
        <v>3040</v>
      </c>
      <c r="K699" s="16" t="s">
        <v>3041</v>
      </c>
    </row>
    <row r="700" spans="1:11" ht="105" hidden="1" x14ac:dyDescent="0.25">
      <c r="A700" s="22">
        <v>697</v>
      </c>
      <c r="B700" s="16" t="s">
        <v>3042</v>
      </c>
      <c r="C700" s="16" t="s">
        <v>3043</v>
      </c>
      <c r="D700" s="16">
        <v>10145000</v>
      </c>
      <c r="E700" s="16">
        <v>2</v>
      </c>
      <c r="F700" s="16">
        <v>2</v>
      </c>
      <c r="G700" s="21" t="s">
        <v>2807</v>
      </c>
      <c r="H700" s="16"/>
      <c r="I700" s="16" t="s">
        <v>2584</v>
      </c>
      <c r="J700" s="16" t="s">
        <v>3044</v>
      </c>
      <c r="K700" s="16" t="s">
        <v>3045</v>
      </c>
    </row>
    <row r="701" spans="1:11" ht="90" hidden="1" x14ac:dyDescent="0.25">
      <c r="A701" s="22">
        <v>698</v>
      </c>
      <c r="B701" s="16" t="s">
        <v>3046</v>
      </c>
      <c r="C701" s="16" t="s">
        <v>3047</v>
      </c>
      <c r="D701" s="16">
        <v>16200000</v>
      </c>
      <c r="E701" s="16">
        <v>2</v>
      </c>
      <c r="F701" s="16">
        <v>2</v>
      </c>
      <c r="G701" s="21" t="s">
        <v>2807</v>
      </c>
      <c r="H701" s="16"/>
      <c r="I701" s="16" t="s">
        <v>3048</v>
      </c>
      <c r="J701" s="16" t="s">
        <v>3049</v>
      </c>
      <c r="K701" s="16" t="s">
        <v>3050</v>
      </c>
    </row>
    <row r="702" spans="1:11" ht="105" hidden="1" x14ac:dyDescent="0.25">
      <c r="A702" s="22">
        <v>699</v>
      </c>
      <c r="B702" s="16" t="s">
        <v>3051</v>
      </c>
      <c r="C702" s="16" t="s">
        <v>3052</v>
      </c>
      <c r="D702" s="16">
        <v>10100000</v>
      </c>
      <c r="E702" s="16">
        <v>2</v>
      </c>
      <c r="F702" s="16">
        <v>2</v>
      </c>
      <c r="G702" s="21" t="s">
        <v>2807</v>
      </c>
      <c r="H702" s="16"/>
      <c r="I702" s="16" t="s">
        <v>3053</v>
      </c>
      <c r="J702" s="16" t="s">
        <v>3054</v>
      </c>
      <c r="K702" s="16" t="s">
        <v>3055</v>
      </c>
    </row>
    <row r="703" spans="1:11" ht="120" hidden="1" x14ac:dyDescent="0.25">
      <c r="A703" s="22">
        <v>700</v>
      </c>
      <c r="B703" s="16" t="s">
        <v>3056</v>
      </c>
      <c r="C703" s="16" t="s">
        <v>3057</v>
      </c>
      <c r="D703" s="16">
        <v>28330000</v>
      </c>
      <c r="E703" s="16">
        <v>1</v>
      </c>
      <c r="F703" s="16">
        <v>3</v>
      </c>
      <c r="G703" s="21" t="s">
        <v>2807</v>
      </c>
      <c r="H703" s="16"/>
      <c r="I703" s="16" t="s">
        <v>3058</v>
      </c>
      <c r="J703" s="16" t="s">
        <v>3059</v>
      </c>
      <c r="K703" s="16" t="s">
        <v>3060</v>
      </c>
    </row>
    <row r="704" spans="1:11" ht="165" hidden="1" x14ac:dyDescent="0.25">
      <c r="A704" s="22">
        <v>701</v>
      </c>
      <c r="B704" s="16" t="s">
        <v>3061</v>
      </c>
      <c r="C704" s="16" t="s">
        <v>3062</v>
      </c>
      <c r="D704" s="16">
        <v>29840000</v>
      </c>
      <c r="E704" s="16">
        <v>2</v>
      </c>
      <c r="F704" s="16">
        <v>2</v>
      </c>
      <c r="G704" s="21" t="s">
        <v>2807</v>
      </c>
      <c r="H704" s="16"/>
      <c r="I704" s="16" t="s">
        <v>3063</v>
      </c>
      <c r="J704" s="16" t="s">
        <v>3064</v>
      </c>
      <c r="K704" s="16" t="s">
        <v>3065</v>
      </c>
    </row>
    <row r="705" spans="1:11" ht="120" hidden="1" x14ac:dyDescent="0.25">
      <c r="A705" s="22">
        <v>702</v>
      </c>
      <c r="B705" s="16" t="s">
        <v>3066</v>
      </c>
      <c r="C705" s="16" t="s">
        <v>3067</v>
      </c>
      <c r="D705" s="16">
        <v>34400000</v>
      </c>
      <c r="E705" s="16">
        <v>1</v>
      </c>
      <c r="F705" s="16">
        <v>1</v>
      </c>
      <c r="G705" s="21" t="s">
        <v>2807</v>
      </c>
      <c r="H705" s="16"/>
      <c r="I705" s="16" t="s">
        <v>3068</v>
      </c>
      <c r="J705" s="16" t="s">
        <v>3069</v>
      </c>
      <c r="K705" s="16" t="s">
        <v>3070</v>
      </c>
    </row>
    <row r="706" spans="1:11" ht="120" hidden="1" x14ac:dyDescent="0.25">
      <c r="A706" s="22">
        <v>703</v>
      </c>
      <c r="B706" s="16" t="s">
        <v>3071</v>
      </c>
      <c r="C706" s="16" t="s">
        <v>3072</v>
      </c>
      <c r="D706" s="16">
        <v>6851000</v>
      </c>
      <c r="E706" s="16">
        <v>1</v>
      </c>
      <c r="F706" s="16">
        <v>1</v>
      </c>
      <c r="G706" s="21" t="s">
        <v>2807</v>
      </c>
      <c r="H706" s="16"/>
      <c r="I706" s="16" t="s">
        <v>3073</v>
      </c>
      <c r="J706" s="16" t="s">
        <v>3074</v>
      </c>
      <c r="K706" s="16" t="s">
        <v>3075</v>
      </c>
    </row>
    <row r="707" spans="1:11" ht="225" hidden="1" x14ac:dyDescent="0.25">
      <c r="A707" s="22">
        <v>704</v>
      </c>
      <c r="B707" s="16" t="s">
        <v>3076</v>
      </c>
      <c r="C707" s="16" t="s">
        <v>3077</v>
      </c>
      <c r="D707" s="16">
        <v>62435000</v>
      </c>
      <c r="E707" s="16">
        <v>1</v>
      </c>
      <c r="F707" s="16">
        <v>1</v>
      </c>
      <c r="G707" s="21" t="s">
        <v>2807</v>
      </c>
      <c r="H707" s="16"/>
      <c r="I707" s="16" t="s">
        <v>3078</v>
      </c>
      <c r="J707" s="16" t="s">
        <v>3079</v>
      </c>
      <c r="K707" s="16" t="s">
        <v>3080</v>
      </c>
    </row>
    <row r="708" spans="1:11" ht="240" hidden="1" x14ac:dyDescent="0.25">
      <c r="A708" s="22">
        <v>705</v>
      </c>
      <c r="B708" s="16" t="s">
        <v>3081</v>
      </c>
      <c r="C708" s="16" t="s">
        <v>3082</v>
      </c>
      <c r="D708" s="16">
        <v>230275000</v>
      </c>
      <c r="E708" s="16">
        <v>1</v>
      </c>
      <c r="F708" s="16">
        <v>5</v>
      </c>
      <c r="G708" s="21" t="s">
        <v>2807</v>
      </c>
      <c r="H708" s="16"/>
      <c r="I708" s="16" t="s">
        <v>3083</v>
      </c>
      <c r="J708" s="16" t="s">
        <v>3084</v>
      </c>
      <c r="K708" s="16" t="s">
        <v>3085</v>
      </c>
    </row>
    <row r="709" spans="1:11" ht="315" hidden="1" x14ac:dyDescent="0.25">
      <c r="A709" s="22">
        <v>706</v>
      </c>
      <c r="B709" s="16" t="s">
        <v>3086</v>
      </c>
      <c r="C709" s="16" t="s">
        <v>3087</v>
      </c>
      <c r="D709" s="16">
        <v>89905000</v>
      </c>
      <c r="E709" s="16">
        <v>1</v>
      </c>
      <c r="F709" s="16">
        <v>3</v>
      </c>
      <c r="G709" s="21" t="s">
        <v>2807</v>
      </c>
      <c r="H709" s="16"/>
      <c r="I709" s="16" t="s">
        <v>3088</v>
      </c>
      <c r="J709" s="16" t="s">
        <v>3089</v>
      </c>
      <c r="K709" s="16" t="s">
        <v>3090</v>
      </c>
    </row>
    <row r="710" spans="1:11" ht="270" hidden="1" x14ac:dyDescent="0.25">
      <c r="A710" s="22">
        <v>707</v>
      </c>
      <c r="B710" s="16" t="s">
        <v>3091</v>
      </c>
      <c r="C710" s="16" t="s">
        <v>3092</v>
      </c>
      <c r="D710" s="16">
        <v>181150000</v>
      </c>
      <c r="E710" s="16">
        <v>1</v>
      </c>
      <c r="F710" s="16">
        <v>5</v>
      </c>
      <c r="G710" s="21" t="s">
        <v>2807</v>
      </c>
      <c r="H710" s="16"/>
      <c r="I710" s="16" t="s">
        <v>3093</v>
      </c>
      <c r="J710" s="16" t="s">
        <v>3094</v>
      </c>
      <c r="K710" s="16" t="s">
        <v>3095</v>
      </c>
    </row>
    <row r="711" spans="1:11" ht="240" hidden="1" x14ac:dyDescent="0.25">
      <c r="A711" s="22">
        <v>708</v>
      </c>
      <c r="B711" s="16" t="s">
        <v>3096</v>
      </c>
      <c r="C711" s="16" t="s">
        <v>3097</v>
      </c>
      <c r="D711" s="16">
        <v>1491000000</v>
      </c>
      <c r="E711" s="16">
        <v>1</v>
      </c>
      <c r="F711" s="16">
        <v>5</v>
      </c>
      <c r="G711" s="21" t="s">
        <v>2807</v>
      </c>
      <c r="H711" s="16"/>
      <c r="I711" s="16" t="s">
        <v>3098</v>
      </c>
      <c r="J711" s="16" t="s">
        <v>2626</v>
      </c>
      <c r="K711" s="16" t="s">
        <v>753</v>
      </c>
    </row>
    <row r="712" spans="1:11" ht="300" hidden="1" x14ac:dyDescent="0.25">
      <c r="A712" s="22">
        <v>709</v>
      </c>
      <c r="B712" s="16" t="s">
        <v>3099</v>
      </c>
      <c r="C712" s="16" t="s">
        <v>3100</v>
      </c>
      <c r="D712" s="16">
        <v>150000000</v>
      </c>
      <c r="E712" s="16">
        <v>2</v>
      </c>
      <c r="F712" s="16">
        <v>2</v>
      </c>
      <c r="G712" s="21" t="s">
        <v>2807</v>
      </c>
      <c r="H712" s="16"/>
      <c r="I712" s="16" t="s">
        <v>3101</v>
      </c>
      <c r="J712" s="16" t="s">
        <v>3102</v>
      </c>
      <c r="K712" s="16" t="s">
        <v>788</v>
      </c>
    </row>
    <row r="713" spans="1:11" ht="270" hidden="1" x14ac:dyDescent="0.25">
      <c r="A713" s="22">
        <v>710</v>
      </c>
      <c r="B713" s="16" t="s">
        <v>3103</v>
      </c>
      <c r="C713" s="16" t="s">
        <v>3104</v>
      </c>
      <c r="D713" s="16">
        <v>78662790000</v>
      </c>
      <c r="E713" s="16">
        <v>1</v>
      </c>
      <c r="F713" s="16">
        <v>4</v>
      </c>
      <c r="G713" s="21" t="s">
        <v>2807</v>
      </c>
      <c r="H713" s="16"/>
      <c r="I713" s="16" t="s">
        <v>3105</v>
      </c>
      <c r="J713" s="16" t="s">
        <v>3106</v>
      </c>
      <c r="K713" s="16" t="s">
        <v>753</v>
      </c>
    </row>
    <row r="714" spans="1:11" ht="270" hidden="1" x14ac:dyDescent="0.25">
      <c r="A714" s="22">
        <v>711</v>
      </c>
      <c r="B714" s="16" t="s">
        <v>3107</v>
      </c>
      <c r="C714" s="16" t="s">
        <v>3108</v>
      </c>
      <c r="D714" s="16">
        <v>78662790000</v>
      </c>
      <c r="E714" s="16">
        <v>1</v>
      </c>
      <c r="F714" s="16">
        <v>4</v>
      </c>
      <c r="G714" s="21" t="s">
        <v>2807</v>
      </c>
      <c r="H714" s="16"/>
      <c r="I714" s="16" t="s">
        <v>3105</v>
      </c>
      <c r="J714" s="16" t="s">
        <v>3106</v>
      </c>
      <c r="K714" s="16" t="s">
        <v>753</v>
      </c>
    </row>
    <row r="715" spans="1:11" ht="240" hidden="1" x14ac:dyDescent="0.25">
      <c r="A715" s="22">
        <v>712</v>
      </c>
      <c r="B715" s="16" t="s">
        <v>3109</v>
      </c>
      <c r="C715" s="16" t="s">
        <v>3110</v>
      </c>
      <c r="D715" s="16">
        <v>1491000000</v>
      </c>
      <c r="E715" s="16">
        <v>1</v>
      </c>
      <c r="F715" s="16">
        <v>5</v>
      </c>
      <c r="G715" s="21" t="s">
        <v>2807</v>
      </c>
      <c r="H715" s="16"/>
      <c r="I715" s="16" t="s">
        <v>3098</v>
      </c>
      <c r="J715" s="16" t="s">
        <v>2626</v>
      </c>
      <c r="K715" s="16" t="s">
        <v>753</v>
      </c>
    </row>
    <row r="716" spans="1:11" ht="285" hidden="1" x14ac:dyDescent="0.25">
      <c r="A716" s="22">
        <v>713</v>
      </c>
      <c r="B716" s="16" t="s">
        <v>3111</v>
      </c>
      <c r="C716" s="16" t="s">
        <v>3112</v>
      </c>
      <c r="D716" s="16">
        <v>47155000</v>
      </c>
      <c r="E716" s="16">
        <v>2</v>
      </c>
      <c r="F716" s="16">
        <v>2</v>
      </c>
      <c r="G716" s="21" t="s">
        <v>2807</v>
      </c>
      <c r="H716" s="16"/>
      <c r="I716" s="16" t="s">
        <v>3113</v>
      </c>
      <c r="J716" s="16" t="s">
        <v>3114</v>
      </c>
      <c r="K716" s="16" t="s">
        <v>3115</v>
      </c>
    </row>
    <row r="717" spans="1:11" ht="225" hidden="1" x14ac:dyDescent="0.25">
      <c r="A717" s="22">
        <v>714</v>
      </c>
      <c r="B717" s="16" t="s">
        <v>3116</v>
      </c>
      <c r="C717" s="16" t="s">
        <v>3117</v>
      </c>
      <c r="D717" s="16">
        <v>47535000</v>
      </c>
      <c r="E717" s="16">
        <v>1</v>
      </c>
      <c r="F717" s="16">
        <v>1</v>
      </c>
      <c r="G717" s="21" t="s">
        <v>2807</v>
      </c>
      <c r="H717" s="16"/>
      <c r="I717" s="16" t="s">
        <v>3118</v>
      </c>
      <c r="J717" s="16" t="s">
        <v>3119</v>
      </c>
      <c r="K717" s="16" t="s">
        <v>2761</v>
      </c>
    </row>
  </sheetData>
  <autoFilter ref="A3:K717" xr:uid="{D9BFE039-C2CB-4B63-91D6-EE3705A3C2AC}">
    <filterColumn colId="1">
      <filters>
        <filter val="D-IV Manajemen Rekayasa Konstruksi-1"/>
        <filter val="D-IV Manajemen Rekayasa Konstruksi-2"/>
        <filter val="D-IV Manajemen Rekayasa Konstruksi-3"/>
        <filter val="D-IV Manajemen Rekayasa Konstruksi-4"/>
        <filter val="D-IV Manajemen Rekayasa Konstruksi-5"/>
        <filter val="D-IV Manajemen Rekayasa Konstruksi-6"/>
        <filter val="D-IV Manajemen Rekayasa Konstruksi-7"/>
        <filter val="D-IV Teknologi Rekayasa Konstruksi Jalan dan Jembatan-1"/>
        <filter val="D-IV Teknologi Rekayasa Konstruksi Jalan dan Jembatan-2"/>
        <filter val="D-IV Teknologi Rekayasa Konstruksi Jalan dan Jembatan-3"/>
        <filter val="D-IV Teknologi Rekayasa Konstruksi Jalan dan Jembatan-4"/>
        <filter val="D-IV Teknologi Rekayasa Konstruksi Jalan dan Jembatan-5"/>
        <filter val="D-IV Teknologi Rekayasa Konstruksi Jalan dan Jembatan-6"/>
      </filters>
    </filterColumn>
  </autoFilter>
  <mergeCells count="1">
    <mergeCell ref="B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806A-A776-4915-A163-064540929ED8}">
  <sheetPr>
    <tabColor rgb="FFFF0000"/>
  </sheetPr>
  <dimension ref="A1:O996"/>
  <sheetViews>
    <sheetView topLeftCell="A53" zoomScaleNormal="100" workbookViewId="0">
      <selection activeCell="C79" sqref="C79"/>
    </sheetView>
  </sheetViews>
  <sheetFormatPr defaultColWidth="14.42578125" defaultRowHeight="15" customHeight="1" x14ac:dyDescent="0.25"/>
  <cols>
    <col min="1" max="1" width="7.5703125" customWidth="1"/>
    <col min="2" max="2" width="4.42578125" customWidth="1"/>
    <col min="3" max="3" width="59.85546875" customWidth="1"/>
    <col min="4" max="5" width="15.5703125" hidden="1" customWidth="1"/>
    <col min="6" max="6" width="15.140625" hidden="1" customWidth="1"/>
    <col min="7" max="7" width="17.42578125" hidden="1" customWidth="1"/>
    <col min="8" max="12" width="12.85546875" customWidth="1"/>
    <col min="13" max="13" width="9.5703125" style="59" customWidth="1"/>
    <col min="14" max="15" width="8.7109375" style="60" customWidth="1"/>
    <col min="16" max="24" width="8.7109375" customWidth="1"/>
  </cols>
  <sheetData>
    <row r="1" spans="1:15" ht="14.25" customHeight="1" x14ac:dyDescent="0.25"/>
    <row r="2" spans="1:15" ht="14.25" customHeight="1" x14ac:dyDescent="0.25">
      <c r="A2" s="31"/>
    </row>
    <row r="3" spans="1:15" ht="14.25" customHeight="1" x14ac:dyDescent="0.25">
      <c r="A3" s="31"/>
    </row>
    <row r="4" spans="1:15" ht="14.25" customHeight="1" x14ac:dyDescent="0.25"/>
    <row r="5" spans="1:15" ht="38.450000000000003" customHeight="1" x14ac:dyDescent="0.25">
      <c r="A5" s="32" t="s">
        <v>3132</v>
      </c>
      <c r="B5" s="231" t="s">
        <v>3133</v>
      </c>
      <c r="C5" s="232"/>
      <c r="D5" s="32" t="s">
        <v>3134</v>
      </c>
      <c r="E5" s="32" t="s">
        <v>3135</v>
      </c>
      <c r="F5" s="32" t="s">
        <v>3136</v>
      </c>
      <c r="G5" s="33" t="s">
        <v>3137</v>
      </c>
      <c r="H5" s="34" t="s">
        <v>3138</v>
      </c>
      <c r="I5" s="33" t="s">
        <v>3202</v>
      </c>
      <c r="J5" s="33" t="s">
        <v>3203</v>
      </c>
      <c r="K5" s="33" t="s">
        <v>3204</v>
      </c>
      <c r="L5" s="33"/>
      <c r="M5" s="61"/>
    </row>
    <row r="6" spans="1:15" ht="38.450000000000003" customHeight="1" x14ac:dyDescent="0.25">
      <c r="A6" s="32"/>
      <c r="B6" s="235" t="s">
        <v>3205</v>
      </c>
      <c r="C6" s="236"/>
      <c r="D6" s="32"/>
      <c r="E6" s="32"/>
      <c r="F6" s="32"/>
      <c r="G6" s="33"/>
      <c r="H6" s="62">
        <v>13717</v>
      </c>
      <c r="I6" s="33"/>
      <c r="J6" s="33"/>
      <c r="K6" s="33"/>
      <c r="L6" s="33"/>
    </row>
    <row r="7" spans="1:15" ht="14.25" customHeight="1" x14ac:dyDescent="0.25">
      <c r="A7" s="226"/>
      <c r="B7" s="227"/>
      <c r="C7" s="228"/>
      <c r="D7" s="36"/>
      <c r="E7" s="36"/>
      <c r="F7" s="36"/>
      <c r="G7" s="36"/>
      <c r="H7" s="38"/>
      <c r="I7" s="38">
        <v>1893</v>
      </c>
      <c r="J7" s="39">
        <v>137</v>
      </c>
      <c r="K7" s="38">
        <v>27</v>
      </c>
      <c r="L7" s="38"/>
    </row>
    <row r="8" spans="1:15" ht="14.25" customHeight="1" x14ac:dyDescent="0.25">
      <c r="A8" s="41">
        <v>1</v>
      </c>
      <c r="B8" s="233" t="s">
        <v>3143</v>
      </c>
      <c r="C8" s="234"/>
      <c r="D8" s="42" t="s">
        <v>3144</v>
      </c>
      <c r="E8" s="42" t="s">
        <v>3144</v>
      </c>
      <c r="F8" s="42" t="s">
        <v>3144</v>
      </c>
      <c r="G8" s="42" t="s">
        <v>3144</v>
      </c>
      <c r="H8" s="43">
        <f>SUM(H9:H14)</f>
        <v>2767</v>
      </c>
      <c r="I8" s="44">
        <f>SUM(I9:I14)</f>
        <v>381.85689290661219</v>
      </c>
      <c r="J8" s="44">
        <f>SUM(J9:J14)</f>
        <v>27.635707516220752</v>
      </c>
      <c r="K8" s="44">
        <f>SUM(K9:K14)</f>
        <v>5.4464533061164984</v>
      </c>
      <c r="L8" s="36"/>
    </row>
    <row r="9" spans="1:15" ht="14.25" customHeight="1" x14ac:dyDescent="0.25">
      <c r="A9" s="46"/>
      <c r="B9" s="46">
        <v>1</v>
      </c>
      <c r="C9" s="36" t="s">
        <v>3147</v>
      </c>
      <c r="D9" s="46" t="s">
        <v>3148</v>
      </c>
      <c r="E9" s="46" t="s">
        <v>3148</v>
      </c>
      <c r="F9" s="46" t="s">
        <v>3148</v>
      </c>
      <c r="G9" s="46" t="s">
        <v>3148</v>
      </c>
      <c r="H9" s="46">
        <v>667</v>
      </c>
      <c r="I9" s="47">
        <f>H9/H$6*I$7</f>
        <v>92.048625792811848</v>
      </c>
      <c r="J9" s="47">
        <f>H9/H$6*J$7</f>
        <v>6.6617336152219879</v>
      </c>
      <c r="K9" s="47">
        <f>H9/H$6*K$7</f>
        <v>1.3128964059196617</v>
      </c>
      <c r="L9" s="36"/>
      <c r="M9" s="59">
        <f t="shared" ref="M9:M14" si="0">J9/$J$7</f>
        <v>4.8625792811839326E-2</v>
      </c>
      <c r="N9" s="60">
        <f t="shared" ref="N9:N14" si="1">K9/$K$7</f>
        <v>4.8625792811839326E-2</v>
      </c>
      <c r="O9" s="60">
        <f t="shared" ref="O9:O14" si="2">AVERAGE(M9:N9)</f>
        <v>4.8625792811839326E-2</v>
      </c>
    </row>
    <row r="10" spans="1:15" ht="14.25" customHeight="1" x14ac:dyDescent="0.25">
      <c r="A10" s="46"/>
      <c r="B10" s="46">
        <v>2</v>
      </c>
      <c r="C10" s="36" t="s">
        <v>3149</v>
      </c>
      <c r="D10" s="46" t="s">
        <v>3148</v>
      </c>
      <c r="E10" s="46" t="s">
        <v>3148</v>
      </c>
      <c r="F10" s="46" t="s">
        <v>3148</v>
      </c>
      <c r="G10" s="46" t="s">
        <v>3148</v>
      </c>
      <c r="H10" s="46">
        <v>531</v>
      </c>
      <c r="I10" s="47">
        <f t="shared" ref="I10:I14" si="3">H10/H$6*I$7</f>
        <v>73.280090398775243</v>
      </c>
      <c r="J10" s="47">
        <f t="shared" ref="J10:J13" si="4">H10/H$6*J$7</f>
        <v>5.3034191149668297</v>
      </c>
      <c r="K10" s="47">
        <f t="shared" ref="K10:K14" si="5">H10/H$6*K$7</f>
        <v>1.0451993876212</v>
      </c>
      <c r="L10" s="36"/>
      <c r="M10" s="59">
        <f t="shared" si="0"/>
        <v>3.8711088430414813E-2</v>
      </c>
      <c r="N10" s="60">
        <f t="shared" si="1"/>
        <v>3.8711088430414813E-2</v>
      </c>
      <c r="O10" s="60">
        <f t="shared" si="2"/>
        <v>3.8711088430414813E-2</v>
      </c>
    </row>
    <row r="11" spans="1:15" ht="14.25" customHeight="1" x14ac:dyDescent="0.25">
      <c r="A11" s="46"/>
      <c r="B11" s="46">
        <v>3</v>
      </c>
      <c r="C11" s="36" t="s">
        <v>3150</v>
      </c>
      <c r="D11" s="46"/>
      <c r="E11" s="46"/>
      <c r="F11" s="46"/>
      <c r="G11" s="46"/>
      <c r="H11" s="46">
        <v>669</v>
      </c>
      <c r="I11" s="47">
        <f t="shared" si="3"/>
        <v>92.324633666253547</v>
      </c>
      <c r="J11" s="47">
        <f t="shared" si="4"/>
        <v>6.6817088284610335</v>
      </c>
      <c r="K11" s="47">
        <f t="shared" si="5"/>
        <v>1.3168331267769919</v>
      </c>
      <c r="L11" s="36"/>
      <c r="M11" s="59">
        <f t="shared" si="0"/>
        <v>4.877159728803674E-2</v>
      </c>
      <c r="N11" s="60">
        <f t="shared" si="1"/>
        <v>4.877159728803674E-2</v>
      </c>
      <c r="O11" s="60">
        <f t="shared" si="2"/>
        <v>4.877159728803674E-2</v>
      </c>
    </row>
    <row r="12" spans="1:15" ht="14.25" customHeight="1" x14ac:dyDescent="0.25">
      <c r="A12" s="46"/>
      <c r="B12" s="46">
        <v>4</v>
      </c>
      <c r="C12" s="36" t="s">
        <v>3151</v>
      </c>
      <c r="D12" s="46"/>
      <c r="E12" s="46"/>
      <c r="F12" s="46"/>
      <c r="G12" s="46"/>
      <c r="H12" s="46">
        <v>335</v>
      </c>
      <c r="I12" s="47">
        <f t="shared" si="3"/>
        <v>46.231318801487205</v>
      </c>
      <c r="J12" s="47">
        <f t="shared" si="4"/>
        <v>3.3458482175402784</v>
      </c>
      <c r="K12" s="47">
        <f t="shared" si="5"/>
        <v>0.65940074360282863</v>
      </c>
      <c r="L12" s="36"/>
      <c r="M12" s="59">
        <f t="shared" si="0"/>
        <v>2.4422249763067727E-2</v>
      </c>
      <c r="N12" s="60">
        <f t="shared" si="1"/>
        <v>2.4422249763067727E-2</v>
      </c>
      <c r="O12" s="60">
        <f t="shared" si="2"/>
        <v>2.4422249763067727E-2</v>
      </c>
    </row>
    <row r="13" spans="1:15" ht="14.25" customHeight="1" x14ac:dyDescent="0.25">
      <c r="A13" s="46"/>
      <c r="B13" s="46">
        <v>5</v>
      </c>
      <c r="C13" s="36" t="s">
        <v>3152</v>
      </c>
      <c r="D13" s="46"/>
      <c r="E13" s="46"/>
      <c r="F13" s="46"/>
      <c r="G13" s="46"/>
      <c r="H13" s="46">
        <v>288</v>
      </c>
      <c r="I13" s="47">
        <f t="shared" si="3"/>
        <v>39.745133775606917</v>
      </c>
      <c r="J13" s="47">
        <f t="shared" si="4"/>
        <v>2.8764307064226875</v>
      </c>
      <c r="K13" s="47">
        <f t="shared" si="5"/>
        <v>0.56688780345556611</v>
      </c>
      <c r="L13" s="36"/>
      <c r="M13" s="59">
        <f t="shared" si="0"/>
        <v>2.0995844572428375E-2</v>
      </c>
      <c r="N13" s="60">
        <f t="shared" si="1"/>
        <v>2.0995844572428375E-2</v>
      </c>
      <c r="O13" s="60">
        <f t="shared" si="2"/>
        <v>2.0995844572428375E-2</v>
      </c>
    </row>
    <row r="14" spans="1:15" ht="14.25" customHeight="1" x14ac:dyDescent="0.25">
      <c r="A14" s="46"/>
      <c r="B14" s="46">
        <v>6</v>
      </c>
      <c r="C14" s="36" t="s">
        <v>3153</v>
      </c>
      <c r="D14" s="46"/>
      <c r="E14" s="46"/>
      <c r="F14" s="46"/>
      <c r="G14" s="46"/>
      <c r="H14" s="46">
        <v>277</v>
      </c>
      <c r="I14" s="47">
        <f t="shared" si="3"/>
        <v>38.227090471677485</v>
      </c>
      <c r="J14" s="47">
        <f>H14/H$6*J$7</f>
        <v>2.7665670336079318</v>
      </c>
      <c r="K14" s="47">
        <f t="shared" si="5"/>
        <v>0.54523583874024939</v>
      </c>
      <c r="L14" s="36"/>
      <c r="M14" s="59">
        <f t="shared" si="0"/>
        <v>2.0193919953342569E-2</v>
      </c>
      <c r="N14" s="60">
        <f t="shared" si="1"/>
        <v>2.0193919953342569E-2</v>
      </c>
      <c r="O14" s="60">
        <f t="shared" si="2"/>
        <v>2.0193919953342569E-2</v>
      </c>
    </row>
    <row r="15" spans="1:15" ht="14.25" customHeight="1" x14ac:dyDescent="0.25">
      <c r="A15" s="226"/>
      <c r="B15" s="227"/>
      <c r="C15" s="228"/>
      <c r="D15" s="36"/>
      <c r="E15" s="36"/>
      <c r="F15" s="36"/>
      <c r="G15" s="36"/>
      <c r="H15" s="50"/>
      <c r="I15" s="36"/>
      <c r="J15" s="51"/>
      <c r="K15" s="51"/>
      <c r="L15" s="36"/>
    </row>
    <row r="16" spans="1:15" ht="14.25" customHeight="1" x14ac:dyDescent="0.25">
      <c r="A16" s="41">
        <v>2</v>
      </c>
      <c r="B16" s="233" t="s">
        <v>3154</v>
      </c>
      <c r="C16" s="234"/>
      <c r="D16" s="42" t="s">
        <v>3155</v>
      </c>
      <c r="E16" s="42" t="s">
        <v>3155</v>
      </c>
      <c r="F16" s="42" t="s">
        <v>3155</v>
      </c>
      <c r="G16" s="42" t="s">
        <v>3155</v>
      </c>
      <c r="H16" s="43">
        <f>SUM(H17:H20)</f>
        <v>1680</v>
      </c>
      <c r="I16" s="44">
        <f>SUM(I17:I20)</f>
        <v>231.84661369104032</v>
      </c>
      <c r="J16" s="44">
        <f>SUM(J17:J20)</f>
        <v>16.779179120799007</v>
      </c>
      <c r="K16" s="44">
        <f>SUM(K17:K20)</f>
        <v>3.3068455201574687</v>
      </c>
      <c r="L16" s="36"/>
    </row>
    <row r="17" spans="1:15" ht="14.25" customHeight="1" x14ac:dyDescent="0.25">
      <c r="A17" s="46"/>
      <c r="B17" s="46">
        <v>7</v>
      </c>
      <c r="C17" s="36" t="s">
        <v>3156</v>
      </c>
      <c r="D17" s="46" t="s">
        <v>3148</v>
      </c>
      <c r="E17" s="46" t="s">
        <v>3148</v>
      </c>
      <c r="F17" s="46" t="s">
        <v>3148</v>
      </c>
      <c r="G17" s="46" t="s">
        <v>3148</v>
      </c>
      <c r="H17" s="46">
        <v>421</v>
      </c>
      <c r="I17" s="47">
        <f t="shared" ref="I17:I20" si="6">H17/H$6*I$7</f>
        <v>58.099657359480936</v>
      </c>
      <c r="J17" s="47">
        <f>H17/H$6*J$7</f>
        <v>4.2047823868192751</v>
      </c>
      <c r="K17" s="47">
        <f t="shared" ref="K17:K20" si="7">H17/H$6*K$7</f>
        <v>0.82867974046803239</v>
      </c>
      <c r="L17" s="36"/>
      <c r="M17" s="59">
        <f>J17/$J$16</f>
        <v>0.25059523809523809</v>
      </c>
      <c r="N17" s="60">
        <f>K17/$K$16</f>
        <v>0.25059523809523809</v>
      </c>
      <c r="O17" s="60">
        <f t="shared" ref="O17:O20" si="8">AVERAGE(M17:N17)</f>
        <v>0.25059523809523809</v>
      </c>
    </row>
    <row r="18" spans="1:15" ht="14.25" customHeight="1" x14ac:dyDescent="0.25">
      <c r="A18" s="46"/>
      <c r="B18" s="46">
        <v>8</v>
      </c>
      <c r="C18" s="36" t="s">
        <v>3157</v>
      </c>
      <c r="D18" s="46" t="s">
        <v>3148</v>
      </c>
      <c r="E18" s="46" t="s">
        <v>3148</v>
      </c>
      <c r="F18" s="46" t="s">
        <v>3148</v>
      </c>
      <c r="G18" s="46" t="s">
        <v>3148</v>
      </c>
      <c r="H18" s="46">
        <v>577</v>
      </c>
      <c r="I18" s="47">
        <f t="shared" si="6"/>
        <v>79.628271487934683</v>
      </c>
      <c r="J18" s="47">
        <f t="shared" ref="J18:J20" si="9">H18/H$6*J$7</f>
        <v>5.7628490194648974</v>
      </c>
      <c r="K18" s="47">
        <f t="shared" si="7"/>
        <v>1.1357439673397973</v>
      </c>
      <c r="L18" s="36"/>
      <c r="M18" s="59">
        <f t="shared" ref="M18:M20" si="10">J18/$J$16</f>
        <v>0.34345238095238095</v>
      </c>
      <c r="N18" s="60">
        <f t="shared" ref="N18:N20" si="11">K18/$K$16</f>
        <v>0.34345238095238095</v>
      </c>
      <c r="O18" s="60">
        <f t="shared" si="8"/>
        <v>0.34345238095238095</v>
      </c>
    </row>
    <row r="19" spans="1:15" ht="14.25" customHeight="1" x14ac:dyDescent="0.25">
      <c r="A19" s="46"/>
      <c r="B19" s="46">
        <v>9</v>
      </c>
      <c r="C19" s="36" t="s">
        <v>3158</v>
      </c>
      <c r="D19" s="46"/>
      <c r="E19" s="46"/>
      <c r="F19" s="46"/>
      <c r="G19" s="46"/>
      <c r="H19" s="46">
        <v>542</v>
      </c>
      <c r="I19" s="47">
        <f t="shared" si="6"/>
        <v>74.798133702704675</v>
      </c>
      <c r="J19" s="47">
        <f t="shared" si="9"/>
        <v>5.4132827877815846</v>
      </c>
      <c r="K19" s="47">
        <f t="shared" si="7"/>
        <v>1.0668513523365166</v>
      </c>
      <c r="L19" s="36"/>
      <c r="M19" s="59">
        <f t="shared" si="10"/>
        <v>0.32261904761904764</v>
      </c>
      <c r="N19" s="60">
        <f t="shared" si="11"/>
        <v>0.32261904761904758</v>
      </c>
      <c r="O19" s="60">
        <f t="shared" si="8"/>
        <v>0.32261904761904758</v>
      </c>
    </row>
    <row r="20" spans="1:15" ht="14.25" customHeight="1" x14ac:dyDescent="0.25">
      <c r="A20" s="46"/>
      <c r="B20" s="46">
        <v>10</v>
      </c>
      <c r="C20" s="36" t="s">
        <v>3159</v>
      </c>
      <c r="D20" s="46"/>
      <c r="E20" s="46"/>
      <c r="F20" s="46"/>
      <c r="G20" s="46"/>
      <c r="H20" s="46">
        <v>140</v>
      </c>
      <c r="I20" s="47">
        <f t="shared" si="6"/>
        <v>19.320551140920028</v>
      </c>
      <c r="J20" s="47">
        <f t="shared" si="9"/>
        <v>1.3982649267332508</v>
      </c>
      <c r="K20" s="47">
        <f t="shared" si="7"/>
        <v>0.27557046001312241</v>
      </c>
      <c r="L20" s="36"/>
      <c r="M20" s="59">
        <f t="shared" si="10"/>
        <v>8.3333333333333343E-2</v>
      </c>
      <c r="N20" s="60">
        <f t="shared" si="11"/>
        <v>8.3333333333333343E-2</v>
      </c>
      <c r="O20" s="60">
        <f t="shared" si="8"/>
        <v>8.3333333333333343E-2</v>
      </c>
    </row>
    <row r="21" spans="1:15" ht="14.25" customHeight="1" x14ac:dyDescent="0.25">
      <c r="A21" s="226"/>
      <c r="B21" s="227"/>
      <c r="C21" s="228"/>
      <c r="D21" s="36"/>
      <c r="E21" s="36"/>
      <c r="F21" s="36"/>
      <c r="G21" s="36"/>
      <c r="H21" s="46"/>
      <c r="I21" s="36"/>
      <c r="J21" s="51"/>
      <c r="K21" s="51"/>
      <c r="L21" s="36"/>
    </row>
    <row r="22" spans="1:15" ht="14.25" customHeight="1" x14ac:dyDescent="0.25">
      <c r="A22" s="41">
        <v>3</v>
      </c>
      <c r="B22" s="233" t="s">
        <v>3160</v>
      </c>
      <c r="C22" s="234"/>
      <c r="D22" s="42" t="s">
        <v>3155</v>
      </c>
      <c r="E22" s="42" t="s">
        <v>3155</v>
      </c>
      <c r="F22" s="42" t="s">
        <v>3155</v>
      </c>
      <c r="G22" s="42" t="s">
        <v>3155</v>
      </c>
      <c r="H22" s="43">
        <v>1315</v>
      </c>
      <c r="I22" s="44">
        <f>SUM(I23:I27)</f>
        <v>181.47517678792735</v>
      </c>
      <c r="J22" s="44">
        <f>SUM(J23:J27)</f>
        <v>13.133702704673032</v>
      </c>
      <c r="K22" s="44">
        <f>SUM(K23:K27)</f>
        <v>2.5883939636946858</v>
      </c>
      <c r="L22" s="36"/>
    </row>
    <row r="23" spans="1:15" ht="14.25" customHeight="1" x14ac:dyDescent="0.25">
      <c r="A23" s="46"/>
      <c r="B23" s="46">
        <v>11</v>
      </c>
      <c r="C23" s="36" t="s">
        <v>3161</v>
      </c>
      <c r="D23" s="46" t="s">
        <v>3148</v>
      </c>
      <c r="E23" s="46" t="s">
        <v>3148</v>
      </c>
      <c r="F23" s="46" t="s">
        <v>3148</v>
      </c>
      <c r="G23" s="46" t="s">
        <v>3148</v>
      </c>
      <c r="H23" s="46">
        <v>683</v>
      </c>
      <c r="I23" s="47">
        <f t="shared" ref="I23:I27" si="12">H23/H$6*I$7</f>
        <v>94.256688780345556</v>
      </c>
      <c r="J23" s="47">
        <f>H23/H$6*J$7</f>
        <v>6.8215353211343581</v>
      </c>
      <c r="K23" s="63">
        <f t="shared" ref="K23:K27" si="13">H23/H$6*K$7</f>
        <v>1.3443901727783043</v>
      </c>
      <c r="L23" s="36"/>
      <c r="M23" s="59">
        <f>J23/$J$22</f>
        <v>0.51939163498098861</v>
      </c>
      <c r="N23" s="59">
        <f>K23/$J$22</f>
        <v>0.10236185506924593</v>
      </c>
      <c r="O23" s="60">
        <f t="shared" ref="O23:O27" si="14">AVERAGE(M23:N23)</f>
        <v>0.31087674502511725</v>
      </c>
    </row>
    <row r="24" spans="1:15" ht="14.25" customHeight="1" x14ac:dyDescent="0.25">
      <c r="A24" s="46"/>
      <c r="B24" s="46">
        <v>12</v>
      </c>
      <c r="C24" s="36" t="s">
        <v>3162</v>
      </c>
      <c r="D24" s="46" t="s">
        <v>3148</v>
      </c>
      <c r="E24" s="46" t="s">
        <v>3148</v>
      </c>
      <c r="F24" s="46" t="s">
        <v>3148</v>
      </c>
      <c r="G24" s="46" t="s">
        <v>3148</v>
      </c>
      <c r="H24" s="46">
        <v>136</v>
      </c>
      <c r="I24" s="47">
        <f t="shared" si="12"/>
        <v>18.768535394036597</v>
      </c>
      <c r="J24" s="47">
        <f t="shared" ref="J24:J27" si="15">H24/H$6*J$7</f>
        <v>1.3583145002551578</v>
      </c>
      <c r="K24" s="63">
        <f t="shared" si="13"/>
        <v>0.26769701829846176</v>
      </c>
      <c r="L24" s="36"/>
      <c r="M24" s="59">
        <f t="shared" ref="M24:N27" si="16">J24/$J$22</f>
        <v>0.10342205323193916</v>
      </c>
      <c r="N24" s="59">
        <f t="shared" si="16"/>
        <v>2.0382448447170493E-2</v>
      </c>
      <c r="O24" s="60">
        <f t="shared" si="14"/>
        <v>6.1902250839554827E-2</v>
      </c>
    </row>
    <row r="25" spans="1:15" ht="14.25" customHeight="1" x14ac:dyDescent="0.25">
      <c r="A25" s="46"/>
      <c r="B25" s="46">
        <v>13</v>
      </c>
      <c r="C25" s="36" t="s">
        <v>3163</v>
      </c>
      <c r="D25" s="46" t="s">
        <v>3148</v>
      </c>
      <c r="E25" s="46" t="s">
        <v>3148</v>
      </c>
      <c r="F25" s="46" t="s">
        <v>3148</v>
      </c>
      <c r="G25" s="46" t="s">
        <v>3148</v>
      </c>
      <c r="H25" s="46">
        <v>219</v>
      </c>
      <c r="I25" s="47">
        <f t="shared" si="12"/>
        <v>30.222862141867754</v>
      </c>
      <c r="J25" s="47">
        <f t="shared" si="15"/>
        <v>2.1872858496755847</v>
      </c>
      <c r="K25" s="63">
        <f t="shared" si="13"/>
        <v>0.43107093387767004</v>
      </c>
      <c r="L25" s="36"/>
      <c r="M25" s="59">
        <f t="shared" si="16"/>
        <v>0.16653992395437262</v>
      </c>
      <c r="N25" s="59">
        <f t="shared" si="16"/>
        <v>3.2821736837723076E-2</v>
      </c>
      <c r="O25" s="60">
        <f t="shared" si="14"/>
        <v>9.9680830396047845E-2</v>
      </c>
    </row>
    <row r="26" spans="1:15" ht="14.25" customHeight="1" x14ac:dyDescent="0.25">
      <c r="A26" s="46"/>
      <c r="B26" s="46">
        <v>14</v>
      </c>
      <c r="C26" s="36" t="s">
        <v>3164</v>
      </c>
      <c r="D26" s="46"/>
      <c r="E26" s="46"/>
      <c r="F26" s="46"/>
      <c r="G26" s="46"/>
      <c r="H26" s="46">
        <v>138</v>
      </c>
      <c r="I26" s="47">
        <f t="shared" si="12"/>
        <v>19.044543267478311</v>
      </c>
      <c r="J26" s="47">
        <f t="shared" si="15"/>
        <v>1.3782897134942043</v>
      </c>
      <c r="K26" s="63">
        <f t="shared" si="13"/>
        <v>0.27163373915579209</v>
      </c>
      <c r="L26" s="36"/>
      <c r="M26" s="59">
        <f t="shared" si="16"/>
        <v>0.10494296577946768</v>
      </c>
      <c r="N26" s="59">
        <f t="shared" si="16"/>
        <v>2.0682190336099471E-2</v>
      </c>
      <c r="O26" s="60">
        <f t="shared" si="14"/>
        <v>6.2812578057783577E-2</v>
      </c>
    </row>
    <row r="27" spans="1:15" ht="14.25" customHeight="1" x14ac:dyDescent="0.25">
      <c r="A27" s="46"/>
      <c r="B27" s="46">
        <v>15</v>
      </c>
      <c r="C27" s="36" t="s">
        <v>3165</v>
      </c>
      <c r="D27" s="46"/>
      <c r="E27" s="46"/>
      <c r="F27" s="46"/>
      <c r="G27" s="46"/>
      <c r="H27" s="46">
        <v>139</v>
      </c>
      <c r="I27" s="47">
        <f t="shared" si="12"/>
        <v>19.182547204199167</v>
      </c>
      <c r="J27" s="47">
        <f t="shared" si="15"/>
        <v>1.3882773201137275</v>
      </c>
      <c r="K27" s="63">
        <f t="shared" si="13"/>
        <v>0.27360209958445725</v>
      </c>
      <c r="L27" s="36"/>
      <c r="M27" s="59">
        <f t="shared" si="16"/>
        <v>0.10570342205323195</v>
      </c>
      <c r="N27" s="59">
        <f t="shared" si="16"/>
        <v>2.083206128056396E-2</v>
      </c>
      <c r="O27" s="60">
        <f t="shared" si="14"/>
        <v>6.3267741666897956E-2</v>
      </c>
    </row>
    <row r="28" spans="1:15" ht="14.25" customHeight="1" x14ac:dyDescent="0.25">
      <c r="A28" s="226"/>
      <c r="B28" s="227"/>
      <c r="C28" s="228"/>
      <c r="D28" s="36"/>
      <c r="E28" s="36"/>
      <c r="F28" s="36"/>
      <c r="G28" s="36"/>
      <c r="H28" s="46"/>
      <c r="I28" s="36"/>
      <c r="J28" s="51"/>
      <c r="K28" s="51"/>
      <c r="L28" s="36"/>
    </row>
    <row r="29" spans="1:15" ht="14.25" customHeight="1" x14ac:dyDescent="0.25">
      <c r="A29" s="41">
        <v>4</v>
      </c>
      <c r="B29" s="52" t="s">
        <v>3166</v>
      </c>
      <c r="C29" s="42"/>
      <c r="D29" s="42"/>
      <c r="E29" s="42"/>
      <c r="F29" s="42"/>
      <c r="G29" s="42"/>
      <c r="H29" s="43">
        <v>754</v>
      </c>
      <c r="I29" s="44">
        <f>SUM(I30:I31)</f>
        <v>104.05496828752644</v>
      </c>
      <c r="J29" s="44">
        <f>SUM(J30:J31)</f>
        <v>7.5306553911205079</v>
      </c>
      <c r="K29" s="44">
        <f>SUM(K30:K31)</f>
        <v>1.4841437632135306</v>
      </c>
      <c r="L29" s="36"/>
    </row>
    <row r="30" spans="1:15" ht="14.25" customHeight="1" x14ac:dyDescent="0.25">
      <c r="A30" s="46"/>
      <c r="B30" s="46">
        <v>16</v>
      </c>
      <c r="C30" s="36" t="s">
        <v>3167</v>
      </c>
      <c r="D30" s="36"/>
      <c r="E30" s="36"/>
      <c r="F30" s="36"/>
      <c r="G30" s="36"/>
      <c r="H30" s="46">
        <v>423</v>
      </c>
      <c r="I30" s="47">
        <f t="shared" ref="I30:I31" si="17">H30/H$6*I$7</f>
        <v>58.37566523292265</v>
      </c>
      <c r="J30" s="47">
        <f t="shared" ref="J30:J31" si="18">H30/H$6*J$7</f>
        <v>4.2247576000583216</v>
      </c>
      <c r="K30" s="47">
        <f t="shared" ref="K30:K31" si="19">H30/H$6*K$7</f>
        <v>0.83261646132536271</v>
      </c>
      <c r="L30" s="36"/>
      <c r="M30" s="59">
        <f>J30/$J$29</f>
        <v>0.56100795755968158</v>
      </c>
      <c r="N30" s="59">
        <f>K30/$J$29</f>
        <v>0.11056361207380588</v>
      </c>
      <c r="O30" s="60">
        <f t="shared" ref="O30:O31" si="20">AVERAGE(M30:N30)</f>
        <v>0.3357857848167437</v>
      </c>
    </row>
    <row r="31" spans="1:15" ht="14.25" customHeight="1" x14ac:dyDescent="0.25">
      <c r="A31" s="46"/>
      <c r="B31" s="46">
        <v>17</v>
      </c>
      <c r="C31" s="36" t="s">
        <v>3168</v>
      </c>
      <c r="D31" s="36"/>
      <c r="E31" s="36"/>
      <c r="F31" s="36"/>
      <c r="G31" s="36"/>
      <c r="H31" s="46">
        <v>331</v>
      </c>
      <c r="I31" s="47">
        <f t="shared" si="17"/>
        <v>45.679303054603778</v>
      </c>
      <c r="J31" s="47">
        <f t="shared" si="18"/>
        <v>3.3058977910621858</v>
      </c>
      <c r="K31" s="47">
        <f t="shared" si="19"/>
        <v>0.65152730188816799</v>
      </c>
      <c r="L31" s="36"/>
      <c r="M31" s="59">
        <f>J31/$J$29</f>
        <v>0.43899204244031831</v>
      </c>
      <c r="N31" s="59">
        <f>K31/$J$29</f>
        <v>8.6516679896997031E-2</v>
      </c>
      <c r="O31" s="60">
        <f t="shared" si="20"/>
        <v>0.26275436116865769</v>
      </c>
    </row>
    <row r="32" spans="1:15" ht="14.25" customHeight="1" x14ac:dyDescent="0.25">
      <c r="A32" s="226"/>
      <c r="B32" s="227"/>
      <c r="C32" s="228"/>
      <c r="D32" s="36"/>
      <c r="E32" s="36"/>
      <c r="F32" s="36"/>
      <c r="G32" s="36"/>
      <c r="H32" s="46"/>
      <c r="I32" s="46"/>
      <c r="J32" s="51"/>
      <c r="K32" s="51"/>
      <c r="L32" s="36"/>
    </row>
    <row r="33" spans="1:15" ht="14.25" customHeight="1" x14ac:dyDescent="0.25">
      <c r="A33" s="41">
        <v>5</v>
      </c>
      <c r="B33" s="53" t="s">
        <v>3169</v>
      </c>
      <c r="C33" s="42"/>
      <c r="D33" s="42"/>
      <c r="E33" s="42"/>
      <c r="F33" s="42"/>
      <c r="G33" s="42"/>
      <c r="H33" s="43">
        <f>SUM(H34:H36)</f>
        <v>1807</v>
      </c>
      <c r="I33" s="44">
        <f>SUM(I34:I36)</f>
        <v>249.37311365458922</v>
      </c>
      <c r="J33" s="43">
        <f>SUM(J34:J36)</f>
        <v>18.047605161478458</v>
      </c>
      <c r="K33" s="44">
        <f>SUM(K34:K36)</f>
        <v>3.5568272945979444</v>
      </c>
      <c r="L33" s="36"/>
    </row>
    <row r="34" spans="1:15" ht="14.25" customHeight="1" x14ac:dyDescent="0.25">
      <c r="A34" s="46"/>
      <c r="B34" s="46">
        <v>18</v>
      </c>
      <c r="C34" s="36" t="s">
        <v>3170</v>
      </c>
      <c r="D34" s="36"/>
      <c r="E34" s="36"/>
      <c r="F34" s="36"/>
      <c r="G34" s="36"/>
      <c r="H34" s="46">
        <v>1004</v>
      </c>
      <c r="I34" s="47">
        <f t="shared" ref="I34:I36" si="21">H34/H$6*I$7</f>
        <v>138.55595246774078</v>
      </c>
      <c r="J34" s="47">
        <f t="shared" ref="J34:J36" si="22">H34/H$6*J$7</f>
        <v>10.027557046001313</v>
      </c>
      <c r="K34" s="47">
        <f t="shared" ref="K34:K36" si="23">H34/H$6*K$7</f>
        <v>1.9762338703798208</v>
      </c>
      <c r="L34" s="36"/>
      <c r="M34" s="59">
        <f>J34/$J$33</f>
        <v>0.55561704482567797</v>
      </c>
      <c r="N34" s="59">
        <f>K34/K33</f>
        <v>0.55561704482567786</v>
      </c>
      <c r="O34" s="60">
        <f t="shared" ref="O34:O36" si="24">AVERAGE(M34:N34)</f>
        <v>0.55561704482567786</v>
      </c>
    </row>
    <row r="35" spans="1:15" ht="14.25" customHeight="1" x14ac:dyDescent="0.25">
      <c r="A35" s="46"/>
      <c r="B35" s="46">
        <v>19</v>
      </c>
      <c r="C35" s="36" t="s">
        <v>3171</v>
      </c>
      <c r="D35" s="36"/>
      <c r="E35" s="36"/>
      <c r="F35" s="36"/>
      <c r="G35" s="36"/>
      <c r="H35" s="46">
        <v>344</v>
      </c>
      <c r="I35" s="47">
        <f t="shared" si="21"/>
        <v>47.473354231974923</v>
      </c>
      <c r="J35" s="47">
        <f t="shared" si="22"/>
        <v>3.4357366771159872</v>
      </c>
      <c r="K35" s="47">
        <f t="shared" si="23"/>
        <v>0.67711598746081503</v>
      </c>
      <c r="L35" s="36"/>
      <c r="M35" s="59">
        <f t="shared" ref="M35:M36" si="25">J35/$J$33</f>
        <v>0.19037078029883783</v>
      </c>
      <c r="N35" s="59">
        <f t="shared" ref="N35:N36" si="26">K35/K34</f>
        <v>0.34262948207171312</v>
      </c>
      <c r="O35" s="60">
        <f t="shared" si="24"/>
        <v>0.26650013118527549</v>
      </c>
    </row>
    <row r="36" spans="1:15" ht="14.25" customHeight="1" x14ac:dyDescent="0.25">
      <c r="A36" s="46"/>
      <c r="B36" s="46">
        <v>20</v>
      </c>
      <c r="C36" s="36" t="s">
        <v>3172</v>
      </c>
      <c r="D36" s="36"/>
      <c r="E36" s="36"/>
      <c r="F36" s="36"/>
      <c r="G36" s="36"/>
      <c r="H36" s="46">
        <v>459</v>
      </c>
      <c r="I36" s="47">
        <f t="shared" si="21"/>
        <v>63.343806954873514</v>
      </c>
      <c r="J36" s="47">
        <f t="shared" si="22"/>
        <v>4.5843114383611576</v>
      </c>
      <c r="K36" s="47">
        <f t="shared" si="23"/>
        <v>0.90347743675730841</v>
      </c>
      <c r="L36" s="36"/>
      <c r="M36" s="59">
        <f t="shared" si="25"/>
        <v>0.25401217487548422</v>
      </c>
      <c r="N36" s="59">
        <f t="shared" si="26"/>
        <v>1.3343023255813953</v>
      </c>
      <c r="O36" s="60">
        <f t="shared" si="24"/>
        <v>0.79415725022843975</v>
      </c>
    </row>
    <row r="37" spans="1:15" ht="14.25" customHeight="1" x14ac:dyDescent="0.25">
      <c r="A37" s="226"/>
      <c r="B37" s="227"/>
      <c r="C37" s="228"/>
      <c r="D37" s="36"/>
      <c r="E37" s="36"/>
      <c r="F37" s="36"/>
      <c r="G37" s="36"/>
      <c r="H37" s="46"/>
      <c r="I37" s="46"/>
      <c r="J37" s="51"/>
      <c r="K37" s="51"/>
      <c r="L37" s="36"/>
    </row>
    <row r="38" spans="1:15" ht="14.25" customHeight="1" x14ac:dyDescent="0.25">
      <c r="A38" s="41">
        <v>6</v>
      </c>
      <c r="B38" s="52" t="s">
        <v>3173</v>
      </c>
      <c r="C38" s="42"/>
      <c r="D38" s="42"/>
      <c r="E38" s="42"/>
      <c r="F38" s="42"/>
      <c r="G38" s="42"/>
      <c r="H38" s="43">
        <v>2033</v>
      </c>
      <c r="I38" s="44">
        <f>SUM(I39:I44)</f>
        <v>280.56200335350297</v>
      </c>
      <c r="J38" s="44">
        <f>SUM(J39:J44)</f>
        <v>20.304804257490705</v>
      </c>
      <c r="K38" s="44">
        <f>SUM(K39:K44)</f>
        <v>4.0016767514762703</v>
      </c>
      <c r="L38" s="36"/>
    </row>
    <row r="39" spans="1:15" ht="14.25" customHeight="1" x14ac:dyDescent="0.25">
      <c r="A39" s="46"/>
      <c r="B39" s="46">
        <v>21</v>
      </c>
      <c r="C39" s="36" t="s">
        <v>3174</v>
      </c>
      <c r="D39" s="36"/>
      <c r="E39" s="36"/>
      <c r="F39" s="36"/>
      <c r="G39" s="36"/>
      <c r="H39" s="46">
        <v>853</v>
      </c>
      <c r="I39" s="47">
        <f t="shared" ref="I39:I44" si="27">H39/H$6*I$7</f>
        <v>117.7173580228913</v>
      </c>
      <c r="J39" s="47">
        <f t="shared" ref="J39:J44" si="28">H39/H$6*J$7</f>
        <v>8.5194284464533059</v>
      </c>
      <c r="K39" s="47">
        <f t="shared" ref="K39:K44" si="29">H39/H$6*K$7</f>
        <v>1.6790114456513814</v>
      </c>
      <c r="L39" s="36"/>
      <c r="M39" s="59">
        <f>J39/$J$38</f>
        <v>0.41957697983275943</v>
      </c>
      <c r="N39" s="59">
        <f>K39/K38</f>
        <v>0.41957697983275943</v>
      </c>
      <c r="O39" s="60">
        <f t="shared" ref="O39:O44" si="30">AVERAGE(M39:N39)</f>
        <v>0.41957697983275943</v>
      </c>
    </row>
    <row r="40" spans="1:15" ht="14.25" customHeight="1" x14ac:dyDescent="0.25">
      <c r="A40" s="46"/>
      <c r="B40" s="46">
        <v>22</v>
      </c>
      <c r="C40" s="36" t="s">
        <v>3175</v>
      </c>
      <c r="D40" s="36"/>
      <c r="E40" s="36"/>
      <c r="F40" s="36"/>
      <c r="G40" s="36"/>
      <c r="H40" s="46">
        <v>360</v>
      </c>
      <c r="I40" s="47">
        <f t="shared" si="27"/>
        <v>49.681417219508639</v>
      </c>
      <c r="J40" s="47">
        <f t="shared" si="28"/>
        <v>3.5955383830283592</v>
      </c>
      <c r="K40" s="47">
        <f t="shared" si="29"/>
        <v>0.70860975431945761</v>
      </c>
      <c r="L40" s="36"/>
      <c r="M40" s="59">
        <f t="shared" ref="M40:M44" si="31">J40/$J$38</f>
        <v>0.17707820954254797</v>
      </c>
      <c r="N40" s="59">
        <f t="shared" ref="N40:N44" si="32">K40/K39</f>
        <v>0.4220398593200469</v>
      </c>
      <c r="O40" s="60">
        <f t="shared" si="30"/>
        <v>0.29955903443129744</v>
      </c>
    </row>
    <row r="41" spans="1:15" ht="14.25" customHeight="1" x14ac:dyDescent="0.25">
      <c r="A41" s="46"/>
      <c r="B41" s="46">
        <v>23</v>
      </c>
      <c r="C41" s="36" t="s">
        <v>3176</v>
      </c>
      <c r="D41" s="36"/>
      <c r="E41" s="36"/>
      <c r="F41" s="36"/>
      <c r="G41" s="36"/>
      <c r="H41" s="46">
        <v>56</v>
      </c>
      <c r="I41" s="47">
        <f t="shared" si="27"/>
        <v>7.7282204563680104</v>
      </c>
      <c r="J41" s="47">
        <f t="shared" si="28"/>
        <v>0.55930597069330024</v>
      </c>
      <c r="K41" s="47">
        <f t="shared" si="29"/>
        <v>0.11022818400524896</v>
      </c>
      <c r="L41" s="36"/>
      <c r="M41" s="59">
        <f t="shared" si="31"/>
        <v>2.7545499262174124E-2</v>
      </c>
      <c r="N41" s="59">
        <f t="shared" si="32"/>
        <v>0.15555555555555556</v>
      </c>
      <c r="O41" s="60">
        <f t="shared" si="30"/>
        <v>9.1550527408864837E-2</v>
      </c>
    </row>
    <row r="42" spans="1:15" ht="14.25" customHeight="1" x14ac:dyDescent="0.25">
      <c r="A42" s="46"/>
      <c r="B42" s="46">
        <v>24</v>
      </c>
      <c r="C42" s="36" t="s">
        <v>3177</v>
      </c>
      <c r="D42" s="36"/>
      <c r="E42" s="36"/>
      <c r="F42" s="36"/>
      <c r="G42" s="36"/>
      <c r="H42" s="46">
        <v>46</v>
      </c>
      <c r="I42" s="47">
        <f t="shared" si="27"/>
        <v>6.3481810891594375</v>
      </c>
      <c r="J42" s="47">
        <f t="shared" si="28"/>
        <v>0.45942990449806809</v>
      </c>
      <c r="K42" s="47">
        <f t="shared" si="29"/>
        <v>9.0544579718597362E-2</v>
      </c>
      <c r="L42" s="36"/>
      <c r="M42" s="59">
        <f t="shared" si="31"/>
        <v>2.2626660108214462E-2</v>
      </c>
      <c r="N42" s="59">
        <f t="shared" si="32"/>
        <v>0.8214285714285714</v>
      </c>
      <c r="O42" s="60">
        <f t="shared" si="30"/>
        <v>0.42202761576839293</v>
      </c>
    </row>
    <row r="43" spans="1:15" ht="14.25" customHeight="1" x14ac:dyDescent="0.25">
      <c r="A43" s="46"/>
      <c r="B43" s="46">
        <v>25</v>
      </c>
      <c r="C43" s="36" t="s">
        <v>3206</v>
      </c>
      <c r="D43" s="36"/>
      <c r="E43" s="36"/>
      <c r="F43" s="36"/>
      <c r="G43" s="36"/>
      <c r="H43" s="46">
        <v>137</v>
      </c>
      <c r="I43" s="47">
        <f t="shared" si="27"/>
        <v>18.906539330757454</v>
      </c>
      <c r="J43" s="47">
        <f t="shared" si="28"/>
        <v>1.368302106874681</v>
      </c>
      <c r="K43" s="47">
        <f t="shared" si="29"/>
        <v>0.26966537872712693</v>
      </c>
      <c r="L43" s="36"/>
      <c r="M43" s="59">
        <f t="shared" si="31"/>
        <v>6.7388096409247422E-2</v>
      </c>
      <c r="N43" s="59">
        <f t="shared" si="32"/>
        <v>2.9782608695652173</v>
      </c>
      <c r="O43" s="60">
        <f t="shared" si="30"/>
        <v>1.5228244829872324</v>
      </c>
    </row>
    <row r="44" spans="1:15" ht="14.25" customHeight="1" x14ac:dyDescent="0.25">
      <c r="A44" s="46"/>
      <c r="B44" s="46">
        <v>26</v>
      </c>
      <c r="C44" s="36" t="s">
        <v>3179</v>
      </c>
      <c r="D44" s="36"/>
      <c r="E44" s="36"/>
      <c r="F44" s="36"/>
      <c r="G44" s="36"/>
      <c r="H44" s="46">
        <v>581</v>
      </c>
      <c r="I44" s="47">
        <f t="shared" si="27"/>
        <v>80.18028723481811</v>
      </c>
      <c r="J44" s="47">
        <f t="shared" si="28"/>
        <v>5.8027994459429904</v>
      </c>
      <c r="K44" s="47">
        <f t="shared" si="29"/>
        <v>1.143617409054458</v>
      </c>
      <c r="L44" s="36"/>
      <c r="M44" s="59">
        <f t="shared" si="31"/>
        <v>0.28578455484505655</v>
      </c>
      <c r="N44" s="59">
        <f t="shared" si="32"/>
        <v>4.2408759124087592</v>
      </c>
      <c r="O44" s="60">
        <f t="shared" si="30"/>
        <v>2.2633302336269079</v>
      </c>
    </row>
    <row r="45" spans="1:15" ht="14.25" customHeight="1" x14ac:dyDescent="0.25">
      <c r="A45" s="226"/>
      <c r="B45" s="227"/>
      <c r="C45" s="228"/>
      <c r="D45" s="36"/>
      <c r="E45" s="36"/>
      <c r="F45" s="36"/>
      <c r="G45" s="36"/>
      <c r="H45" s="46"/>
      <c r="I45" s="46"/>
      <c r="J45" s="51"/>
      <c r="K45" s="51"/>
      <c r="L45" s="36"/>
    </row>
    <row r="46" spans="1:15" ht="14.25" customHeight="1" x14ac:dyDescent="0.25">
      <c r="A46" s="41">
        <v>7</v>
      </c>
      <c r="B46" s="53" t="s">
        <v>3180</v>
      </c>
      <c r="C46" s="42"/>
      <c r="D46" s="42"/>
      <c r="E46" s="42"/>
      <c r="F46" s="42"/>
      <c r="G46" s="42"/>
      <c r="H46" s="43">
        <v>1607</v>
      </c>
      <c r="I46" s="44">
        <f>SUM(I47:I49)</f>
        <v>221.77232631041775</v>
      </c>
      <c r="J46" s="64">
        <f>SUM(J47:J49)</f>
        <v>16.050083837573812</v>
      </c>
      <c r="K46" s="44">
        <f>SUM(K47:K49)</f>
        <v>3.1631552088649126</v>
      </c>
      <c r="L46" s="36"/>
    </row>
    <row r="47" spans="1:15" ht="14.25" customHeight="1" x14ac:dyDescent="0.25">
      <c r="A47" s="46"/>
      <c r="B47" s="46">
        <v>27</v>
      </c>
      <c r="C47" s="36" t="s">
        <v>3181</v>
      </c>
      <c r="D47" s="36"/>
      <c r="E47" s="36"/>
      <c r="F47" s="36"/>
      <c r="G47" s="36"/>
      <c r="H47" s="46">
        <v>1130</v>
      </c>
      <c r="I47" s="47">
        <f t="shared" ref="I47:I49" si="33">H47/H$6*I$7</f>
        <v>155.9444484945688</v>
      </c>
      <c r="J47" s="47">
        <f t="shared" ref="J47:J49" si="34">H47/H$6*J$7</f>
        <v>11.285995480061239</v>
      </c>
      <c r="K47" s="47">
        <f t="shared" ref="K47:K49" si="35">H47/H$6*K$7</f>
        <v>2.2242472843916312</v>
      </c>
      <c r="L47" s="36"/>
      <c r="M47" s="59">
        <f>J47/$J$46</f>
        <v>0.70317361543248302</v>
      </c>
      <c r="N47" s="59">
        <f>K47/$K$46</f>
        <v>0.70317361543248291</v>
      </c>
      <c r="O47" s="60">
        <f t="shared" ref="O47:O49" si="36">AVERAGE(M47:N47)</f>
        <v>0.70317361543248302</v>
      </c>
    </row>
    <row r="48" spans="1:15" ht="14.25" customHeight="1" x14ac:dyDescent="0.25">
      <c r="A48" s="46"/>
      <c r="B48" s="46">
        <v>28</v>
      </c>
      <c r="C48" s="36" t="s">
        <v>3207</v>
      </c>
      <c r="D48" s="36"/>
      <c r="E48" s="36"/>
      <c r="F48" s="36"/>
      <c r="G48" s="36"/>
      <c r="H48" s="46">
        <v>462</v>
      </c>
      <c r="I48" s="47">
        <f t="shared" si="33"/>
        <v>63.757818765036085</v>
      </c>
      <c r="J48" s="47">
        <f t="shared" si="34"/>
        <v>4.6142742582197274</v>
      </c>
      <c r="K48" s="47">
        <f t="shared" si="35"/>
        <v>0.90938251804330394</v>
      </c>
      <c r="L48" s="36"/>
      <c r="M48" s="59">
        <f t="shared" ref="M48" si="37">J48/$J$46</f>
        <v>0.28749222153080278</v>
      </c>
      <c r="N48" s="59">
        <f t="shared" ref="N48" si="38">K48/$K$46</f>
        <v>0.28749222153080267</v>
      </c>
      <c r="O48" s="60">
        <f t="shared" si="36"/>
        <v>0.28749222153080273</v>
      </c>
    </row>
    <row r="49" spans="1:15" ht="14.25" customHeight="1" x14ac:dyDescent="0.25">
      <c r="A49" s="46"/>
      <c r="B49" s="46">
        <v>29</v>
      </c>
      <c r="C49" s="36" t="s">
        <v>3183</v>
      </c>
      <c r="D49" s="36"/>
      <c r="E49" s="36"/>
      <c r="F49" s="36"/>
      <c r="G49" s="36"/>
      <c r="H49" s="46">
        <v>15</v>
      </c>
      <c r="I49" s="47">
        <f t="shared" si="33"/>
        <v>2.0700590508128602</v>
      </c>
      <c r="J49" s="47">
        <f t="shared" si="34"/>
        <v>0.14981409929284831</v>
      </c>
      <c r="K49" s="47">
        <f t="shared" si="35"/>
        <v>2.9525406429977401E-2</v>
      </c>
      <c r="L49" s="36"/>
      <c r="M49" s="59">
        <v>0</v>
      </c>
      <c r="N49" s="59">
        <v>0</v>
      </c>
      <c r="O49" s="60">
        <f t="shared" si="36"/>
        <v>0</v>
      </c>
    </row>
    <row r="50" spans="1:15" ht="14.25" customHeight="1" x14ac:dyDescent="0.25">
      <c r="A50" s="226"/>
      <c r="B50" s="227"/>
      <c r="C50" s="228"/>
      <c r="D50" s="36"/>
      <c r="E50" s="36"/>
      <c r="F50" s="36"/>
      <c r="G50" s="36"/>
      <c r="H50" s="46"/>
      <c r="I50" s="46"/>
      <c r="J50" s="51"/>
      <c r="K50" s="51"/>
      <c r="L50" s="36"/>
    </row>
    <row r="51" spans="1:15" ht="14.25" customHeight="1" x14ac:dyDescent="0.25">
      <c r="A51" s="41">
        <v>8</v>
      </c>
      <c r="B51" s="53" t="s">
        <v>3184</v>
      </c>
      <c r="C51" s="42"/>
      <c r="D51" s="42"/>
      <c r="E51" s="42"/>
      <c r="F51" s="42"/>
      <c r="G51" s="42"/>
      <c r="H51" s="43">
        <v>1518</v>
      </c>
      <c r="I51" s="44">
        <f>SUM(I52:I57)</f>
        <v>209.48997594226142</v>
      </c>
      <c r="J51" s="44">
        <f>SUM(J52:J57)</f>
        <v>15.161186848436248</v>
      </c>
      <c r="K51" s="44">
        <f>SUM(K52:K57)</f>
        <v>2.9879711307137127</v>
      </c>
      <c r="L51" s="36"/>
    </row>
    <row r="52" spans="1:15" ht="14.25" customHeight="1" x14ac:dyDescent="0.25">
      <c r="A52" s="46"/>
      <c r="B52" s="55">
        <v>30</v>
      </c>
      <c r="C52" s="36" t="s">
        <v>3185</v>
      </c>
      <c r="D52" s="36"/>
      <c r="E52" s="36"/>
      <c r="F52" s="36"/>
      <c r="G52" s="36"/>
      <c r="H52" s="46">
        <v>111</v>
      </c>
      <c r="I52" s="47">
        <f t="shared" ref="I52:I57" si="39">H52/H$6*I$7</f>
        <v>15.318436976015166</v>
      </c>
      <c r="J52" s="47">
        <f t="shared" ref="J52:J57" si="40">H52/H$6*J$7</f>
        <v>1.1086243347670774</v>
      </c>
      <c r="K52" s="47">
        <f t="shared" ref="K52:K57" si="41">H52/H$6*K$7</f>
        <v>0.21848800758183279</v>
      </c>
      <c r="L52" s="36"/>
      <c r="M52" s="59">
        <f>J52/$J$51</f>
        <v>7.3122529644268769E-2</v>
      </c>
      <c r="N52" s="59">
        <v>0</v>
      </c>
      <c r="O52" s="60">
        <f t="shared" ref="O52:O57" si="42">AVERAGE(M52:N52)</f>
        <v>3.6561264822134384E-2</v>
      </c>
    </row>
    <row r="53" spans="1:15" ht="14.25" customHeight="1" x14ac:dyDescent="0.25">
      <c r="A53" s="46"/>
      <c r="B53" s="55">
        <v>31</v>
      </c>
      <c r="C53" s="36" t="s">
        <v>3186</v>
      </c>
      <c r="D53" s="36"/>
      <c r="E53" s="36"/>
      <c r="F53" s="36"/>
      <c r="G53" s="36"/>
      <c r="H53" s="46">
        <v>112</v>
      </c>
      <c r="I53" s="47">
        <f t="shared" si="39"/>
        <v>15.456440912736021</v>
      </c>
      <c r="J53" s="47">
        <f t="shared" si="40"/>
        <v>1.1186119413866005</v>
      </c>
      <c r="K53" s="47">
        <f t="shared" si="41"/>
        <v>0.22045636801049792</v>
      </c>
      <c r="L53" s="36"/>
      <c r="M53" s="59">
        <f t="shared" ref="M53:M57" si="43">J53/$J$51</f>
        <v>7.3781291172595506E-2</v>
      </c>
      <c r="N53" s="59">
        <v>0</v>
      </c>
      <c r="O53" s="60">
        <f t="shared" si="42"/>
        <v>3.6890645586297753E-2</v>
      </c>
    </row>
    <row r="54" spans="1:15" ht="14.25" customHeight="1" x14ac:dyDescent="0.25">
      <c r="A54" s="46"/>
      <c r="B54" s="55">
        <v>32</v>
      </c>
      <c r="C54" s="36" t="s">
        <v>3187</v>
      </c>
      <c r="D54" s="36"/>
      <c r="E54" s="36"/>
      <c r="F54" s="36"/>
      <c r="G54" s="36"/>
      <c r="H54" s="46">
        <v>105</v>
      </c>
      <c r="I54" s="47">
        <f t="shared" si="39"/>
        <v>14.49041335569002</v>
      </c>
      <c r="J54" s="47">
        <f t="shared" si="40"/>
        <v>1.0486986950499382</v>
      </c>
      <c r="K54" s="47">
        <f t="shared" si="41"/>
        <v>0.20667784500984182</v>
      </c>
      <c r="L54" s="36"/>
      <c r="M54" s="59">
        <f t="shared" si="43"/>
        <v>6.9169960474308304E-2</v>
      </c>
      <c r="N54" s="59">
        <v>0</v>
      </c>
      <c r="O54" s="60">
        <f t="shared" si="42"/>
        <v>3.4584980237154152E-2</v>
      </c>
    </row>
    <row r="55" spans="1:15" ht="14.25" customHeight="1" x14ac:dyDescent="0.25">
      <c r="A55" s="46"/>
      <c r="B55" s="55">
        <v>33</v>
      </c>
      <c r="C55" s="36" t="s">
        <v>3188</v>
      </c>
      <c r="D55" s="36"/>
      <c r="E55" s="36"/>
      <c r="F55" s="36"/>
      <c r="G55" s="36"/>
      <c r="H55" s="46">
        <v>376</v>
      </c>
      <c r="I55" s="47">
        <f t="shared" si="39"/>
        <v>51.889480207042361</v>
      </c>
      <c r="J55" s="47">
        <f t="shared" si="40"/>
        <v>3.7553400889407307</v>
      </c>
      <c r="K55" s="47">
        <f t="shared" si="41"/>
        <v>0.74010352117810019</v>
      </c>
      <c r="L55" s="36"/>
      <c r="M55" s="59">
        <f t="shared" si="43"/>
        <v>0.24769433465085638</v>
      </c>
      <c r="N55" s="59">
        <f t="shared" ref="N55:N57" si="44">K55/$K$51</f>
        <v>0.24769433465085641</v>
      </c>
      <c r="O55" s="60">
        <f t="shared" si="42"/>
        <v>0.24769433465085638</v>
      </c>
    </row>
    <row r="56" spans="1:15" ht="14.25" customHeight="1" x14ac:dyDescent="0.25">
      <c r="A56" s="46"/>
      <c r="B56" s="55">
        <v>34</v>
      </c>
      <c r="C56" s="36" t="s">
        <v>3189</v>
      </c>
      <c r="D56" s="36"/>
      <c r="E56" s="36"/>
      <c r="F56" s="36"/>
      <c r="G56" s="36"/>
      <c r="H56" s="46">
        <v>386</v>
      </c>
      <c r="I56" s="47">
        <f t="shared" si="39"/>
        <v>53.269519574250928</v>
      </c>
      <c r="J56" s="47">
        <f t="shared" si="40"/>
        <v>3.8552161551359627</v>
      </c>
      <c r="K56" s="47">
        <f t="shared" si="41"/>
        <v>0.7597871254647518</v>
      </c>
      <c r="L56" s="36"/>
      <c r="M56" s="59">
        <f t="shared" si="43"/>
        <v>0.25428194993412384</v>
      </c>
      <c r="N56" s="59">
        <f t="shared" si="44"/>
        <v>0.2542819499341239</v>
      </c>
      <c r="O56" s="60">
        <f t="shared" si="42"/>
        <v>0.2542819499341239</v>
      </c>
    </row>
    <row r="57" spans="1:15" ht="14.25" customHeight="1" x14ac:dyDescent="0.25">
      <c r="A57" s="46"/>
      <c r="B57" s="55">
        <v>35</v>
      </c>
      <c r="C57" s="36" t="s">
        <v>3190</v>
      </c>
      <c r="D57" s="36"/>
      <c r="E57" s="36"/>
      <c r="F57" s="36"/>
      <c r="G57" s="36"/>
      <c r="H57" s="46">
        <v>428</v>
      </c>
      <c r="I57" s="47">
        <f t="shared" si="39"/>
        <v>59.065684916526934</v>
      </c>
      <c r="J57" s="47">
        <f t="shared" si="40"/>
        <v>4.2746956331559378</v>
      </c>
      <c r="K57" s="47">
        <f t="shared" si="41"/>
        <v>0.84245826346868846</v>
      </c>
      <c r="L57" s="36"/>
      <c r="M57" s="59">
        <f t="shared" si="43"/>
        <v>0.28194993412384711</v>
      </c>
      <c r="N57" s="59">
        <f t="shared" si="44"/>
        <v>0.28194993412384717</v>
      </c>
      <c r="O57" s="60">
        <f t="shared" si="42"/>
        <v>0.28194993412384717</v>
      </c>
    </row>
    <row r="58" spans="1:15" ht="14.25" customHeight="1" x14ac:dyDescent="0.25">
      <c r="A58" s="226"/>
      <c r="B58" s="227"/>
      <c r="C58" s="228"/>
      <c r="D58" s="36"/>
      <c r="E58" s="36"/>
      <c r="F58" s="36"/>
      <c r="G58" s="36"/>
      <c r="H58" s="46"/>
      <c r="I58" s="46"/>
      <c r="J58" s="51"/>
      <c r="K58" s="51"/>
      <c r="L58" s="36"/>
    </row>
    <row r="59" spans="1:15" ht="14.25" customHeight="1" x14ac:dyDescent="0.25">
      <c r="A59" s="41">
        <v>9</v>
      </c>
      <c r="B59" s="53" t="s">
        <v>3191</v>
      </c>
      <c r="C59" s="42"/>
      <c r="D59" s="42"/>
      <c r="E59" s="42"/>
      <c r="F59" s="42"/>
      <c r="G59" s="42"/>
      <c r="H59" s="43">
        <v>275</v>
      </c>
      <c r="I59" s="44">
        <f>SUM(I60:I63)</f>
        <v>37.951082598235764</v>
      </c>
      <c r="J59" s="44">
        <f>SUM(J60:J63)</f>
        <v>2.7465918203688853</v>
      </c>
      <c r="K59" s="44">
        <f>SUM(K60:K63)</f>
        <v>0.54129911788291896</v>
      </c>
      <c r="L59" s="36"/>
    </row>
    <row r="60" spans="1:15" ht="14.25" customHeight="1" x14ac:dyDescent="0.25">
      <c r="A60" s="46"/>
      <c r="B60" s="65">
        <v>36</v>
      </c>
      <c r="C60" s="36" t="s">
        <v>3192</v>
      </c>
      <c r="D60" s="36"/>
      <c r="E60" s="36"/>
      <c r="F60" s="36"/>
      <c r="G60" s="36"/>
      <c r="H60" s="46">
        <v>44</v>
      </c>
      <c r="I60" s="47">
        <f t="shared" ref="I60:I63" si="45">H60/H$6*I$7</f>
        <v>6.0721732157177222</v>
      </c>
      <c r="J60" s="47">
        <f t="shared" ref="J60:J63" si="46">H60/H$6*J$7</f>
        <v>0.43945469125902165</v>
      </c>
      <c r="K60" s="63">
        <f t="shared" ref="K60:K63" si="47">H60/H$6*K$7</f>
        <v>8.660785886126704E-2</v>
      </c>
      <c r="L60" s="36"/>
      <c r="M60" s="59">
        <v>0</v>
      </c>
      <c r="N60" s="59">
        <v>0</v>
      </c>
      <c r="O60" s="60">
        <f t="shared" ref="O60:O63" si="48">AVERAGE(M60:N60)</f>
        <v>0</v>
      </c>
    </row>
    <row r="61" spans="1:15" ht="14.25" customHeight="1" x14ac:dyDescent="0.25">
      <c r="A61" s="46"/>
      <c r="B61" s="65">
        <v>37</v>
      </c>
      <c r="C61" s="36" t="s">
        <v>3193</v>
      </c>
      <c r="D61" s="36"/>
      <c r="E61" s="36"/>
      <c r="F61" s="36"/>
      <c r="G61" s="36"/>
      <c r="H61" s="46">
        <v>75</v>
      </c>
      <c r="I61" s="47">
        <f t="shared" si="45"/>
        <v>10.350295254064299</v>
      </c>
      <c r="J61" s="47">
        <f t="shared" si="46"/>
        <v>0.7490704964642414</v>
      </c>
      <c r="K61" s="63">
        <f t="shared" si="47"/>
        <v>0.14762703214988698</v>
      </c>
      <c r="L61" s="36"/>
      <c r="M61" s="59">
        <f t="shared" ref="M61:M63" si="49">J61/$J$59</f>
        <v>0.27272727272727271</v>
      </c>
      <c r="N61" s="59">
        <v>0</v>
      </c>
      <c r="O61" s="60">
        <f t="shared" si="48"/>
        <v>0.13636363636363635</v>
      </c>
    </row>
    <row r="62" spans="1:15" ht="14.25" customHeight="1" x14ac:dyDescent="0.25">
      <c r="A62" s="46"/>
      <c r="B62" s="65">
        <v>38</v>
      </c>
      <c r="C62" s="36" t="s">
        <v>3194</v>
      </c>
      <c r="D62" s="36"/>
      <c r="E62" s="36"/>
      <c r="F62" s="36"/>
      <c r="G62" s="36"/>
      <c r="H62" s="46">
        <v>59</v>
      </c>
      <c r="I62" s="47">
        <f t="shared" si="45"/>
        <v>8.1422322665305824</v>
      </c>
      <c r="J62" s="47">
        <f t="shared" si="46"/>
        <v>0.58926879055186998</v>
      </c>
      <c r="K62" s="63">
        <f t="shared" si="47"/>
        <v>0.11613326529124444</v>
      </c>
      <c r="L62" s="36"/>
      <c r="M62" s="59">
        <f t="shared" si="49"/>
        <v>0.21454545454545457</v>
      </c>
      <c r="N62" s="59">
        <v>0</v>
      </c>
      <c r="O62" s="60">
        <f t="shared" si="48"/>
        <v>0.10727272727272728</v>
      </c>
    </row>
    <row r="63" spans="1:15" ht="14.25" customHeight="1" x14ac:dyDescent="0.25">
      <c r="A63" s="46"/>
      <c r="B63" s="65">
        <v>39</v>
      </c>
      <c r="C63" s="36" t="s">
        <v>3195</v>
      </c>
      <c r="D63" s="36"/>
      <c r="E63" s="36"/>
      <c r="F63" s="36"/>
      <c r="G63" s="36"/>
      <c r="H63" s="46">
        <v>97</v>
      </c>
      <c r="I63" s="47">
        <f t="shared" si="45"/>
        <v>13.38638186192316</v>
      </c>
      <c r="J63" s="47">
        <f t="shared" si="46"/>
        <v>0.96879784209375219</v>
      </c>
      <c r="K63" s="63">
        <f t="shared" si="47"/>
        <v>0.1909309615805205</v>
      </c>
      <c r="L63" s="36"/>
      <c r="M63" s="59">
        <f t="shared" si="49"/>
        <v>0.35272727272727272</v>
      </c>
      <c r="N63" s="59">
        <v>0</v>
      </c>
      <c r="O63" s="60">
        <f t="shared" si="48"/>
        <v>0.17636363636363636</v>
      </c>
    </row>
    <row r="64" spans="1:15" ht="14.25" customHeight="1" x14ac:dyDescent="0.25">
      <c r="A64" s="226"/>
      <c r="B64" s="227"/>
      <c r="C64" s="228"/>
      <c r="D64" s="36"/>
      <c r="E64" s="36"/>
      <c r="F64" s="36"/>
      <c r="G64" s="36"/>
      <c r="H64" s="46"/>
      <c r="I64" s="46"/>
      <c r="J64" s="51"/>
      <c r="K64" s="51"/>
      <c r="L64" s="36"/>
    </row>
    <row r="65" spans="1:12" ht="14.25" customHeight="1" x14ac:dyDescent="0.25">
      <c r="A65" s="41">
        <v>10</v>
      </c>
      <c r="B65" s="53" t="s">
        <v>3196</v>
      </c>
      <c r="C65" s="42"/>
      <c r="D65" s="42"/>
      <c r="E65" s="42"/>
      <c r="F65" s="42"/>
      <c r="G65" s="42"/>
      <c r="H65" s="43">
        <v>62</v>
      </c>
      <c r="I65" s="44">
        <f>SUM(I66:I68)</f>
        <v>8.5562440766931545</v>
      </c>
      <c r="J65" s="44">
        <f>SUM(J66:J68)</f>
        <v>0.61923161041043961</v>
      </c>
      <c r="K65" s="44">
        <f>SUM(K66:K68)</f>
        <v>0.12203834657723993</v>
      </c>
      <c r="L65" s="36"/>
    </row>
    <row r="66" spans="1:12" ht="14.25" customHeight="1" x14ac:dyDescent="0.25">
      <c r="A66" s="46"/>
      <c r="B66" s="65">
        <v>40</v>
      </c>
      <c r="C66" s="36" t="s">
        <v>3197</v>
      </c>
      <c r="D66" s="36"/>
      <c r="E66" s="36"/>
      <c r="F66" s="36"/>
      <c r="G66" s="36"/>
      <c r="H66" s="46">
        <v>16</v>
      </c>
      <c r="I66" s="47">
        <f t="shared" ref="I66:I68" si="50">H66/H$6*I$7</f>
        <v>2.208062987533717</v>
      </c>
      <c r="J66" s="63">
        <f>H66/H$6*J$7</f>
        <v>0.1598017059123715</v>
      </c>
      <c r="K66" s="63">
        <f t="shared" ref="K66:K68" si="51">H66/H$6*K$7</f>
        <v>3.1493766858642559E-2</v>
      </c>
      <c r="L66" s="36"/>
    </row>
    <row r="67" spans="1:12" ht="14.25" customHeight="1" x14ac:dyDescent="0.25">
      <c r="A67" s="46"/>
      <c r="B67" s="65">
        <v>41</v>
      </c>
      <c r="C67" s="36" t="s">
        <v>3198</v>
      </c>
      <c r="D67" s="36"/>
      <c r="E67" s="36"/>
      <c r="F67" s="36"/>
      <c r="G67" s="36"/>
      <c r="H67" s="46">
        <v>20</v>
      </c>
      <c r="I67" s="47">
        <f t="shared" si="50"/>
        <v>2.7600787344171467</v>
      </c>
      <c r="J67" s="63">
        <f t="shared" ref="J67:J68" si="52">H67/H$6*J$7</f>
        <v>0.19975213239046438</v>
      </c>
      <c r="K67" s="63">
        <f t="shared" si="51"/>
        <v>3.9367208573303204E-2</v>
      </c>
      <c r="L67" s="36"/>
    </row>
    <row r="68" spans="1:12" ht="14.25" customHeight="1" x14ac:dyDescent="0.25">
      <c r="A68" s="46"/>
      <c r="B68" s="65">
        <v>42</v>
      </c>
      <c r="C68" s="36" t="s">
        <v>3199</v>
      </c>
      <c r="D68" s="36"/>
      <c r="E68" s="36"/>
      <c r="F68" s="36"/>
      <c r="G68" s="36"/>
      <c r="H68" s="46">
        <v>26</v>
      </c>
      <c r="I68" s="47">
        <f t="shared" si="50"/>
        <v>3.5881023547422908</v>
      </c>
      <c r="J68" s="63">
        <f t="shared" si="52"/>
        <v>0.25967777210760373</v>
      </c>
      <c r="K68" s="63">
        <f t="shared" si="51"/>
        <v>5.1177371145294165E-2</v>
      </c>
      <c r="L68" s="36"/>
    </row>
    <row r="69" spans="1:12" ht="14.25" customHeight="1" x14ac:dyDescent="0.25">
      <c r="A69" s="36"/>
      <c r="B69" s="229"/>
      <c r="C69" s="230"/>
      <c r="D69" s="36" t="s">
        <v>3201</v>
      </c>
      <c r="E69" s="36" t="s">
        <v>3201</v>
      </c>
      <c r="F69" s="36" t="s">
        <v>3201</v>
      </c>
      <c r="G69" s="36" t="s">
        <v>3201</v>
      </c>
      <c r="H69" s="56"/>
      <c r="I69" s="56"/>
      <c r="J69" s="36"/>
      <c r="K69" s="56"/>
      <c r="L69" s="36"/>
    </row>
    <row r="70" spans="1:12" ht="14.25" customHeight="1" x14ac:dyDescent="0.25"/>
    <row r="71" spans="1:12" ht="14.25" customHeight="1" x14ac:dyDescent="0.25"/>
    <row r="72" spans="1:12" ht="14.25" customHeight="1" x14ac:dyDescent="0.25"/>
    <row r="73" spans="1:12" ht="14.25" customHeight="1" x14ac:dyDescent="0.25"/>
    <row r="74" spans="1:12" ht="14.25" customHeight="1" x14ac:dyDescent="0.25"/>
    <row r="75" spans="1:12" ht="14.25" customHeight="1" x14ac:dyDescent="0.25"/>
    <row r="76" spans="1:12" ht="14.25" customHeight="1" x14ac:dyDescent="0.25"/>
    <row r="77" spans="1:12" ht="14.25" customHeight="1" x14ac:dyDescent="0.25"/>
    <row r="78" spans="1:12" ht="14.25" customHeight="1" x14ac:dyDescent="0.25"/>
    <row r="79" spans="1:12" ht="14.25" customHeight="1" x14ac:dyDescent="0.25"/>
    <row r="80" spans="1:12"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sheetData>
  <mergeCells count="16">
    <mergeCell ref="B16:C16"/>
    <mergeCell ref="B5:C5"/>
    <mergeCell ref="B6:C6"/>
    <mergeCell ref="A7:C7"/>
    <mergeCell ref="B8:C8"/>
    <mergeCell ref="A15:C15"/>
    <mergeCell ref="A50:C50"/>
    <mergeCell ref="A58:C58"/>
    <mergeCell ref="A64:C64"/>
    <mergeCell ref="B69:C69"/>
    <mergeCell ref="A21:C21"/>
    <mergeCell ref="B22:C22"/>
    <mergeCell ref="A28:C28"/>
    <mergeCell ref="A32:C32"/>
    <mergeCell ref="A37:C37"/>
    <mergeCell ref="A45:C45"/>
  </mergeCells>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5176A-C71F-42D5-A5A2-D30306ADEBF2}">
  <sheetPr>
    <tabColor rgb="FFFFFF00"/>
  </sheetPr>
  <dimension ref="B1:N997"/>
  <sheetViews>
    <sheetView topLeftCell="A4" zoomScale="90" zoomScaleNormal="90" workbookViewId="0">
      <selection activeCell="I6" sqref="I6"/>
    </sheetView>
  </sheetViews>
  <sheetFormatPr defaultColWidth="14.42578125" defaultRowHeight="15" customHeight="1" x14ac:dyDescent="0.25"/>
  <cols>
    <col min="1" max="1" width="8.7109375" customWidth="1"/>
    <col min="2" max="2" width="7.5703125" customWidth="1"/>
    <col min="3" max="3" width="4.42578125" customWidth="1"/>
    <col min="4" max="4" width="59.85546875" style="66" customWidth="1"/>
    <col min="5" max="6" width="15.5703125" hidden="1" customWidth="1"/>
    <col min="7" max="7" width="15.140625" hidden="1" customWidth="1"/>
    <col min="8" max="8" width="17.42578125" hidden="1" customWidth="1"/>
    <col min="9" max="13" width="12.85546875" customWidth="1"/>
    <col min="14" max="14" width="27.5703125" style="66" customWidth="1"/>
    <col min="15" max="25" width="8.7109375" customWidth="1"/>
  </cols>
  <sheetData>
    <row r="1" spans="2:14" ht="14.25" customHeight="1" x14ac:dyDescent="0.25"/>
    <row r="2" spans="2:14" ht="14.25" customHeight="1" x14ac:dyDescent="0.25">
      <c r="B2" s="31"/>
    </row>
    <row r="3" spans="2:14" ht="14.25" customHeight="1" x14ac:dyDescent="0.25">
      <c r="B3" s="31"/>
    </row>
    <row r="4" spans="2:14" ht="14.25" customHeight="1" thickBot="1" x14ac:dyDescent="0.3"/>
    <row r="5" spans="2:14" ht="38.450000000000003" customHeight="1" thickBot="1" x14ac:dyDescent="0.3">
      <c r="B5" s="67" t="s">
        <v>3132</v>
      </c>
      <c r="C5" s="239" t="s">
        <v>3133</v>
      </c>
      <c r="D5" s="240"/>
      <c r="E5" s="67" t="s">
        <v>3134</v>
      </c>
      <c r="F5" s="67" t="s">
        <v>3135</v>
      </c>
      <c r="G5" s="67" t="s">
        <v>3136</v>
      </c>
      <c r="H5" s="68" t="s">
        <v>3137</v>
      </c>
      <c r="I5" s="69" t="s">
        <v>3208</v>
      </c>
      <c r="J5" s="68" t="s">
        <v>3209</v>
      </c>
      <c r="K5" s="70"/>
      <c r="N5"/>
    </row>
    <row r="6" spans="2:14" ht="38.450000000000003" customHeight="1" thickTop="1" thickBot="1" x14ac:dyDescent="0.3">
      <c r="B6" s="71"/>
      <c r="C6" s="72"/>
      <c r="D6" s="73" t="s">
        <v>3210</v>
      </c>
      <c r="E6" s="71"/>
      <c r="F6" s="71"/>
      <c r="G6" s="71"/>
      <c r="H6" s="74"/>
      <c r="I6" s="75">
        <v>627</v>
      </c>
      <c r="J6" s="74"/>
      <c r="K6" s="66"/>
      <c r="N6"/>
    </row>
    <row r="7" spans="2:14" ht="39.950000000000003" customHeight="1" thickTop="1" x14ac:dyDescent="0.25">
      <c r="B7" s="76"/>
      <c r="C7" s="241"/>
      <c r="D7" s="242"/>
      <c r="E7" s="76"/>
      <c r="F7" s="76"/>
      <c r="G7" s="76"/>
      <c r="H7" s="76"/>
      <c r="I7" s="77"/>
      <c r="J7" s="77">
        <v>105</v>
      </c>
      <c r="K7" s="66"/>
      <c r="N7"/>
    </row>
    <row r="8" spans="2:14" ht="14.25" customHeight="1" x14ac:dyDescent="0.25">
      <c r="B8" s="78">
        <v>1</v>
      </c>
      <c r="C8" s="243" t="s">
        <v>3143</v>
      </c>
      <c r="D8" s="244"/>
      <c r="E8" s="79" t="s">
        <v>3144</v>
      </c>
      <c r="F8" s="79" t="s">
        <v>3144</v>
      </c>
      <c r="G8" s="79" t="s">
        <v>3144</v>
      </c>
      <c r="H8" s="79" t="s">
        <v>3144</v>
      </c>
      <c r="I8" s="80">
        <f>SUM(I9:I14)</f>
        <v>131</v>
      </c>
      <c r="J8" s="81">
        <f>SUM(J9:J14)</f>
        <v>21.937799043062199</v>
      </c>
      <c r="K8" s="66"/>
      <c r="N8"/>
    </row>
    <row r="9" spans="2:14" ht="14.25" customHeight="1" x14ac:dyDescent="0.25">
      <c r="B9" s="82"/>
      <c r="C9" s="83">
        <v>1</v>
      </c>
      <c r="D9" s="84" t="s">
        <v>3147</v>
      </c>
      <c r="E9" s="82" t="s">
        <v>3148</v>
      </c>
      <c r="F9" s="82" t="s">
        <v>3148</v>
      </c>
      <c r="G9" s="82" t="s">
        <v>3148</v>
      </c>
      <c r="H9" s="82" t="s">
        <v>3148</v>
      </c>
      <c r="I9" s="85">
        <v>22</v>
      </c>
      <c r="J9" s="86">
        <f>I9/I$6*J$7</f>
        <v>3.6842105263157894</v>
      </c>
      <c r="K9" s="66"/>
      <c r="N9"/>
    </row>
    <row r="10" spans="2:14" ht="14.25" customHeight="1" x14ac:dyDescent="0.25">
      <c r="B10" s="82"/>
      <c r="C10" s="83">
        <v>2</v>
      </c>
      <c r="D10" s="84" t="s">
        <v>3149</v>
      </c>
      <c r="E10" s="82" t="s">
        <v>3148</v>
      </c>
      <c r="F10" s="82" t="s">
        <v>3148</v>
      </c>
      <c r="G10" s="82" t="s">
        <v>3148</v>
      </c>
      <c r="H10" s="82" t="s">
        <v>3148</v>
      </c>
      <c r="I10" s="85">
        <v>23</v>
      </c>
      <c r="J10" s="86">
        <f t="shared" ref="J10:J14" si="0">I10/I$6*J$7</f>
        <v>3.8516746411483256</v>
      </c>
      <c r="K10" s="66"/>
      <c r="N10"/>
    </row>
    <row r="11" spans="2:14" ht="14.25" customHeight="1" x14ac:dyDescent="0.25">
      <c r="B11" s="82"/>
      <c r="C11" s="83">
        <v>3</v>
      </c>
      <c r="D11" s="84" t="s">
        <v>3150</v>
      </c>
      <c r="E11" s="82"/>
      <c r="F11" s="82"/>
      <c r="G11" s="82"/>
      <c r="H11" s="82"/>
      <c r="I11" s="85">
        <v>21</v>
      </c>
      <c r="J11" s="86">
        <f t="shared" si="0"/>
        <v>3.5167464114832536</v>
      </c>
      <c r="K11" s="66"/>
      <c r="N11"/>
    </row>
    <row r="12" spans="2:14" ht="14.25" customHeight="1" x14ac:dyDescent="0.25">
      <c r="B12" s="82"/>
      <c r="C12" s="83">
        <v>4</v>
      </c>
      <c r="D12" s="84" t="s">
        <v>3151</v>
      </c>
      <c r="E12" s="82"/>
      <c r="F12" s="82"/>
      <c r="G12" s="82"/>
      <c r="H12" s="82"/>
      <c r="I12" s="85">
        <v>27</v>
      </c>
      <c r="J12" s="86">
        <f t="shared" si="0"/>
        <v>4.5215311004784695</v>
      </c>
      <c r="K12" s="66"/>
      <c r="N12"/>
    </row>
    <row r="13" spans="2:14" ht="14.25" customHeight="1" x14ac:dyDescent="0.25">
      <c r="B13" s="82"/>
      <c r="C13" s="83">
        <v>5</v>
      </c>
      <c r="D13" s="84" t="s">
        <v>3152</v>
      </c>
      <c r="E13" s="82"/>
      <c r="F13" s="82"/>
      <c r="G13" s="82"/>
      <c r="H13" s="82"/>
      <c r="I13" s="85">
        <v>21</v>
      </c>
      <c r="J13" s="86">
        <f t="shared" si="0"/>
        <v>3.5167464114832536</v>
      </c>
      <c r="K13" s="66"/>
      <c r="N13"/>
    </row>
    <row r="14" spans="2:14" ht="14.25" customHeight="1" x14ac:dyDescent="0.25">
      <c r="B14" s="82"/>
      <c r="C14" s="83">
        <v>6</v>
      </c>
      <c r="D14" s="84" t="s">
        <v>3153</v>
      </c>
      <c r="E14" s="82"/>
      <c r="F14" s="82"/>
      <c r="G14" s="82"/>
      <c r="H14" s="82"/>
      <c r="I14" s="85">
        <v>17</v>
      </c>
      <c r="J14" s="86">
        <f t="shared" si="0"/>
        <v>2.8468899521531101</v>
      </c>
      <c r="K14" s="66"/>
      <c r="N14"/>
    </row>
    <row r="15" spans="2:14" ht="14.25" customHeight="1" x14ac:dyDescent="0.25">
      <c r="B15" s="82"/>
      <c r="C15" s="83"/>
      <c r="D15" s="84"/>
      <c r="E15" s="87"/>
      <c r="F15" s="87"/>
      <c r="G15" s="87"/>
      <c r="H15" s="87"/>
      <c r="I15" s="85"/>
      <c r="J15" s="87"/>
      <c r="K15" s="66"/>
      <c r="N15"/>
    </row>
    <row r="16" spans="2:14" ht="14.25" customHeight="1" x14ac:dyDescent="0.25">
      <c r="B16" s="78">
        <v>2</v>
      </c>
      <c r="C16" s="243" t="s">
        <v>3154</v>
      </c>
      <c r="D16" s="244"/>
      <c r="E16" s="79" t="s">
        <v>3155</v>
      </c>
      <c r="F16" s="79" t="s">
        <v>3155</v>
      </c>
      <c r="G16" s="79" t="s">
        <v>3155</v>
      </c>
      <c r="H16" s="79" t="s">
        <v>3155</v>
      </c>
      <c r="I16" s="80">
        <f>SUM(I17:I20)</f>
        <v>79</v>
      </c>
      <c r="J16" s="81">
        <f>SUM(J17:J20)</f>
        <v>12.559808612440193</v>
      </c>
      <c r="K16" s="66"/>
      <c r="N16"/>
    </row>
    <row r="17" spans="2:14" ht="14.25" customHeight="1" x14ac:dyDescent="0.25">
      <c r="B17" s="82"/>
      <c r="C17" s="83">
        <v>7</v>
      </c>
      <c r="D17" s="84" t="s">
        <v>3156</v>
      </c>
      <c r="E17" s="82" t="s">
        <v>3148</v>
      </c>
      <c r="F17" s="82" t="s">
        <v>3148</v>
      </c>
      <c r="G17" s="82" t="s">
        <v>3148</v>
      </c>
      <c r="H17" s="82" t="s">
        <v>3148</v>
      </c>
      <c r="I17" s="85">
        <v>15</v>
      </c>
      <c r="J17" s="86">
        <f t="shared" ref="J17:J19" si="1">I17/I$6*J$7</f>
        <v>2.5119617224880382</v>
      </c>
      <c r="K17" s="66"/>
      <c r="N17"/>
    </row>
    <row r="18" spans="2:14" ht="14.25" customHeight="1" x14ac:dyDescent="0.25">
      <c r="B18" s="82"/>
      <c r="C18" s="83">
        <v>8</v>
      </c>
      <c r="D18" s="84" t="s">
        <v>3157</v>
      </c>
      <c r="E18" s="82" t="s">
        <v>3148</v>
      </c>
      <c r="F18" s="82" t="s">
        <v>3148</v>
      </c>
      <c r="G18" s="82" t="s">
        <v>3148</v>
      </c>
      <c r="H18" s="82" t="s">
        <v>3148</v>
      </c>
      <c r="I18" s="85">
        <v>22</v>
      </c>
      <c r="J18" s="86">
        <f t="shared" si="1"/>
        <v>3.6842105263157894</v>
      </c>
      <c r="K18" s="66"/>
      <c r="N18"/>
    </row>
    <row r="19" spans="2:14" ht="14.25" customHeight="1" x14ac:dyDescent="0.25">
      <c r="B19" s="82"/>
      <c r="C19" s="83">
        <v>9</v>
      </c>
      <c r="D19" s="84" t="s">
        <v>3158</v>
      </c>
      <c r="E19" s="82"/>
      <c r="F19" s="82"/>
      <c r="G19" s="82"/>
      <c r="H19" s="82"/>
      <c r="I19" s="85">
        <v>38</v>
      </c>
      <c r="J19" s="86">
        <f t="shared" si="1"/>
        <v>6.3636363636363642</v>
      </c>
      <c r="K19" s="66"/>
      <c r="N19"/>
    </row>
    <row r="20" spans="2:14" ht="14.25" customHeight="1" x14ac:dyDescent="0.25">
      <c r="B20" s="82"/>
      <c r="C20" s="83">
        <v>10</v>
      </c>
      <c r="D20" s="84" t="s">
        <v>3159</v>
      </c>
      <c r="E20" s="82"/>
      <c r="F20" s="82"/>
      <c r="G20" s="82"/>
      <c r="H20" s="82"/>
      <c r="I20" s="85">
        <v>4</v>
      </c>
      <c r="J20" s="86">
        <f>I20/I6*I7</f>
        <v>0</v>
      </c>
      <c r="K20" s="66"/>
      <c r="N20"/>
    </row>
    <row r="21" spans="2:14" ht="14.25" customHeight="1" x14ac:dyDescent="0.25">
      <c r="B21" s="82"/>
      <c r="C21" s="83"/>
      <c r="D21" s="84"/>
      <c r="E21" s="87"/>
      <c r="F21" s="87"/>
      <c r="G21" s="87"/>
      <c r="H21" s="87"/>
      <c r="I21" s="85"/>
      <c r="J21" s="87"/>
      <c r="K21" s="66"/>
      <c r="N21"/>
    </row>
    <row r="22" spans="2:14" ht="14.25" customHeight="1" x14ac:dyDescent="0.25">
      <c r="B22" s="78">
        <v>3</v>
      </c>
      <c r="C22" s="243" t="s">
        <v>3160</v>
      </c>
      <c r="D22" s="244"/>
      <c r="E22" s="79" t="s">
        <v>3155</v>
      </c>
      <c r="F22" s="79" t="s">
        <v>3155</v>
      </c>
      <c r="G22" s="79" t="s">
        <v>3155</v>
      </c>
      <c r="H22" s="79" t="s">
        <v>3155</v>
      </c>
      <c r="I22" s="80">
        <f>SUM(I23:I27)</f>
        <v>76</v>
      </c>
      <c r="J22" s="81">
        <f>SUM(J23:J27)</f>
        <v>12.727272727272727</v>
      </c>
      <c r="K22" s="66"/>
      <c r="N22"/>
    </row>
    <row r="23" spans="2:14" ht="14.25" customHeight="1" x14ac:dyDescent="0.25">
      <c r="B23" s="82"/>
      <c r="C23" s="83">
        <v>11</v>
      </c>
      <c r="D23" s="84" t="s">
        <v>3161</v>
      </c>
      <c r="E23" s="82" t="s">
        <v>3148</v>
      </c>
      <c r="F23" s="82" t="s">
        <v>3148</v>
      </c>
      <c r="G23" s="82" t="s">
        <v>3148</v>
      </c>
      <c r="H23" s="82" t="s">
        <v>3148</v>
      </c>
      <c r="I23" s="85">
        <v>21</v>
      </c>
      <c r="J23" s="86">
        <f t="shared" ref="J23:J27" si="2">I23/I$6*J$7</f>
        <v>3.5167464114832536</v>
      </c>
      <c r="K23" s="66"/>
      <c r="N23"/>
    </row>
    <row r="24" spans="2:14" ht="14.25" customHeight="1" x14ac:dyDescent="0.25">
      <c r="B24" s="82"/>
      <c r="C24" s="83">
        <v>12</v>
      </c>
      <c r="D24" s="84" t="s">
        <v>3162</v>
      </c>
      <c r="E24" s="82" t="s">
        <v>3148</v>
      </c>
      <c r="F24" s="82" t="s">
        <v>3148</v>
      </c>
      <c r="G24" s="82" t="s">
        <v>3148</v>
      </c>
      <c r="H24" s="82" t="s">
        <v>3148</v>
      </c>
      <c r="I24" s="85">
        <v>7</v>
      </c>
      <c r="J24" s="86">
        <f t="shared" si="2"/>
        <v>1.1722488038277512</v>
      </c>
      <c r="K24" s="66"/>
      <c r="N24"/>
    </row>
    <row r="25" spans="2:14" ht="14.25" customHeight="1" x14ac:dyDescent="0.25">
      <c r="B25" s="82"/>
      <c r="C25" s="83">
        <v>13</v>
      </c>
      <c r="D25" s="84" t="s">
        <v>3163</v>
      </c>
      <c r="E25" s="82" t="s">
        <v>3148</v>
      </c>
      <c r="F25" s="82" t="s">
        <v>3148</v>
      </c>
      <c r="G25" s="82" t="s">
        <v>3148</v>
      </c>
      <c r="H25" s="82" t="s">
        <v>3148</v>
      </c>
      <c r="I25" s="85">
        <v>30</v>
      </c>
      <c r="J25" s="86">
        <f t="shared" si="2"/>
        <v>5.0239234449760763</v>
      </c>
      <c r="K25" s="66"/>
      <c r="N25"/>
    </row>
    <row r="26" spans="2:14" ht="14.25" customHeight="1" x14ac:dyDescent="0.25">
      <c r="B26" s="82"/>
      <c r="C26" s="83">
        <v>14</v>
      </c>
      <c r="D26" s="84" t="s">
        <v>3164</v>
      </c>
      <c r="E26" s="82"/>
      <c r="F26" s="82"/>
      <c r="G26" s="82"/>
      <c r="H26" s="82"/>
      <c r="I26" s="85">
        <v>8</v>
      </c>
      <c r="J26" s="86">
        <f t="shared" si="2"/>
        <v>1.3397129186602872</v>
      </c>
      <c r="K26" s="66"/>
      <c r="N26"/>
    </row>
    <row r="27" spans="2:14" ht="14.25" customHeight="1" x14ac:dyDescent="0.25">
      <c r="B27" s="82"/>
      <c r="C27" s="83">
        <v>15</v>
      </c>
      <c r="D27" s="84" t="s">
        <v>3165</v>
      </c>
      <c r="E27" s="82"/>
      <c r="F27" s="82"/>
      <c r="G27" s="82"/>
      <c r="H27" s="82"/>
      <c r="I27" s="85">
        <v>10</v>
      </c>
      <c r="J27" s="86">
        <f t="shared" si="2"/>
        <v>1.6746411483253587</v>
      </c>
      <c r="K27" s="66"/>
      <c r="N27"/>
    </row>
    <row r="28" spans="2:14" ht="14.25" customHeight="1" x14ac:dyDescent="0.25">
      <c r="B28" s="82"/>
      <c r="C28" s="83"/>
      <c r="D28" s="84"/>
      <c r="E28" s="87"/>
      <c r="F28" s="87"/>
      <c r="G28" s="87"/>
      <c r="H28" s="87"/>
      <c r="I28" s="85"/>
      <c r="J28" s="87"/>
      <c r="K28" s="66"/>
      <c r="N28"/>
    </row>
    <row r="29" spans="2:14" ht="14.25" customHeight="1" x14ac:dyDescent="0.25">
      <c r="B29" s="78">
        <v>4</v>
      </c>
      <c r="C29" s="88" t="s">
        <v>3166</v>
      </c>
      <c r="D29" s="89"/>
      <c r="E29" s="79"/>
      <c r="F29" s="79"/>
      <c r="G29" s="79"/>
      <c r="H29" s="79"/>
      <c r="I29" s="80">
        <f>SUM(I30:I31)</f>
        <v>49</v>
      </c>
      <c r="J29" s="90">
        <f>SUM(J30:J31)</f>
        <v>8.2057416267942589</v>
      </c>
      <c r="K29" s="66"/>
      <c r="N29"/>
    </row>
    <row r="30" spans="2:14" ht="14.25" customHeight="1" x14ac:dyDescent="0.25">
      <c r="B30" s="82"/>
      <c r="C30" s="83">
        <v>16</v>
      </c>
      <c r="D30" s="84" t="s">
        <v>3167</v>
      </c>
      <c r="E30" s="87"/>
      <c r="F30" s="87"/>
      <c r="G30" s="87"/>
      <c r="H30" s="87"/>
      <c r="I30" s="85">
        <v>27</v>
      </c>
      <c r="J30" s="91">
        <f t="shared" ref="J30:J31" si="3">I30/I$6*J$7</f>
        <v>4.5215311004784695</v>
      </c>
      <c r="K30" s="66"/>
      <c r="N30"/>
    </row>
    <row r="31" spans="2:14" ht="14.25" customHeight="1" x14ac:dyDescent="0.25">
      <c r="B31" s="82"/>
      <c r="C31" s="83">
        <v>17</v>
      </c>
      <c r="D31" s="84" t="s">
        <v>3168</v>
      </c>
      <c r="E31" s="87"/>
      <c r="F31" s="87"/>
      <c r="G31" s="87"/>
      <c r="H31" s="87"/>
      <c r="I31" s="85">
        <v>22</v>
      </c>
      <c r="J31" s="91">
        <f t="shared" si="3"/>
        <v>3.6842105263157894</v>
      </c>
      <c r="K31" s="66"/>
      <c r="N31"/>
    </row>
    <row r="32" spans="2:14" ht="14.25" customHeight="1" x14ac:dyDescent="0.25">
      <c r="B32" s="82"/>
      <c r="C32" s="83"/>
      <c r="D32" s="84"/>
      <c r="E32" s="87"/>
      <c r="F32" s="87"/>
      <c r="G32" s="87"/>
      <c r="H32" s="87"/>
      <c r="I32" s="85"/>
      <c r="J32" s="82"/>
      <c r="K32" s="66"/>
      <c r="N32"/>
    </row>
    <row r="33" spans="2:14" ht="14.25" customHeight="1" x14ac:dyDescent="0.25">
      <c r="B33" s="78">
        <v>5</v>
      </c>
      <c r="C33" s="92" t="s">
        <v>3169</v>
      </c>
      <c r="D33" s="89"/>
      <c r="E33" s="79"/>
      <c r="F33" s="79"/>
      <c r="G33" s="79"/>
      <c r="H33" s="79"/>
      <c r="I33" s="80">
        <f>SUM(I34:I36)</f>
        <v>73</v>
      </c>
      <c r="J33" s="90">
        <f>SUM(J34:J36)</f>
        <v>12.224880382775119</v>
      </c>
      <c r="K33" s="66"/>
      <c r="N33"/>
    </row>
    <row r="34" spans="2:14" ht="14.25" customHeight="1" x14ac:dyDescent="0.25">
      <c r="B34" s="82"/>
      <c r="C34" s="83">
        <v>18</v>
      </c>
      <c r="D34" s="84" t="s">
        <v>3170</v>
      </c>
      <c r="E34" s="87"/>
      <c r="F34" s="87"/>
      <c r="G34" s="87"/>
      <c r="H34" s="87"/>
      <c r="I34" s="85">
        <v>31</v>
      </c>
      <c r="J34" s="91">
        <f t="shared" ref="J34:J36" si="4">I34/I$6*J$7</f>
        <v>5.1913875598086117</v>
      </c>
      <c r="K34" s="66"/>
      <c r="N34"/>
    </row>
    <row r="35" spans="2:14" ht="14.25" customHeight="1" x14ac:dyDescent="0.25">
      <c r="B35" s="82"/>
      <c r="C35" s="83">
        <v>19</v>
      </c>
      <c r="D35" s="84" t="s">
        <v>3171</v>
      </c>
      <c r="E35" s="87"/>
      <c r="F35" s="87"/>
      <c r="G35" s="87"/>
      <c r="H35" s="87"/>
      <c r="I35" s="85">
        <v>11</v>
      </c>
      <c r="J35" s="91">
        <f t="shared" si="4"/>
        <v>1.8421052631578947</v>
      </c>
      <c r="K35" s="66"/>
      <c r="N35"/>
    </row>
    <row r="36" spans="2:14" ht="14.25" customHeight="1" x14ac:dyDescent="0.25">
      <c r="B36" s="82"/>
      <c r="C36" s="83">
        <v>20</v>
      </c>
      <c r="D36" s="84" t="s">
        <v>3172</v>
      </c>
      <c r="E36" s="87"/>
      <c r="F36" s="87"/>
      <c r="G36" s="87"/>
      <c r="H36" s="87"/>
      <c r="I36" s="85">
        <v>31</v>
      </c>
      <c r="J36" s="91">
        <f t="shared" si="4"/>
        <v>5.1913875598086117</v>
      </c>
      <c r="K36" s="66"/>
      <c r="N36"/>
    </row>
    <row r="37" spans="2:14" ht="14.25" customHeight="1" x14ac:dyDescent="0.25">
      <c r="B37" s="82"/>
      <c r="C37" s="83"/>
      <c r="D37" s="84"/>
      <c r="E37" s="87"/>
      <c r="F37" s="87"/>
      <c r="G37" s="87"/>
      <c r="H37" s="87"/>
      <c r="I37" s="85"/>
      <c r="J37" s="82"/>
      <c r="K37" s="66"/>
      <c r="N37"/>
    </row>
    <row r="38" spans="2:14" ht="14.25" customHeight="1" x14ac:dyDescent="0.25">
      <c r="B38" s="78">
        <v>6</v>
      </c>
      <c r="C38" s="88" t="s">
        <v>3173</v>
      </c>
      <c r="D38" s="89"/>
      <c r="E38" s="79"/>
      <c r="F38" s="79"/>
      <c r="G38" s="79"/>
      <c r="H38" s="79"/>
      <c r="I38" s="80">
        <f>SUM(I39:I44)</f>
        <v>104</v>
      </c>
      <c r="J38" s="81">
        <f>SUM(J39:J44)</f>
        <v>17.416267942583733</v>
      </c>
      <c r="K38" s="66"/>
      <c r="N38"/>
    </row>
    <row r="39" spans="2:14" ht="14.25" customHeight="1" x14ac:dyDescent="0.25">
      <c r="B39" s="82"/>
      <c r="C39" s="83">
        <v>21</v>
      </c>
      <c r="D39" s="84" t="s">
        <v>3174</v>
      </c>
      <c r="E39" s="87"/>
      <c r="F39" s="87"/>
      <c r="G39" s="87"/>
      <c r="H39" s="87"/>
      <c r="I39" s="85">
        <v>34</v>
      </c>
      <c r="J39" s="86">
        <f t="shared" ref="J39:J44" si="5">I39/I$6*J$7</f>
        <v>5.6937799043062203</v>
      </c>
      <c r="K39" s="66"/>
      <c r="N39"/>
    </row>
    <row r="40" spans="2:14" ht="14.25" customHeight="1" x14ac:dyDescent="0.25">
      <c r="B40" s="82"/>
      <c r="C40" s="83">
        <v>22</v>
      </c>
      <c r="D40" s="84" t="s">
        <v>3175</v>
      </c>
      <c r="E40" s="87"/>
      <c r="F40" s="87"/>
      <c r="G40" s="87"/>
      <c r="H40" s="87"/>
      <c r="I40" s="85">
        <v>17</v>
      </c>
      <c r="J40" s="86">
        <f t="shared" si="5"/>
        <v>2.8468899521531101</v>
      </c>
      <c r="K40" s="66"/>
      <c r="N40"/>
    </row>
    <row r="41" spans="2:14" ht="14.25" customHeight="1" x14ac:dyDescent="0.25">
      <c r="B41" s="82"/>
      <c r="C41" s="83">
        <v>23</v>
      </c>
      <c r="D41" s="84" t="s">
        <v>3176</v>
      </c>
      <c r="E41" s="87"/>
      <c r="F41" s="87"/>
      <c r="G41" s="87"/>
      <c r="H41" s="87"/>
      <c r="I41" s="85"/>
      <c r="J41" s="86">
        <f t="shared" si="5"/>
        <v>0</v>
      </c>
      <c r="K41" s="66"/>
      <c r="N41"/>
    </row>
    <row r="42" spans="2:14" ht="14.25" customHeight="1" x14ac:dyDescent="0.25">
      <c r="B42" s="82"/>
      <c r="C42" s="83">
        <v>24</v>
      </c>
      <c r="D42" s="84" t="s">
        <v>3177</v>
      </c>
      <c r="E42" s="87"/>
      <c r="F42" s="87"/>
      <c r="G42" s="87"/>
      <c r="H42" s="87"/>
      <c r="I42" s="85">
        <v>2</v>
      </c>
      <c r="J42" s="86">
        <f t="shared" si="5"/>
        <v>0.3349282296650718</v>
      </c>
      <c r="K42" s="66"/>
      <c r="N42"/>
    </row>
    <row r="43" spans="2:14" ht="14.25" customHeight="1" x14ac:dyDescent="0.25">
      <c r="B43" s="82"/>
      <c r="C43" s="83">
        <v>25</v>
      </c>
      <c r="D43" s="84" t="s">
        <v>3206</v>
      </c>
      <c r="E43" s="87"/>
      <c r="F43" s="87"/>
      <c r="G43" s="87"/>
      <c r="H43" s="87"/>
      <c r="I43" s="85">
        <v>12</v>
      </c>
      <c r="J43" s="86">
        <f t="shared" si="5"/>
        <v>2.0095693779904304</v>
      </c>
      <c r="K43" s="66"/>
      <c r="N43"/>
    </row>
    <row r="44" spans="2:14" ht="14.25" customHeight="1" x14ac:dyDescent="0.25">
      <c r="B44" s="82"/>
      <c r="C44" s="83">
        <v>26</v>
      </c>
      <c r="D44" s="84" t="s">
        <v>3179</v>
      </c>
      <c r="E44" s="87"/>
      <c r="F44" s="87"/>
      <c r="G44" s="87"/>
      <c r="H44" s="87"/>
      <c r="I44" s="85">
        <v>39</v>
      </c>
      <c r="J44" s="86">
        <f t="shared" si="5"/>
        <v>6.5311004784688995</v>
      </c>
      <c r="K44" s="66"/>
      <c r="N44"/>
    </row>
    <row r="45" spans="2:14" ht="14.25" customHeight="1" x14ac:dyDescent="0.25">
      <c r="B45" s="82"/>
      <c r="C45" s="83"/>
      <c r="D45" s="84"/>
      <c r="E45" s="87"/>
      <c r="F45" s="87"/>
      <c r="G45" s="87"/>
      <c r="H45" s="87"/>
      <c r="I45" s="85"/>
      <c r="J45" s="82"/>
      <c r="K45" s="66"/>
      <c r="N45"/>
    </row>
    <row r="46" spans="2:14" ht="14.25" customHeight="1" x14ac:dyDescent="0.25">
      <c r="B46" s="78">
        <v>7</v>
      </c>
      <c r="C46" s="92" t="s">
        <v>3180</v>
      </c>
      <c r="D46" s="89"/>
      <c r="E46" s="79"/>
      <c r="F46" s="79"/>
      <c r="G46" s="79"/>
      <c r="H46" s="79"/>
      <c r="I46" s="80">
        <f>SUM(I47:I49)</f>
        <v>83</v>
      </c>
      <c r="J46" s="90">
        <f>SUM(J47:J49)</f>
        <v>13.899521531100477</v>
      </c>
      <c r="K46" s="66"/>
      <c r="N46"/>
    </row>
    <row r="47" spans="2:14" ht="14.25" customHeight="1" x14ac:dyDescent="0.25">
      <c r="B47" s="82"/>
      <c r="C47" s="83">
        <v>27</v>
      </c>
      <c r="D47" s="84" t="s">
        <v>3181</v>
      </c>
      <c r="E47" s="87"/>
      <c r="F47" s="87"/>
      <c r="G47" s="87"/>
      <c r="H47" s="87"/>
      <c r="I47" s="85">
        <v>22</v>
      </c>
      <c r="J47" s="91">
        <f t="shared" ref="J47:J49" si="6">I47/I$6*J$7</f>
        <v>3.6842105263157894</v>
      </c>
      <c r="K47" s="66"/>
      <c r="N47"/>
    </row>
    <row r="48" spans="2:14" ht="14.25" customHeight="1" x14ac:dyDescent="0.25">
      <c r="B48" s="82"/>
      <c r="C48" s="83">
        <v>28</v>
      </c>
      <c r="D48" s="84" t="s">
        <v>3207</v>
      </c>
      <c r="E48" s="87"/>
      <c r="F48" s="87"/>
      <c r="G48" s="87"/>
      <c r="H48" s="87"/>
      <c r="I48" s="93">
        <f>29+28</f>
        <v>57</v>
      </c>
      <c r="J48" s="91">
        <f t="shared" si="6"/>
        <v>9.545454545454545</v>
      </c>
      <c r="K48" s="66"/>
      <c r="N48"/>
    </row>
    <row r="49" spans="2:14" ht="14.25" customHeight="1" x14ac:dyDescent="0.25">
      <c r="B49" s="82"/>
      <c r="C49" s="83">
        <v>29</v>
      </c>
      <c r="D49" s="84" t="s">
        <v>3183</v>
      </c>
      <c r="E49" s="87"/>
      <c r="F49" s="87"/>
      <c r="G49" s="87"/>
      <c r="H49" s="87"/>
      <c r="I49" s="85">
        <v>4</v>
      </c>
      <c r="J49" s="91">
        <f t="shared" si="6"/>
        <v>0.66985645933014359</v>
      </c>
      <c r="K49" s="66"/>
      <c r="N49"/>
    </row>
    <row r="50" spans="2:14" ht="14.25" customHeight="1" x14ac:dyDescent="0.25">
      <c r="B50" s="82"/>
      <c r="C50" s="83"/>
      <c r="D50" s="84"/>
      <c r="E50" s="87"/>
      <c r="F50" s="87"/>
      <c r="G50" s="87"/>
      <c r="H50" s="87"/>
      <c r="I50" s="87"/>
      <c r="J50" s="82"/>
      <c r="K50" s="66"/>
      <c r="N50"/>
    </row>
    <row r="51" spans="2:14" ht="14.25" customHeight="1" x14ac:dyDescent="0.25">
      <c r="B51" s="78">
        <v>8</v>
      </c>
      <c r="C51" s="92" t="s">
        <v>3184</v>
      </c>
      <c r="D51" s="89"/>
      <c r="E51" s="79"/>
      <c r="F51" s="79"/>
      <c r="G51" s="79"/>
      <c r="H51" s="79"/>
      <c r="I51" s="80">
        <f>SUM(I52:I57)</f>
        <v>48</v>
      </c>
      <c r="J51" s="81">
        <f>SUM(J52:J57)</f>
        <v>8.0382775119617236</v>
      </c>
      <c r="K51" s="66"/>
      <c r="N51"/>
    </row>
    <row r="52" spans="2:14" ht="14.25" customHeight="1" x14ac:dyDescent="0.25">
      <c r="B52" s="82"/>
      <c r="C52" s="94">
        <v>30</v>
      </c>
      <c r="D52" s="84" t="s">
        <v>3185</v>
      </c>
      <c r="E52" s="87"/>
      <c r="F52" s="87"/>
      <c r="G52" s="87"/>
      <c r="H52" s="87"/>
      <c r="I52" s="85">
        <v>4</v>
      </c>
      <c r="J52" s="86">
        <f t="shared" ref="J52:J57" si="7">I52/I$6*J$7</f>
        <v>0.66985645933014359</v>
      </c>
      <c r="K52" s="66"/>
      <c r="N52"/>
    </row>
    <row r="53" spans="2:14" ht="14.25" customHeight="1" x14ac:dyDescent="0.25">
      <c r="B53" s="82"/>
      <c r="C53" s="94">
        <v>31</v>
      </c>
      <c r="D53" s="84" t="s">
        <v>3186</v>
      </c>
      <c r="E53" s="87"/>
      <c r="F53" s="87"/>
      <c r="G53" s="87"/>
      <c r="H53" s="87"/>
      <c r="I53" s="85">
        <v>3</v>
      </c>
      <c r="J53" s="86">
        <f t="shared" si="7"/>
        <v>0.50239234449760761</v>
      </c>
      <c r="K53" s="66"/>
      <c r="N53"/>
    </row>
    <row r="54" spans="2:14" ht="14.25" customHeight="1" x14ac:dyDescent="0.25">
      <c r="B54" s="82"/>
      <c r="C54" s="94">
        <v>32</v>
      </c>
      <c r="D54" s="84" t="s">
        <v>3187</v>
      </c>
      <c r="E54" s="87"/>
      <c r="F54" s="87"/>
      <c r="G54" s="87"/>
      <c r="H54" s="87"/>
      <c r="I54" s="85">
        <v>3</v>
      </c>
      <c r="J54" s="86">
        <f t="shared" si="7"/>
        <v>0.50239234449760761</v>
      </c>
      <c r="K54" s="66"/>
      <c r="N54"/>
    </row>
    <row r="55" spans="2:14" ht="14.25" customHeight="1" x14ac:dyDescent="0.25">
      <c r="B55" s="82"/>
      <c r="C55" s="94">
        <v>33</v>
      </c>
      <c r="D55" s="84" t="s">
        <v>3188</v>
      </c>
      <c r="E55" s="87"/>
      <c r="F55" s="87"/>
      <c r="G55" s="87"/>
      <c r="H55" s="87"/>
      <c r="I55" s="85">
        <v>14</v>
      </c>
      <c r="J55" s="86">
        <f t="shared" si="7"/>
        <v>2.3444976076555024</v>
      </c>
      <c r="K55" s="66"/>
      <c r="N55"/>
    </row>
    <row r="56" spans="2:14" ht="14.25" customHeight="1" x14ac:dyDescent="0.25">
      <c r="B56" s="82"/>
      <c r="C56" s="94">
        <v>34</v>
      </c>
      <c r="D56" s="84" t="s">
        <v>3189</v>
      </c>
      <c r="E56" s="87"/>
      <c r="F56" s="87"/>
      <c r="G56" s="87"/>
      <c r="H56" s="87"/>
      <c r="I56" s="85">
        <v>12</v>
      </c>
      <c r="J56" s="86">
        <f t="shared" si="7"/>
        <v>2.0095693779904304</v>
      </c>
      <c r="K56" s="66"/>
      <c r="N56"/>
    </row>
    <row r="57" spans="2:14" ht="14.25" customHeight="1" x14ac:dyDescent="0.25">
      <c r="B57" s="82"/>
      <c r="C57" s="94">
        <v>35</v>
      </c>
      <c r="D57" s="84" t="s">
        <v>3190</v>
      </c>
      <c r="E57" s="87"/>
      <c r="F57" s="87"/>
      <c r="G57" s="87"/>
      <c r="H57" s="87"/>
      <c r="I57" s="85">
        <v>12</v>
      </c>
      <c r="J57" s="86">
        <f t="shared" si="7"/>
        <v>2.0095693779904304</v>
      </c>
      <c r="K57" s="66"/>
      <c r="N57"/>
    </row>
    <row r="58" spans="2:14" ht="14.25" customHeight="1" x14ac:dyDescent="0.25">
      <c r="B58" s="82"/>
      <c r="C58" s="94"/>
      <c r="D58" s="84"/>
      <c r="E58" s="87"/>
      <c r="F58" s="87"/>
      <c r="G58" s="87"/>
      <c r="H58" s="87"/>
      <c r="I58" s="87"/>
      <c r="J58" s="82"/>
      <c r="K58" s="66"/>
      <c r="N58"/>
    </row>
    <row r="59" spans="2:14" ht="14.25" customHeight="1" x14ac:dyDescent="0.25">
      <c r="B59" s="78">
        <v>9</v>
      </c>
      <c r="C59" s="92" t="s">
        <v>3191</v>
      </c>
      <c r="D59" s="89"/>
      <c r="E59" s="79"/>
      <c r="F59" s="79"/>
      <c r="G59" s="79"/>
      <c r="H59" s="79"/>
      <c r="I59" s="80">
        <f>SUM(I60:I63)</f>
        <v>10</v>
      </c>
      <c r="J59" s="81">
        <f>SUM(J60:J63)</f>
        <v>1.6746411483253589</v>
      </c>
      <c r="K59" s="66"/>
      <c r="N59"/>
    </row>
    <row r="60" spans="2:14" ht="14.25" customHeight="1" x14ac:dyDescent="0.25">
      <c r="B60" s="82"/>
      <c r="C60" s="94">
        <v>36</v>
      </c>
      <c r="D60" s="84" t="s">
        <v>3192</v>
      </c>
      <c r="E60" s="87"/>
      <c r="F60" s="87"/>
      <c r="G60" s="87"/>
      <c r="H60" s="87"/>
      <c r="I60" s="85">
        <v>2</v>
      </c>
      <c r="J60" s="86">
        <f t="shared" ref="J60:J63" si="8">I60/I$6*J$7</f>
        <v>0.3349282296650718</v>
      </c>
      <c r="K60" s="66"/>
      <c r="N60"/>
    </row>
    <row r="61" spans="2:14" ht="14.25" customHeight="1" x14ac:dyDescent="0.25">
      <c r="B61" s="82"/>
      <c r="C61" s="94">
        <v>37</v>
      </c>
      <c r="D61" s="84" t="s">
        <v>3193</v>
      </c>
      <c r="E61" s="87"/>
      <c r="F61" s="87"/>
      <c r="G61" s="87"/>
      <c r="H61" s="87"/>
      <c r="I61" s="85">
        <v>2</v>
      </c>
      <c r="J61" s="86">
        <f t="shared" si="8"/>
        <v>0.3349282296650718</v>
      </c>
      <c r="K61" s="66"/>
      <c r="N61"/>
    </row>
    <row r="62" spans="2:14" ht="14.25" customHeight="1" x14ac:dyDescent="0.25">
      <c r="B62" s="82"/>
      <c r="C62" s="94">
        <v>38</v>
      </c>
      <c r="D62" s="84" t="s">
        <v>3194</v>
      </c>
      <c r="E62" s="87"/>
      <c r="F62" s="87"/>
      <c r="G62" s="87"/>
      <c r="H62" s="87"/>
      <c r="I62" s="85">
        <v>3</v>
      </c>
      <c r="J62" s="86">
        <f t="shared" si="8"/>
        <v>0.50239234449760761</v>
      </c>
      <c r="K62" s="66"/>
      <c r="N62"/>
    </row>
    <row r="63" spans="2:14" ht="14.25" customHeight="1" x14ac:dyDescent="0.25">
      <c r="B63" s="82"/>
      <c r="C63" s="94">
        <v>39</v>
      </c>
      <c r="D63" s="84" t="s">
        <v>3195</v>
      </c>
      <c r="E63" s="87"/>
      <c r="F63" s="87"/>
      <c r="G63" s="87"/>
      <c r="H63" s="87"/>
      <c r="I63" s="85">
        <v>3</v>
      </c>
      <c r="J63" s="86">
        <f t="shared" si="8"/>
        <v>0.50239234449760761</v>
      </c>
      <c r="K63" s="66"/>
      <c r="N63"/>
    </row>
    <row r="64" spans="2:14" ht="14.25" customHeight="1" x14ac:dyDescent="0.25">
      <c r="B64" s="82"/>
      <c r="C64" s="94"/>
      <c r="D64" s="84"/>
      <c r="E64" s="87"/>
      <c r="F64" s="87"/>
      <c r="G64" s="87"/>
      <c r="H64" s="87"/>
      <c r="I64" s="87"/>
      <c r="J64" s="82"/>
      <c r="K64" s="66"/>
      <c r="N64"/>
    </row>
    <row r="65" spans="2:14" ht="14.25" customHeight="1" x14ac:dyDescent="0.25">
      <c r="B65" s="78">
        <v>10</v>
      </c>
      <c r="C65" s="92" t="s">
        <v>3196</v>
      </c>
      <c r="D65" s="89"/>
      <c r="E65" s="79"/>
      <c r="F65" s="79"/>
      <c r="G65" s="79"/>
      <c r="H65" s="79"/>
      <c r="I65" s="80">
        <f>SUM(I66:I68)</f>
        <v>2</v>
      </c>
      <c r="J65" s="81">
        <f>SUM(J66)</f>
        <v>0.3349282296650718</v>
      </c>
      <c r="K65" s="66"/>
      <c r="N65"/>
    </row>
    <row r="66" spans="2:14" ht="14.25" customHeight="1" x14ac:dyDescent="0.25">
      <c r="B66" s="82"/>
      <c r="C66" s="94">
        <v>40</v>
      </c>
      <c r="D66" s="84" t="s">
        <v>3197</v>
      </c>
      <c r="E66" s="87"/>
      <c r="F66" s="87"/>
      <c r="G66" s="87"/>
      <c r="H66" s="87"/>
      <c r="I66" s="85">
        <v>2</v>
      </c>
      <c r="J66" s="86">
        <f t="shared" ref="J66" si="9">I66/I$6*J$7</f>
        <v>0.3349282296650718</v>
      </c>
      <c r="K66" s="66"/>
      <c r="N66"/>
    </row>
    <row r="67" spans="2:14" ht="14.25" customHeight="1" x14ac:dyDescent="0.25">
      <c r="B67" s="82"/>
      <c r="C67" s="94">
        <v>41</v>
      </c>
      <c r="D67" s="84" t="s">
        <v>3198</v>
      </c>
      <c r="E67" s="87"/>
      <c r="F67" s="87"/>
      <c r="G67" s="87"/>
      <c r="H67" s="87"/>
      <c r="I67" s="85"/>
      <c r="J67" s="86"/>
      <c r="K67" s="66"/>
      <c r="N67"/>
    </row>
    <row r="68" spans="2:14" ht="14.25" customHeight="1" x14ac:dyDescent="0.25">
      <c r="B68" s="82"/>
      <c r="C68" s="94">
        <v>42</v>
      </c>
      <c r="D68" s="84" t="s">
        <v>3199</v>
      </c>
      <c r="E68" s="87"/>
      <c r="F68" s="87"/>
      <c r="G68" s="87"/>
      <c r="H68" s="87"/>
      <c r="I68" s="85"/>
      <c r="J68" s="86"/>
      <c r="K68" s="66"/>
      <c r="N68"/>
    </row>
    <row r="69" spans="2:14" ht="14.25" customHeight="1" thickBot="1" x14ac:dyDescent="0.3">
      <c r="B69" s="82"/>
      <c r="C69" s="83"/>
      <c r="D69" s="84"/>
      <c r="E69" s="87"/>
      <c r="F69" s="87"/>
      <c r="G69" s="87"/>
      <c r="H69" s="87"/>
      <c r="I69" s="87"/>
      <c r="J69" s="87"/>
      <c r="K69" s="66"/>
      <c r="N69"/>
    </row>
    <row r="70" spans="2:14" ht="14.25" customHeight="1" thickBot="1" x14ac:dyDescent="0.3">
      <c r="B70" s="95"/>
      <c r="C70" s="237"/>
      <c r="D70" s="238"/>
      <c r="E70" s="95" t="s">
        <v>3201</v>
      </c>
      <c r="F70" s="95" t="s">
        <v>3201</v>
      </c>
      <c r="G70" s="95" t="s">
        <v>3201</v>
      </c>
      <c r="H70" s="95" t="s">
        <v>3201</v>
      </c>
      <c r="I70" s="96"/>
      <c r="J70" s="96"/>
      <c r="K70" s="66"/>
      <c r="N70"/>
    </row>
    <row r="71" spans="2:14" ht="14.25" customHeight="1" x14ac:dyDescent="0.25"/>
    <row r="72" spans="2:14" ht="14.25" customHeight="1" x14ac:dyDescent="0.25"/>
    <row r="73" spans="2:14" ht="14.25" customHeight="1" x14ac:dyDescent="0.25"/>
    <row r="74" spans="2:14" ht="14.25" customHeight="1" x14ac:dyDescent="0.25"/>
    <row r="75" spans="2:14" ht="14.25" customHeight="1" x14ac:dyDescent="0.25"/>
    <row r="76" spans="2:14" ht="14.25" customHeight="1" x14ac:dyDescent="0.25"/>
    <row r="77" spans="2:14" ht="14.25" customHeight="1" x14ac:dyDescent="0.25"/>
    <row r="78" spans="2:14" ht="14.25" customHeight="1" x14ac:dyDescent="0.25"/>
    <row r="79" spans="2:14" ht="14.25" customHeight="1" x14ac:dyDescent="0.25"/>
    <row r="80" spans="2:14"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sheetData>
  <mergeCells count="6">
    <mergeCell ref="C70:D70"/>
    <mergeCell ref="C5:D5"/>
    <mergeCell ref="C7:D7"/>
    <mergeCell ref="C8:D8"/>
    <mergeCell ref="C16:D16"/>
    <mergeCell ref="C22:D22"/>
  </mergeCells>
  <pageMargins left="0.7" right="0.7" top="0.75" bottom="0.75" header="0" footer="0"/>
  <pageSetup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5ECA7-9A22-4A7D-9461-C6DE9CFE3869}">
  <sheetPr>
    <tabColor theme="4" tint="-0.249977111117893"/>
  </sheetPr>
  <dimension ref="A1:O1000"/>
  <sheetViews>
    <sheetView topLeftCell="B59" zoomScale="110" zoomScaleNormal="110" workbookViewId="0">
      <selection activeCell="O51" sqref="O51"/>
    </sheetView>
  </sheetViews>
  <sheetFormatPr defaultColWidth="14.42578125" defaultRowHeight="15" customHeight="1" x14ac:dyDescent="0.25"/>
  <cols>
    <col min="1" max="1" width="5.5703125" customWidth="1"/>
    <col min="2" max="2" width="4.42578125" customWidth="1"/>
    <col min="3" max="3" width="59.85546875" customWidth="1"/>
    <col min="4" max="5" width="15.5703125" hidden="1" customWidth="1"/>
    <col min="6" max="6" width="15.140625" hidden="1" customWidth="1"/>
    <col min="7" max="7" width="17.42578125" hidden="1" customWidth="1"/>
    <col min="8" max="8" width="12.85546875" customWidth="1"/>
    <col min="9" max="9" width="14.85546875" customWidth="1"/>
    <col min="10" max="11" width="12.85546875" customWidth="1"/>
    <col min="12" max="12" width="7.5703125" style="60" customWidth="1"/>
    <col min="13" max="13" width="7.5703125" style="59" customWidth="1"/>
    <col min="14" max="14" width="7.5703125" style="60" customWidth="1"/>
    <col min="15" max="15" width="8.7109375" style="60" customWidth="1"/>
    <col min="16" max="24" width="8.7109375" customWidth="1"/>
  </cols>
  <sheetData>
    <row r="1" spans="1:15" ht="14.25" customHeight="1" x14ac:dyDescent="0.25"/>
    <row r="2" spans="1:15" ht="14.25" customHeight="1" x14ac:dyDescent="0.25">
      <c r="A2" s="31"/>
    </row>
    <row r="3" spans="1:15" ht="14.25" customHeight="1" x14ac:dyDescent="0.25">
      <c r="A3" s="31"/>
    </row>
    <row r="4" spans="1:15" ht="14.25" customHeight="1" thickBot="1" x14ac:dyDescent="0.3"/>
    <row r="5" spans="1:15" ht="38.450000000000003" customHeight="1" thickBot="1" x14ac:dyDescent="0.3">
      <c r="A5" s="97" t="s">
        <v>3132</v>
      </c>
      <c r="B5" s="231" t="s">
        <v>3133</v>
      </c>
      <c r="C5" s="232"/>
      <c r="D5" s="32" t="s">
        <v>3134</v>
      </c>
      <c r="E5" s="32" t="s">
        <v>3135</v>
      </c>
      <c r="F5" s="32" t="s">
        <v>3136</v>
      </c>
      <c r="G5" s="33" t="s">
        <v>3137</v>
      </c>
      <c r="H5" s="34" t="s">
        <v>3208</v>
      </c>
      <c r="I5" s="33" t="s">
        <v>3211</v>
      </c>
      <c r="J5" s="98" t="s">
        <v>3212</v>
      </c>
      <c r="K5" s="98" t="s">
        <v>3213</v>
      </c>
      <c r="L5" s="61"/>
      <c r="M5" s="60"/>
    </row>
    <row r="6" spans="1:15" ht="38.450000000000003" customHeight="1" thickTop="1" thickBot="1" x14ac:dyDescent="0.3">
      <c r="A6" s="72"/>
      <c r="B6" s="235" t="s">
        <v>3210</v>
      </c>
      <c r="C6" s="236"/>
      <c r="D6" s="32"/>
      <c r="E6" s="32"/>
      <c r="F6" s="32"/>
      <c r="G6" s="33"/>
      <c r="H6" s="62">
        <v>627</v>
      </c>
      <c r="I6" s="33"/>
      <c r="J6" s="33"/>
      <c r="K6" s="33"/>
      <c r="L6" s="59"/>
      <c r="M6" s="60"/>
    </row>
    <row r="7" spans="1:15" ht="14.25" customHeight="1" thickTop="1" x14ac:dyDescent="0.25">
      <c r="A7" s="99"/>
      <c r="B7" s="245"/>
      <c r="C7" s="245"/>
      <c r="D7" s="36"/>
      <c r="E7" s="36"/>
      <c r="F7" s="36"/>
      <c r="G7" s="36"/>
      <c r="H7" s="38"/>
      <c r="I7" s="38">
        <v>100</v>
      </c>
      <c r="J7" s="39">
        <v>242</v>
      </c>
      <c r="K7" s="38">
        <v>63</v>
      </c>
      <c r="L7" s="59"/>
      <c r="M7" s="60"/>
    </row>
    <row r="8" spans="1:15" ht="14.25" customHeight="1" x14ac:dyDescent="0.25">
      <c r="A8" s="100">
        <v>1</v>
      </c>
      <c r="B8" s="233" t="s">
        <v>3143</v>
      </c>
      <c r="C8" s="233"/>
      <c r="D8" s="42" t="s">
        <v>3144</v>
      </c>
      <c r="E8" s="42" t="s">
        <v>3144</v>
      </c>
      <c r="F8" s="42" t="s">
        <v>3144</v>
      </c>
      <c r="G8" s="42" t="s">
        <v>3144</v>
      </c>
      <c r="H8" s="101">
        <f>SUM(H9:H15)</f>
        <v>136</v>
      </c>
      <c r="I8" s="44"/>
      <c r="J8" s="102"/>
      <c r="K8" s="44"/>
      <c r="L8" s="59"/>
      <c r="M8" s="60"/>
    </row>
    <row r="9" spans="1:15" ht="14.25" customHeight="1" x14ac:dyDescent="0.25">
      <c r="A9" s="83"/>
      <c r="B9" s="46" t="s">
        <v>3214</v>
      </c>
      <c r="C9" s="36" t="s">
        <v>3215</v>
      </c>
      <c r="D9" s="46"/>
      <c r="E9" s="46"/>
      <c r="F9" s="46"/>
      <c r="G9" s="46"/>
      <c r="H9" s="37">
        <v>5</v>
      </c>
      <c r="I9" s="103">
        <f>H9/H$6*I$7</f>
        <v>0.79744816586921841</v>
      </c>
      <c r="J9" s="47">
        <f>H9/H$6*J$7</f>
        <v>1.9298245614035086</v>
      </c>
      <c r="K9" s="47">
        <f>H9/H$6*K$7</f>
        <v>0.50239234449760761</v>
      </c>
      <c r="L9" s="59">
        <f>I9/$I$7</f>
        <v>7.9744816586921844E-3</v>
      </c>
      <c r="M9" s="60">
        <f>J9/$J$7</f>
        <v>7.9744816586921844E-3</v>
      </c>
      <c r="N9" s="60">
        <f>K9/$K$7</f>
        <v>7.9744816586921844E-3</v>
      </c>
      <c r="O9" s="60">
        <f>AVERAGE(L9:N9)</f>
        <v>7.9744816586921844E-3</v>
      </c>
    </row>
    <row r="10" spans="1:15" ht="14.25" customHeight="1" x14ac:dyDescent="0.25">
      <c r="A10" s="83"/>
      <c r="B10" s="46" t="s">
        <v>3216</v>
      </c>
      <c r="C10" s="36" t="s">
        <v>3147</v>
      </c>
      <c r="D10" s="46" t="s">
        <v>3148</v>
      </c>
      <c r="E10" s="46" t="s">
        <v>3148</v>
      </c>
      <c r="F10" s="46" t="s">
        <v>3148</v>
      </c>
      <c r="G10" s="46" t="s">
        <v>3148</v>
      </c>
      <c r="H10" s="37">
        <v>22</v>
      </c>
      <c r="I10" s="103">
        <f t="shared" ref="I10:I15" si="0">H10/H$6*I$7</f>
        <v>3.5087719298245612</v>
      </c>
      <c r="J10" s="47">
        <f t="shared" ref="J10:J15" si="1">H10/H$6*J$7</f>
        <v>8.4912280701754383</v>
      </c>
      <c r="K10" s="47">
        <f t="shared" ref="K10:K15" si="2">H10/H$6*K$7</f>
        <v>2.2105263157894735</v>
      </c>
      <c r="L10" s="59">
        <f t="shared" ref="L10:L15" si="3">I10/$I$7</f>
        <v>3.5087719298245612E-2</v>
      </c>
      <c r="M10" s="60">
        <f t="shared" ref="M10:M15" si="4">J10/$J$7</f>
        <v>3.5087719298245612E-2</v>
      </c>
      <c r="N10" s="60">
        <f t="shared" ref="N10:N15" si="5">K10/$K$7</f>
        <v>3.5087719298245612E-2</v>
      </c>
      <c r="O10" s="104">
        <f t="shared" ref="O10:O15" si="6">AVERAGE(L10:N10)</f>
        <v>3.5087719298245612E-2</v>
      </c>
    </row>
    <row r="11" spans="1:15" ht="14.25" customHeight="1" x14ac:dyDescent="0.25">
      <c r="A11" s="83"/>
      <c r="B11" s="46" t="s">
        <v>3217</v>
      </c>
      <c r="C11" s="36" t="s">
        <v>3149</v>
      </c>
      <c r="D11" s="46" t="s">
        <v>3148</v>
      </c>
      <c r="E11" s="46" t="s">
        <v>3148</v>
      </c>
      <c r="F11" s="46" t="s">
        <v>3148</v>
      </c>
      <c r="G11" s="46" t="s">
        <v>3148</v>
      </c>
      <c r="H11" s="37">
        <v>23</v>
      </c>
      <c r="I11" s="103">
        <f t="shared" si="0"/>
        <v>3.6682615629984054</v>
      </c>
      <c r="J11" s="47">
        <f t="shared" si="1"/>
        <v>8.8771929824561404</v>
      </c>
      <c r="K11" s="47">
        <f t="shared" si="2"/>
        <v>2.3110047846889952</v>
      </c>
      <c r="L11" s="59">
        <f t="shared" si="3"/>
        <v>3.6682615629984053E-2</v>
      </c>
      <c r="M11" s="60">
        <f t="shared" si="4"/>
        <v>3.6682615629984053E-2</v>
      </c>
      <c r="N11" s="60">
        <f t="shared" si="5"/>
        <v>3.6682615629984053E-2</v>
      </c>
      <c r="O11" s="104">
        <f t="shared" si="6"/>
        <v>3.6682615629984053E-2</v>
      </c>
    </row>
    <row r="12" spans="1:15" ht="14.25" customHeight="1" x14ac:dyDescent="0.25">
      <c r="A12" s="83"/>
      <c r="B12" s="46" t="s">
        <v>3218</v>
      </c>
      <c r="C12" s="36" t="s">
        <v>3150</v>
      </c>
      <c r="D12" s="46"/>
      <c r="E12" s="46"/>
      <c r="F12" s="46"/>
      <c r="G12" s="46"/>
      <c r="H12" s="37">
        <v>21</v>
      </c>
      <c r="I12" s="103">
        <f t="shared" si="0"/>
        <v>3.3492822966507179</v>
      </c>
      <c r="J12" s="47">
        <f t="shared" si="1"/>
        <v>8.1052631578947363</v>
      </c>
      <c r="K12" s="47">
        <f t="shared" si="2"/>
        <v>2.1100478468899522</v>
      </c>
      <c r="L12" s="59">
        <f t="shared" si="3"/>
        <v>3.3492822966507178E-2</v>
      </c>
      <c r="M12" s="60">
        <f t="shared" si="4"/>
        <v>3.3492822966507171E-2</v>
      </c>
      <c r="N12" s="60">
        <f t="shared" si="5"/>
        <v>3.3492822966507178E-2</v>
      </c>
      <c r="O12" s="60">
        <f t="shared" si="6"/>
        <v>3.3492822966507178E-2</v>
      </c>
    </row>
    <row r="13" spans="1:15" ht="14.25" customHeight="1" x14ac:dyDescent="0.25">
      <c r="A13" s="83"/>
      <c r="B13" s="46" t="s">
        <v>3219</v>
      </c>
      <c r="C13" s="36" t="s">
        <v>3151</v>
      </c>
      <c r="D13" s="46"/>
      <c r="E13" s="46"/>
      <c r="F13" s="46"/>
      <c r="G13" s="46"/>
      <c r="H13" s="37">
        <v>27</v>
      </c>
      <c r="I13" s="103">
        <f t="shared" si="0"/>
        <v>4.3062200956937797</v>
      </c>
      <c r="J13" s="47">
        <f t="shared" si="1"/>
        <v>10.421052631578949</v>
      </c>
      <c r="K13" s="47">
        <f t="shared" si="2"/>
        <v>2.7129186602870816</v>
      </c>
      <c r="L13" s="59">
        <f t="shared" si="3"/>
        <v>4.3062200956937795E-2</v>
      </c>
      <c r="M13" s="60">
        <f t="shared" si="4"/>
        <v>4.3062200956937802E-2</v>
      </c>
      <c r="N13" s="60">
        <f t="shared" si="5"/>
        <v>4.3062200956937802E-2</v>
      </c>
      <c r="O13" s="104">
        <f t="shared" si="6"/>
        <v>4.3062200956937802E-2</v>
      </c>
    </row>
    <row r="14" spans="1:15" ht="14.25" customHeight="1" x14ac:dyDescent="0.25">
      <c r="A14" s="83"/>
      <c r="B14" s="46" t="s">
        <v>3220</v>
      </c>
      <c r="C14" s="36" t="s">
        <v>3152</v>
      </c>
      <c r="D14" s="46"/>
      <c r="E14" s="46"/>
      <c r="F14" s="46"/>
      <c r="G14" s="46"/>
      <c r="H14" s="37">
        <v>21</v>
      </c>
      <c r="I14" s="103">
        <f t="shared" si="0"/>
        <v>3.3492822966507179</v>
      </c>
      <c r="J14" s="47">
        <f t="shared" si="1"/>
        <v>8.1052631578947363</v>
      </c>
      <c r="K14" s="47">
        <f t="shared" si="2"/>
        <v>2.1100478468899522</v>
      </c>
      <c r="L14" s="59">
        <f t="shared" si="3"/>
        <v>3.3492822966507178E-2</v>
      </c>
      <c r="M14" s="60">
        <f t="shared" si="4"/>
        <v>3.3492822966507171E-2</v>
      </c>
      <c r="N14" s="60">
        <f t="shared" si="5"/>
        <v>3.3492822966507178E-2</v>
      </c>
      <c r="O14" s="60">
        <f t="shared" si="6"/>
        <v>3.3492822966507178E-2</v>
      </c>
    </row>
    <row r="15" spans="1:15" ht="14.25" customHeight="1" x14ac:dyDescent="0.25">
      <c r="A15" s="83"/>
      <c r="B15" s="46" t="s">
        <v>3221</v>
      </c>
      <c r="C15" s="36" t="s">
        <v>3153</v>
      </c>
      <c r="D15" s="46"/>
      <c r="E15" s="46"/>
      <c r="F15" s="46"/>
      <c r="G15" s="46"/>
      <c r="H15" s="37">
        <v>17</v>
      </c>
      <c r="I15" s="103">
        <f t="shared" si="0"/>
        <v>2.7113237639553431</v>
      </c>
      <c r="J15" s="47">
        <f t="shared" si="1"/>
        <v>6.5614035087719298</v>
      </c>
      <c r="K15" s="47">
        <f t="shared" si="2"/>
        <v>1.7081339712918659</v>
      </c>
      <c r="L15" s="59">
        <f t="shared" si="3"/>
        <v>2.7113237639553433E-2</v>
      </c>
      <c r="M15" s="60">
        <f t="shared" si="4"/>
        <v>2.7113237639553429E-2</v>
      </c>
      <c r="N15" s="60">
        <f t="shared" si="5"/>
        <v>2.7113237639553429E-2</v>
      </c>
      <c r="O15" s="60">
        <f t="shared" si="6"/>
        <v>2.7113237639553433E-2</v>
      </c>
    </row>
    <row r="16" spans="1:15" ht="14.25" customHeight="1" x14ac:dyDescent="0.25">
      <c r="A16" s="83"/>
      <c r="B16" s="226"/>
      <c r="C16" s="228"/>
      <c r="D16" s="36"/>
      <c r="E16" s="36"/>
      <c r="F16" s="36"/>
      <c r="G16" s="36"/>
      <c r="H16" s="37"/>
      <c r="I16" s="36"/>
      <c r="J16" s="51"/>
      <c r="K16" s="51"/>
      <c r="L16" s="59"/>
      <c r="M16" s="60"/>
    </row>
    <row r="17" spans="1:15" ht="14.25" customHeight="1" x14ac:dyDescent="0.25">
      <c r="A17" s="100">
        <v>2</v>
      </c>
      <c r="B17" s="233" t="s">
        <v>3154</v>
      </c>
      <c r="C17" s="234"/>
      <c r="D17" s="42" t="s">
        <v>3155</v>
      </c>
      <c r="E17" s="42" t="s">
        <v>3155</v>
      </c>
      <c r="F17" s="42" t="s">
        <v>3155</v>
      </c>
      <c r="G17" s="42" t="s">
        <v>3155</v>
      </c>
      <c r="H17" s="101">
        <f>SUM(H18:H22)</f>
        <v>84</v>
      </c>
      <c r="I17" s="43"/>
      <c r="J17" s="105"/>
      <c r="K17" s="44"/>
      <c r="L17" s="59"/>
      <c r="M17" s="60"/>
    </row>
    <row r="18" spans="1:15" ht="14.25" customHeight="1" x14ac:dyDescent="0.25">
      <c r="A18" s="83"/>
      <c r="B18" s="46" t="s">
        <v>3222</v>
      </c>
      <c r="C18" s="36" t="s">
        <v>3223</v>
      </c>
      <c r="D18" s="46"/>
      <c r="E18" s="46"/>
      <c r="F18" s="46"/>
      <c r="G18" s="46"/>
      <c r="H18" s="37">
        <v>5</v>
      </c>
      <c r="I18" s="103">
        <f t="shared" ref="I18:I22" si="7">H18/H$6*I$7</f>
        <v>0.79744816586921841</v>
      </c>
      <c r="J18" s="47">
        <f>H18/H$6*J$7</f>
        <v>1.9298245614035086</v>
      </c>
      <c r="K18" s="47">
        <f t="shared" ref="K18:K22" si="8">H18/H$6*K$7</f>
        <v>0.50239234449760761</v>
      </c>
      <c r="L18" s="59">
        <f t="shared" ref="L18:L22" si="9">I18/$I$7</f>
        <v>7.9744816586921844E-3</v>
      </c>
      <c r="M18" s="60">
        <f t="shared" ref="M18:M22" si="10">J18/$J$7</f>
        <v>7.9744816586921844E-3</v>
      </c>
      <c r="N18" s="60">
        <f t="shared" ref="N18:N22" si="11">K18/$K$7</f>
        <v>7.9744816586921844E-3</v>
      </c>
      <c r="O18" s="60">
        <f t="shared" ref="O18:O22" si="12">AVERAGE(L18:N18)</f>
        <v>7.9744816586921844E-3</v>
      </c>
    </row>
    <row r="19" spans="1:15" ht="14.25" customHeight="1" x14ac:dyDescent="0.25">
      <c r="A19" s="83"/>
      <c r="B19" s="46" t="s">
        <v>3224</v>
      </c>
      <c r="C19" s="36" t="s">
        <v>3156</v>
      </c>
      <c r="D19" s="46" t="s">
        <v>3148</v>
      </c>
      <c r="E19" s="46" t="s">
        <v>3148</v>
      </c>
      <c r="F19" s="46" t="s">
        <v>3148</v>
      </c>
      <c r="G19" s="46" t="s">
        <v>3148</v>
      </c>
      <c r="H19" s="37">
        <v>15</v>
      </c>
      <c r="I19" s="103">
        <f t="shared" si="7"/>
        <v>2.3923444976076556</v>
      </c>
      <c r="J19" s="47">
        <f t="shared" ref="J19:J22" si="13">H19/H$6*J$7</f>
        <v>5.7894736842105265</v>
      </c>
      <c r="K19" s="47">
        <f t="shared" si="8"/>
        <v>1.5071770334928229</v>
      </c>
      <c r="L19" s="59">
        <f t="shared" si="9"/>
        <v>2.3923444976076555E-2</v>
      </c>
      <c r="M19" s="60">
        <f t="shared" si="10"/>
        <v>2.3923444976076555E-2</v>
      </c>
      <c r="N19" s="60">
        <f t="shared" si="11"/>
        <v>2.3923444976076555E-2</v>
      </c>
      <c r="O19" s="60">
        <f t="shared" si="12"/>
        <v>2.3923444976076555E-2</v>
      </c>
    </row>
    <row r="20" spans="1:15" ht="14.25" customHeight="1" x14ac:dyDescent="0.25">
      <c r="A20" s="83"/>
      <c r="B20" s="46" t="s">
        <v>3225</v>
      </c>
      <c r="C20" s="36" t="s">
        <v>3157</v>
      </c>
      <c r="D20" s="46" t="s">
        <v>3148</v>
      </c>
      <c r="E20" s="46" t="s">
        <v>3148</v>
      </c>
      <c r="F20" s="46" t="s">
        <v>3148</v>
      </c>
      <c r="G20" s="46" t="s">
        <v>3148</v>
      </c>
      <c r="H20" s="37">
        <v>22</v>
      </c>
      <c r="I20" s="103">
        <f t="shared" si="7"/>
        <v>3.5087719298245612</v>
      </c>
      <c r="J20" s="47">
        <f t="shared" si="13"/>
        <v>8.4912280701754383</v>
      </c>
      <c r="K20" s="47">
        <f t="shared" si="8"/>
        <v>2.2105263157894735</v>
      </c>
      <c r="L20" s="59">
        <f t="shared" si="9"/>
        <v>3.5087719298245612E-2</v>
      </c>
      <c r="M20" s="60">
        <f t="shared" si="10"/>
        <v>3.5087719298245612E-2</v>
      </c>
      <c r="N20" s="60">
        <f t="shared" si="11"/>
        <v>3.5087719298245612E-2</v>
      </c>
      <c r="O20" s="104">
        <f t="shared" si="12"/>
        <v>3.5087719298245612E-2</v>
      </c>
    </row>
    <row r="21" spans="1:15" ht="14.25" customHeight="1" x14ac:dyDescent="0.25">
      <c r="A21" s="83"/>
      <c r="B21" s="46" t="s">
        <v>3226</v>
      </c>
      <c r="C21" s="36" t="s">
        <v>3158</v>
      </c>
      <c r="D21" s="46"/>
      <c r="E21" s="46"/>
      <c r="F21" s="46"/>
      <c r="G21" s="46"/>
      <c r="H21" s="37">
        <v>38</v>
      </c>
      <c r="I21" s="103">
        <f t="shared" si="7"/>
        <v>6.0606060606060606</v>
      </c>
      <c r="J21" s="47">
        <f t="shared" si="13"/>
        <v>14.666666666666668</v>
      </c>
      <c r="K21" s="47">
        <f t="shared" si="8"/>
        <v>3.8181818181818183</v>
      </c>
      <c r="L21" s="59">
        <f t="shared" si="9"/>
        <v>6.0606060606060608E-2</v>
      </c>
      <c r="M21" s="60">
        <f t="shared" si="10"/>
        <v>6.0606060606060608E-2</v>
      </c>
      <c r="N21" s="60">
        <f t="shared" si="11"/>
        <v>6.0606060606060608E-2</v>
      </c>
      <c r="O21" s="104">
        <f t="shared" si="12"/>
        <v>6.0606060606060608E-2</v>
      </c>
    </row>
    <row r="22" spans="1:15" ht="14.25" customHeight="1" x14ac:dyDescent="0.25">
      <c r="A22" s="83"/>
      <c r="B22" s="46" t="s">
        <v>3227</v>
      </c>
      <c r="C22" s="36" t="s">
        <v>3159</v>
      </c>
      <c r="D22" s="46"/>
      <c r="E22" s="46"/>
      <c r="F22" s="46"/>
      <c r="G22" s="46"/>
      <c r="H22" s="37">
        <v>4</v>
      </c>
      <c r="I22" s="103">
        <f t="shared" si="7"/>
        <v>0.63795853269537484</v>
      </c>
      <c r="J22" s="47">
        <f t="shared" si="13"/>
        <v>1.5438596491228069</v>
      </c>
      <c r="K22" s="47">
        <f t="shared" si="8"/>
        <v>0.40191387559808611</v>
      </c>
      <c r="L22" s="59">
        <f t="shared" si="9"/>
        <v>6.379585326953748E-3</v>
      </c>
      <c r="M22" s="60">
        <f t="shared" si="10"/>
        <v>6.379585326953748E-3</v>
      </c>
      <c r="N22" s="60">
        <f t="shared" si="11"/>
        <v>6.379585326953748E-3</v>
      </c>
      <c r="O22" s="60">
        <f t="shared" si="12"/>
        <v>6.379585326953748E-3</v>
      </c>
    </row>
    <row r="23" spans="1:15" ht="14.25" customHeight="1" x14ac:dyDescent="0.25">
      <c r="A23" s="83"/>
      <c r="B23" s="226"/>
      <c r="C23" s="228"/>
      <c r="D23" s="36"/>
      <c r="E23" s="36"/>
      <c r="F23" s="36"/>
      <c r="G23" s="36"/>
      <c r="H23" s="37"/>
      <c r="I23" s="36"/>
      <c r="J23" s="51"/>
      <c r="K23" s="51"/>
      <c r="L23" s="59"/>
      <c r="M23" s="60"/>
    </row>
    <row r="24" spans="1:15" ht="14.25" customHeight="1" x14ac:dyDescent="0.25">
      <c r="A24" s="100">
        <v>3</v>
      </c>
      <c r="B24" s="233" t="s">
        <v>3160</v>
      </c>
      <c r="C24" s="234"/>
      <c r="D24" s="42" t="s">
        <v>3155</v>
      </c>
      <c r="E24" s="42" t="s">
        <v>3155</v>
      </c>
      <c r="F24" s="42" t="s">
        <v>3155</v>
      </c>
      <c r="G24" s="42" t="s">
        <v>3155</v>
      </c>
      <c r="H24" s="101">
        <f>SUM(H25:H29)</f>
        <v>76</v>
      </c>
      <c r="I24" s="43"/>
      <c r="J24" s="105"/>
      <c r="K24" s="44"/>
      <c r="L24" s="59"/>
      <c r="M24" s="60"/>
    </row>
    <row r="25" spans="1:15" ht="14.25" customHeight="1" x14ac:dyDescent="0.25">
      <c r="A25" s="83"/>
      <c r="B25" s="46" t="s">
        <v>3228</v>
      </c>
      <c r="C25" s="36" t="s">
        <v>3161</v>
      </c>
      <c r="D25" s="46" t="s">
        <v>3148</v>
      </c>
      <c r="E25" s="46" t="s">
        <v>3148</v>
      </c>
      <c r="F25" s="46" t="s">
        <v>3148</v>
      </c>
      <c r="G25" s="46" t="s">
        <v>3148</v>
      </c>
      <c r="H25" s="37">
        <v>21</v>
      </c>
      <c r="I25" s="103">
        <f t="shared" ref="I25:I29" si="14">H25/H$6*I$7</f>
        <v>3.3492822966507179</v>
      </c>
      <c r="J25" s="47">
        <f>H25/H$6*J$7</f>
        <v>8.1052631578947363</v>
      </c>
      <c r="K25" s="47">
        <f t="shared" ref="K25:K29" si="15">H25/H$6*K$7</f>
        <v>2.1100478468899522</v>
      </c>
      <c r="L25" s="59">
        <f t="shared" ref="L25:L29" si="16">I25/$I$7</f>
        <v>3.3492822966507178E-2</v>
      </c>
      <c r="M25" s="60">
        <f t="shared" ref="M25:M29" si="17">J25/$J$7</f>
        <v>3.3492822966507171E-2</v>
      </c>
      <c r="N25" s="60">
        <f t="shared" ref="N25:N29" si="18">K25/$K$7</f>
        <v>3.3492822966507178E-2</v>
      </c>
      <c r="O25" s="60">
        <f t="shared" ref="O25:O29" si="19">AVERAGE(L25:N25)</f>
        <v>3.3492822966507178E-2</v>
      </c>
    </row>
    <row r="26" spans="1:15" ht="14.25" customHeight="1" x14ac:dyDescent="0.25">
      <c r="A26" s="83"/>
      <c r="B26" s="46" t="s">
        <v>3229</v>
      </c>
      <c r="C26" s="36" t="s">
        <v>3162</v>
      </c>
      <c r="D26" s="46" t="s">
        <v>3148</v>
      </c>
      <c r="E26" s="46" t="s">
        <v>3148</v>
      </c>
      <c r="F26" s="46" t="s">
        <v>3148</v>
      </c>
      <c r="G26" s="46" t="s">
        <v>3148</v>
      </c>
      <c r="H26" s="37">
        <v>7</v>
      </c>
      <c r="I26" s="103">
        <f t="shared" si="14"/>
        <v>1.1164274322169059</v>
      </c>
      <c r="J26" s="47">
        <f t="shared" ref="J26:J29" si="20">H26/H$6*J$7</f>
        <v>2.7017543859649122</v>
      </c>
      <c r="K26" s="47">
        <f t="shared" si="15"/>
        <v>0.70334928229665072</v>
      </c>
      <c r="L26" s="59">
        <f t="shared" si="16"/>
        <v>1.1164274322169059E-2</v>
      </c>
      <c r="M26" s="60">
        <f t="shared" si="17"/>
        <v>1.1164274322169059E-2</v>
      </c>
      <c r="N26" s="60">
        <f t="shared" si="18"/>
        <v>1.1164274322169059E-2</v>
      </c>
      <c r="O26" s="60">
        <f t="shared" si="19"/>
        <v>1.1164274322169059E-2</v>
      </c>
    </row>
    <row r="27" spans="1:15" ht="14.25" customHeight="1" x14ac:dyDescent="0.25">
      <c r="A27" s="83"/>
      <c r="B27" s="46" t="s">
        <v>3230</v>
      </c>
      <c r="C27" s="36" t="s">
        <v>3163</v>
      </c>
      <c r="D27" s="46" t="s">
        <v>3148</v>
      </c>
      <c r="E27" s="46" t="s">
        <v>3148</v>
      </c>
      <c r="F27" s="46" t="s">
        <v>3148</v>
      </c>
      <c r="G27" s="46" t="s">
        <v>3148</v>
      </c>
      <c r="H27" s="37">
        <v>30</v>
      </c>
      <c r="I27" s="103">
        <f t="shared" si="14"/>
        <v>4.7846889952153111</v>
      </c>
      <c r="J27" s="47">
        <f t="shared" si="20"/>
        <v>11.578947368421053</v>
      </c>
      <c r="K27" s="47">
        <f t="shared" si="15"/>
        <v>3.0143540669856459</v>
      </c>
      <c r="L27" s="59">
        <f t="shared" si="16"/>
        <v>4.784688995215311E-2</v>
      </c>
      <c r="M27" s="60">
        <f t="shared" si="17"/>
        <v>4.784688995215311E-2</v>
      </c>
      <c r="N27" s="60">
        <f t="shared" si="18"/>
        <v>4.784688995215311E-2</v>
      </c>
      <c r="O27" s="104">
        <f t="shared" si="19"/>
        <v>4.784688995215311E-2</v>
      </c>
    </row>
    <row r="28" spans="1:15" ht="14.25" customHeight="1" x14ac:dyDescent="0.25">
      <c r="A28" s="83"/>
      <c r="B28" s="46" t="s">
        <v>3231</v>
      </c>
      <c r="C28" s="36" t="s">
        <v>3164</v>
      </c>
      <c r="D28" s="46"/>
      <c r="E28" s="46"/>
      <c r="F28" s="46"/>
      <c r="G28" s="46"/>
      <c r="H28" s="37">
        <v>8</v>
      </c>
      <c r="I28" s="103">
        <f t="shared" si="14"/>
        <v>1.2759170653907497</v>
      </c>
      <c r="J28" s="47">
        <f t="shared" si="20"/>
        <v>3.0877192982456139</v>
      </c>
      <c r="K28" s="47">
        <f t="shared" si="15"/>
        <v>0.80382775119617222</v>
      </c>
      <c r="L28" s="59">
        <f t="shared" si="16"/>
        <v>1.2759170653907496E-2</v>
      </c>
      <c r="M28" s="60">
        <f t="shared" si="17"/>
        <v>1.2759170653907496E-2</v>
      </c>
      <c r="N28" s="60">
        <f t="shared" si="18"/>
        <v>1.2759170653907496E-2</v>
      </c>
      <c r="O28" s="60">
        <f t="shared" si="19"/>
        <v>1.2759170653907496E-2</v>
      </c>
    </row>
    <row r="29" spans="1:15" ht="14.25" customHeight="1" x14ac:dyDescent="0.25">
      <c r="A29" s="83"/>
      <c r="B29" s="46" t="s">
        <v>3232</v>
      </c>
      <c r="C29" s="36" t="s">
        <v>3165</v>
      </c>
      <c r="D29" s="46"/>
      <c r="E29" s="46"/>
      <c r="F29" s="46"/>
      <c r="G29" s="46"/>
      <c r="H29" s="37">
        <v>10</v>
      </c>
      <c r="I29" s="103">
        <f t="shared" si="14"/>
        <v>1.5948963317384368</v>
      </c>
      <c r="J29" s="47">
        <f t="shared" si="20"/>
        <v>3.8596491228070171</v>
      </c>
      <c r="K29" s="47">
        <f t="shared" si="15"/>
        <v>1.0047846889952152</v>
      </c>
      <c r="L29" s="59">
        <f t="shared" si="16"/>
        <v>1.5948963317384369E-2</v>
      </c>
      <c r="M29" s="60">
        <f t="shared" si="17"/>
        <v>1.5948963317384369E-2</v>
      </c>
      <c r="N29" s="60">
        <f t="shared" si="18"/>
        <v>1.5948963317384369E-2</v>
      </c>
      <c r="O29" s="60">
        <f t="shared" si="19"/>
        <v>1.5948963317384369E-2</v>
      </c>
    </row>
    <row r="30" spans="1:15" ht="14.25" customHeight="1" x14ac:dyDescent="0.25">
      <c r="A30" s="83"/>
      <c r="B30" s="226"/>
      <c r="C30" s="228"/>
      <c r="D30" s="36"/>
      <c r="E30" s="36"/>
      <c r="F30" s="36"/>
      <c r="G30" s="36"/>
      <c r="H30" s="37"/>
      <c r="I30" s="36"/>
      <c r="J30" s="51"/>
      <c r="K30" s="51"/>
      <c r="L30" s="59"/>
      <c r="M30" s="60"/>
    </row>
    <row r="31" spans="1:15" ht="14.25" customHeight="1" x14ac:dyDescent="0.25">
      <c r="A31" s="100">
        <v>4</v>
      </c>
      <c r="B31" s="52" t="s">
        <v>3166</v>
      </c>
      <c r="C31" s="42"/>
      <c r="D31" s="42"/>
      <c r="E31" s="42"/>
      <c r="F31" s="42"/>
      <c r="G31" s="42"/>
      <c r="H31" s="101">
        <f>SUM(H32:H33)</f>
        <v>49</v>
      </c>
      <c r="I31" s="43"/>
      <c r="J31" s="105"/>
      <c r="K31" s="44"/>
      <c r="L31" s="59"/>
      <c r="M31" s="60"/>
    </row>
    <row r="32" spans="1:15" ht="14.25" customHeight="1" x14ac:dyDescent="0.25">
      <c r="A32" s="83"/>
      <c r="B32" s="46" t="s">
        <v>3233</v>
      </c>
      <c r="C32" s="36" t="s">
        <v>3167</v>
      </c>
      <c r="D32" s="36"/>
      <c r="E32" s="36"/>
      <c r="F32" s="36"/>
      <c r="G32" s="36"/>
      <c r="H32" s="37">
        <v>27</v>
      </c>
      <c r="I32" s="103">
        <f t="shared" ref="I32:I33" si="21">H32/H$6*I$7</f>
        <v>4.3062200956937797</v>
      </c>
      <c r="J32" s="47">
        <f>H32/H$6*J$7</f>
        <v>10.421052631578949</v>
      </c>
      <c r="K32" s="47">
        <f t="shared" ref="K32:K33" si="22">H32/H$6*K$7</f>
        <v>2.7129186602870816</v>
      </c>
      <c r="L32" s="59">
        <f t="shared" ref="L32:L33" si="23">I32/$I$7</f>
        <v>4.3062200956937795E-2</v>
      </c>
      <c r="M32" s="60">
        <f t="shared" ref="M32:M33" si="24">J32/$J$7</f>
        <v>4.3062200956937802E-2</v>
      </c>
      <c r="N32" s="60">
        <f t="shared" ref="N32:N33" si="25">K32/$K$7</f>
        <v>4.3062200956937802E-2</v>
      </c>
      <c r="O32" s="104">
        <f t="shared" ref="O32:O33" si="26">AVERAGE(L32:N32)</f>
        <v>4.3062200956937802E-2</v>
      </c>
    </row>
    <row r="33" spans="1:15" ht="14.25" customHeight="1" x14ac:dyDescent="0.25">
      <c r="A33" s="83"/>
      <c r="B33" s="46" t="s">
        <v>3234</v>
      </c>
      <c r="C33" s="36" t="s">
        <v>3168</v>
      </c>
      <c r="D33" s="36"/>
      <c r="E33" s="36"/>
      <c r="F33" s="36"/>
      <c r="G33" s="36"/>
      <c r="H33" s="37">
        <v>22</v>
      </c>
      <c r="I33" s="103">
        <f t="shared" si="21"/>
        <v>3.5087719298245612</v>
      </c>
      <c r="J33" s="47">
        <f>H33/H$6*J$7</f>
        <v>8.4912280701754383</v>
      </c>
      <c r="K33" s="47">
        <f t="shared" si="22"/>
        <v>2.2105263157894735</v>
      </c>
      <c r="L33" s="59">
        <f t="shared" si="23"/>
        <v>3.5087719298245612E-2</v>
      </c>
      <c r="M33" s="60">
        <f t="shared" si="24"/>
        <v>3.5087719298245612E-2</v>
      </c>
      <c r="N33" s="60">
        <f t="shared" si="25"/>
        <v>3.5087719298245612E-2</v>
      </c>
      <c r="O33" s="104">
        <f t="shared" si="26"/>
        <v>3.5087719298245612E-2</v>
      </c>
    </row>
    <row r="34" spans="1:15" ht="14.25" customHeight="1" x14ac:dyDescent="0.25">
      <c r="A34" s="83"/>
      <c r="B34" s="226"/>
      <c r="C34" s="228"/>
      <c r="D34" s="36"/>
      <c r="E34" s="36"/>
      <c r="F34" s="36"/>
      <c r="G34" s="36"/>
      <c r="H34" s="37"/>
      <c r="I34" s="46"/>
      <c r="J34" s="51"/>
      <c r="K34" s="51"/>
      <c r="L34" s="59"/>
      <c r="M34" s="60"/>
    </row>
    <row r="35" spans="1:15" ht="14.25" customHeight="1" x14ac:dyDescent="0.25">
      <c r="A35" s="100">
        <v>5</v>
      </c>
      <c r="B35" s="53" t="s">
        <v>3169</v>
      </c>
      <c r="C35" s="42"/>
      <c r="D35" s="42"/>
      <c r="E35" s="42"/>
      <c r="F35" s="42"/>
      <c r="G35" s="42"/>
      <c r="H35" s="101">
        <f>SUM(H36:H39)</f>
        <v>78</v>
      </c>
      <c r="I35" s="43"/>
      <c r="J35" s="105"/>
      <c r="K35" s="44"/>
      <c r="L35" s="59"/>
      <c r="M35" s="60"/>
    </row>
    <row r="36" spans="1:15" ht="14.25" customHeight="1" x14ac:dyDescent="0.25">
      <c r="A36" s="83"/>
      <c r="B36" s="46" t="s">
        <v>3235</v>
      </c>
      <c r="C36" s="36" t="s">
        <v>3236</v>
      </c>
      <c r="D36" s="36"/>
      <c r="E36" s="36"/>
      <c r="F36" s="36"/>
      <c r="G36" s="36"/>
      <c r="H36" s="37">
        <v>5</v>
      </c>
      <c r="I36" s="103">
        <f t="shared" ref="I36:I39" si="27">H36/H$6*I$7</f>
        <v>0.79744816586921841</v>
      </c>
      <c r="J36" s="47">
        <f>H36/H$6*J$7</f>
        <v>1.9298245614035086</v>
      </c>
      <c r="K36" s="47">
        <f t="shared" ref="K36:K39" si="28">H36/H$6*K$7</f>
        <v>0.50239234449760761</v>
      </c>
      <c r="L36" s="59">
        <f t="shared" ref="L36:L39" si="29">I36/$I$7</f>
        <v>7.9744816586921844E-3</v>
      </c>
      <c r="M36" s="60">
        <f t="shared" ref="M36:M39" si="30">J36/$J$7</f>
        <v>7.9744816586921844E-3</v>
      </c>
      <c r="N36" s="60">
        <f t="shared" ref="N36:N39" si="31">K36/$K$7</f>
        <v>7.9744816586921844E-3</v>
      </c>
      <c r="O36" s="60">
        <f t="shared" ref="O36:O39" si="32">AVERAGE(L36:N36)</f>
        <v>7.9744816586921844E-3</v>
      </c>
    </row>
    <row r="37" spans="1:15" ht="14.25" customHeight="1" x14ac:dyDescent="0.25">
      <c r="A37" s="83"/>
      <c r="B37" s="46" t="s">
        <v>3237</v>
      </c>
      <c r="C37" s="36" t="s">
        <v>3170</v>
      </c>
      <c r="D37" s="36"/>
      <c r="E37" s="36"/>
      <c r="F37" s="36"/>
      <c r="G37" s="36"/>
      <c r="H37" s="37">
        <v>31</v>
      </c>
      <c r="I37" s="103">
        <f t="shared" si="27"/>
        <v>4.944178628389154</v>
      </c>
      <c r="J37" s="47">
        <f t="shared" ref="J37:J39" si="33">H37/H$6*J$7</f>
        <v>11.964912280701753</v>
      </c>
      <c r="K37" s="47">
        <f t="shared" si="28"/>
        <v>3.1148325358851672</v>
      </c>
      <c r="L37" s="59">
        <f t="shared" si="29"/>
        <v>4.9441786283891537E-2</v>
      </c>
      <c r="M37" s="60">
        <f t="shared" si="30"/>
        <v>4.9441786283891544E-2</v>
      </c>
      <c r="N37" s="60">
        <f t="shared" si="31"/>
        <v>4.9441786283891544E-2</v>
      </c>
      <c r="O37" s="104">
        <f t="shared" si="32"/>
        <v>4.9441786283891537E-2</v>
      </c>
    </row>
    <row r="38" spans="1:15" ht="14.25" customHeight="1" x14ac:dyDescent="0.25">
      <c r="A38" s="83"/>
      <c r="B38" s="46" t="s">
        <v>3238</v>
      </c>
      <c r="C38" s="36" t="s">
        <v>3171</v>
      </c>
      <c r="D38" s="36"/>
      <c r="E38" s="36"/>
      <c r="F38" s="36"/>
      <c r="G38" s="36"/>
      <c r="H38" s="37">
        <v>11</v>
      </c>
      <c r="I38" s="103">
        <f t="shared" si="27"/>
        <v>1.7543859649122806</v>
      </c>
      <c r="J38" s="47">
        <f t="shared" si="33"/>
        <v>4.2456140350877192</v>
      </c>
      <c r="K38" s="47">
        <f t="shared" si="28"/>
        <v>1.1052631578947367</v>
      </c>
      <c r="L38" s="59">
        <f t="shared" si="29"/>
        <v>1.7543859649122806E-2</v>
      </c>
      <c r="M38" s="60">
        <f t="shared" si="30"/>
        <v>1.7543859649122806E-2</v>
      </c>
      <c r="N38" s="60">
        <f t="shared" si="31"/>
        <v>1.7543859649122806E-2</v>
      </c>
      <c r="O38" s="60">
        <f t="shared" si="32"/>
        <v>1.7543859649122806E-2</v>
      </c>
    </row>
    <row r="39" spans="1:15" ht="14.25" customHeight="1" x14ac:dyDescent="0.25">
      <c r="A39" s="83"/>
      <c r="B39" s="46" t="s">
        <v>3239</v>
      </c>
      <c r="C39" s="36" t="s">
        <v>3172</v>
      </c>
      <c r="D39" s="36"/>
      <c r="E39" s="36"/>
      <c r="F39" s="36"/>
      <c r="G39" s="36"/>
      <c r="H39" s="37">
        <v>31</v>
      </c>
      <c r="I39" s="103">
        <f t="shared" si="27"/>
        <v>4.944178628389154</v>
      </c>
      <c r="J39" s="47">
        <f t="shared" si="33"/>
        <v>11.964912280701753</v>
      </c>
      <c r="K39" s="47">
        <f t="shared" si="28"/>
        <v>3.1148325358851672</v>
      </c>
      <c r="L39" s="59">
        <f t="shared" si="29"/>
        <v>4.9441786283891537E-2</v>
      </c>
      <c r="M39" s="60">
        <f t="shared" si="30"/>
        <v>4.9441786283891544E-2</v>
      </c>
      <c r="N39" s="60">
        <f t="shared" si="31"/>
        <v>4.9441786283891544E-2</v>
      </c>
      <c r="O39" s="104">
        <f t="shared" si="32"/>
        <v>4.9441786283891537E-2</v>
      </c>
    </row>
    <row r="40" spans="1:15" ht="14.25" customHeight="1" x14ac:dyDescent="0.25">
      <c r="A40" s="83"/>
      <c r="B40" s="226"/>
      <c r="C40" s="228"/>
      <c r="D40" s="36"/>
      <c r="E40" s="36"/>
      <c r="F40" s="36"/>
      <c r="G40" s="36"/>
      <c r="H40" s="37"/>
      <c r="I40" s="46"/>
      <c r="J40" s="51"/>
      <c r="K40" s="51"/>
      <c r="L40" s="59"/>
      <c r="M40" s="60"/>
    </row>
    <row r="41" spans="1:15" ht="14.25" customHeight="1" x14ac:dyDescent="0.25">
      <c r="A41" s="100">
        <v>6</v>
      </c>
      <c r="B41" s="52" t="s">
        <v>3173</v>
      </c>
      <c r="C41" s="42"/>
      <c r="D41" s="42"/>
      <c r="E41" s="42"/>
      <c r="F41" s="42"/>
      <c r="G41" s="42"/>
      <c r="H41" s="101">
        <f>SUM(H42:H47)</f>
        <v>104</v>
      </c>
      <c r="I41" s="43"/>
      <c r="J41" s="105"/>
      <c r="K41" s="44"/>
      <c r="L41" s="59"/>
      <c r="M41" s="60"/>
    </row>
    <row r="42" spans="1:15" ht="14.25" customHeight="1" x14ac:dyDescent="0.25">
      <c r="A42" s="83"/>
      <c r="B42" s="46" t="s">
        <v>3240</v>
      </c>
      <c r="C42" s="36" t="s">
        <v>3174</v>
      </c>
      <c r="D42" s="36"/>
      <c r="E42" s="36"/>
      <c r="F42" s="36"/>
      <c r="G42" s="36"/>
      <c r="H42" s="37">
        <v>34</v>
      </c>
      <c r="I42" s="103">
        <f t="shared" ref="I42:I47" si="34">H42/H$6*I$7</f>
        <v>5.4226475279106863</v>
      </c>
      <c r="J42" s="47">
        <f t="shared" ref="J42:J47" si="35">H42/H$6*J$7</f>
        <v>13.12280701754386</v>
      </c>
      <c r="K42" s="47">
        <f t="shared" ref="K42:K47" si="36">H42/H$6*K$7</f>
        <v>3.4162679425837319</v>
      </c>
      <c r="L42" s="59">
        <f t="shared" ref="L42:L47" si="37">I42/$I$7</f>
        <v>5.4226475279106866E-2</v>
      </c>
      <c r="M42" s="60">
        <f t="shared" ref="M42:M47" si="38">J42/$J$7</f>
        <v>5.4226475279106859E-2</v>
      </c>
      <c r="N42" s="60">
        <f t="shared" ref="N42:N47" si="39">K42/$K$7</f>
        <v>5.4226475279106859E-2</v>
      </c>
      <c r="O42" s="104">
        <f t="shared" ref="O42:O47" si="40">AVERAGE(L42:N42)</f>
        <v>5.4226475279106866E-2</v>
      </c>
    </row>
    <row r="43" spans="1:15" ht="14.25" customHeight="1" x14ac:dyDescent="0.25">
      <c r="A43" s="83"/>
      <c r="B43" s="46" t="s">
        <v>3241</v>
      </c>
      <c r="C43" s="36" t="s">
        <v>3175</v>
      </c>
      <c r="D43" s="36"/>
      <c r="E43" s="36"/>
      <c r="F43" s="36"/>
      <c r="G43" s="36"/>
      <c r="H43" s="37">
        <v>17</v>
      </c>
      <c r="I43" s="103">
        <f t="shared" si="34"/>
        <v>2.7113237639553431</v>
      </c>
      <c r="J43" s="47">
        <f t="shared" si="35"/>
        <v>6.5614035087719298</v>
      </c>
      <c r="K43" s="47">
        <f t="shared" si="36"/>
        <v>1.7081339712918659</v>
      </c>
      <c r="L43" s="59">
        <f t="shared" si="37"/>
        <v>2.7113237639553433E-2</v>
      </c>
      <c r="M43" s="60">
        <f t="shared" si="38"/>
        <v>2.7113237639553429E-2</v>
      </c>
      <c r="N43" s="60">
        <f t="shared" si="39"/>
        <v>2.7113237639553429E-2</v>
      </c>
      <c r="O43" s="60">
        <f t="shared" si="40"/>
        <v>2.7113237639553433E-2</v>
      </c>
    </row>
    <row r="44" spans="1:15" ht="14.25" customHeight="1" x14ac:dyDescent="0.25">
      <c r="A44" s="83"/>
      <c r="B44" s="46" t="s">
        <v>3242</v>
      </c>
      <c r="C44" s="36" t="s">
        <v>3176</v>
      </c>
      <c r="D44" s="36"/>
      <c r="E44" s="36"/>
      <c r="F44" s="36"/>
      <c r="G44" s="36"/>
      <c r="H44" s="37"/>
      <c r="I44" s="103">
        <f t="shared" si="34"/>
        <v>0</v>
      </c>
      <c r="J44" s="47">
        <f t="shared" si="35"/>
        <v>0</v>
      </c>
      <c r="K44" s="47">
        <f t="shared" si="36"/>
        <v>0</v>
      </c>
      <c r="L44" s="59">
        <f t="shared" si="37"/>
        <v>0</v>
      </c>
      <c r="M44" s="60">
        <f t="shared" si="38"/>
        <v>0</v>
      </c>
      <c r="N44" s="60">
        <f t="shared" si="39"/>
        <v>0</v>
      </c>
      <c r="O44" s="60">
        <f t="shared" si="40"/>
        <v>0</v>
      </c>
    </row>
    <row r="45" spans="1:15" ht="14.25" customHeight="1" x14ac:dyDescent="0.25">
      <c r="A45" s="83"/>
      <c r="B45" s="46" t="s">
        <v>3243</v>
      </c>
      <c r="C45" s="36" t="s">
        <v>3177</v>
      </c>
      <c r="D45" s="36"/>
      <c r="E45" s="36"/>
      <c r="F45" s="36"/>
      <c r="G45" s="36"/>
      <c r="H45" s="37">
        <v>2</v>
      </c>
      <c r="I45" s="103">
        <f t="shared" si="34"/>
        <v>0.31897926634768742</v>
      </c>
      <c r="J45" s="47">
        <f t="shared" si="35"/>
        <v>0.77192982456140347</v>
      </c>
      <c r="K45" s="47">
        <f t="shared" si="36"/>
        <v>0.20095693779904306</v>
      </c>
      <c r="L45" s="59">
        <f t="shared" si="37"/>
        <v>3.189792663476874E-3</v>
      </c>
      <c r="M45" s="60">
        <f t="shared" si="38"/>
        <v>3.189792663476874E-3</v>
      </c>
      <c r="N45" s="60">
        <f t="shared" si="39"/>
        <v>3.189792663476874E-3</v>
      </c>
      <c r="O45" s="60">
        <f t="shared" si="40"/>
        <v>3.189792663476874E-3</v>
      </c>
    </row>
    <row r="46" spans="1:15" ht="14.25" customHeight="1" x14ac:dyDescent="0.25">
      <c r="A46" s="83"/>
      <c r="B46" s="46" t="s">
        <v>3244</v>
      </c>
      <c r="C46" s="36" t="s">
        <v>3206</v>
      </c>
      <c r="D46" s="36"/>
      <c r="E46" s="36"/>
      <c r="F46" s="36"/>
      <c r="G46" s="36"/>
      <c r="H46" s="37">
        <v>12</v>
      </c>
      <c r="I46" s="103">
        <f t="shared" si="34"/>
        <v>1.9138755980861244</v>
      </c>
      <c r="J46" s="47">
        <f t="shared" si="35"/>
        <v>4.6315789473684212</v>
      </c>
      <c r="K46" s="47">
        <f t="shared" si="36"/>
        <v>1.2057416267942582</v>
      </c>
      <c r="L46" s="59">
        <f t="shared" si="37"/>
        <v>1.9138755980861243E-2</v>
      </c>
      <c r="M46" s="60">
        <f t="shared" si="38"/>
        <v>1.9138755980861243E-2</v>
      </c>
      <c r="N46" s="60">
        <f t="shared" si="39"/>
        <v>1.9138755980861243E-2</v>
      </c>
      <c r="O46" s="60">
        <f t="shared" si="40"/>
        <v>1.9138755980861243E-2</v>
      </c>
    </row>
    <row r="47" spans="1:15" ht="14.25" customHeight="1" x14ac:dyDescent="0.25">
      <c r="A47" s="83"/>
      <c r="B47" s="46" t="s">
        <v>3245</v>
      </c>
      <c r="C47" s="36" t="s">
        <v>3179</v>
      </c>
      <c r="D47" s="36"/>
      <c r="E47" s="36"/>
      <c r="F47" s="36"/>
      <c r="G47" s="36"/>
      <c r="H47" s="37">
        <v>39</v>
      </c>
      <c r="I47" s="47">
        <f t="shared" si="34"/>
        <v>6.2200956937799043</v>
      </c>
      <c r="J47" s="47">
        <f t="shared" si="35"/>
        <v>15.052631578947368</v>
      </c>
      <c r="K47" s="47">
        <f t="shared" si="36"/>
        <v>3.9186602870813396</v>
      </c>
      <c r="L47" s="59">
        <f t="shared" si="37"/>
        <v>6.2200956937799042E-2</v>
      </c>
      <c r="M47" s="60">
        <f t="shared" si="38"/>
        <v>6.2200956937799042E-2</v>
      </c>
      <c r="N47" s="60">
        <f t="shared" si="39"/>
        <v>6.2200956937799042E-2</v>
      </c>
      <c r="O47" s="104">
        <f t="shared" si="40"/>
        <v>6.2200956937799042E-2</v>
      </c>
    </row>
    <row r="48" spans="1:15" ht="14.25" customHeight="1" x14ac:dyDescent="0.25">
      <c r="A48" s="83"/>
      <c r="B48" s="226"/>
      <c r="C48" s="228"/>
      <c r="D48" s="36"/>
      <c r="E48" s="36"/>
      <c r="F48" s="36"/>
      <c r="G48" s="36"/>
      <c r="H48" s="37"/>
      <c r="I48" s="46"/>
      <c r="J48" s="51"/>
      <c r="K48" s="51"/>
      <c r="L48" s="59"/>
      <c r="M48" s="60"/>
    </row>
    <row r="49" spans="1:15" ht="14.25" customHeight="1" x14ac:dyDescent="0.25">
      <c r="A49" s="100">
        <v>7</v>
      </c>
      <c r="B49" s="53" t="s">
        <v>3180</v>
      </c>
      <c r="C49" s="42"/>
      <c r="D49" s="42"/>
      <c r="E49" s="42"/>
      <c r="F49" s="42"/>
      <c r="G49" s="42"/>
      <c r="H49" s="101">
        <f>SUM(H50:H52)</f>
        <v>83</v>
      </c>
      <c r="I49" s="43"/>
      <c r="J49" s="105"/>
      <c r="K49" s="44"/>
      <c r="L49" s="59"/>
      <c r="M49" s="60"/>
    </row>
    <row r="50" spans="1:15" ht="14.25" customHeight="1" x14ac:dyDescent="0.25">
      <c r="A50" s="83"/>
      <c r="B50" s="46" t="s">
        <v>3246</v>
      </c>
      <c r="C50" s="36" t="s">
        <v>3181</v>
      </c>
      <c r="D50" s="36"/>
      <c r="E50" s="36"/>
      <c r="F50" s="36"/>
      <c r="G50" s="36"/>
      <c r="H50" s="37">
        <v>22</v>
      </c>
      <c r="I50" s="47">
        <f t="shared" ref="I50:I52" si="41">H50/H$6*I$7</f>
        <v>3.5087719298245612</v>
      </c>
      <c r="J50" s="47">
        <f t="shared" ref="J50:J52" si="42">H50/H$6*J$7</f>
        <v>8.4912280701754383</v>
      </c>
      <c r="K50" s="47">
        <f t="shared" ref="K50:K52" si="43">H50/H$6*K$7</f>
        <v>2.2105263157894735</v>
      </c>
      <c r="L50" s="59">
        <f t="shared" ref="L50:L52" si="44">I50/$I$7</f>
        <v>3.5087719298245612E-2</v>
      </c>
      <c r="M50" s="60">
        <f t="shared" ref="M50:M52" si="45">J50/$J$7</f>
        <v>3.5087719298245612E-2</v>
      </c>
      <c r="N50" s="60">
        <f t="shared" ref="N50:N52" si="46">K50/$K$7</f>
        <v>3.5087719298245612E-2</v>
      </c>
      <c r="O50" s="104">
        <f t="shared" ref="O50:O52" si="47">AVERAGE(L50:N50)</f>
        <v>3.5087719298245612E-2</v>
      </c>
    </row>
    <row r="51" spans="1:15" ht="14.25" customHeight="1" x14ac:dyDescent="0.25">
      <c r="A51" s="83"/>
      <c r="B51" s="46" t="s">
        <v>3247</v>
      </c>
      <c r="C51" s="36" t="s">
        <v>3207</v>
      </c>
      <c r="D51" s="36"/>
      <c r="E51" s="36"/>
      <c r="F51" s="36"/>
      <c r="G51" s="36"/>
      <c r="H51" s="106">
        <f>29+28</f>
        <v>57</v>
      </c>
      <c r="I51" s="47">
        <f t="shared" si="41"/>
        <v>9.0909090909090917</v>
      </c>
      <c r="J51" s="47">
        <f t="shared" si="42"/>
        <v>22</v>
      </c>
      <c r="K51" s="47">
        <f t="shared" si="43"/>
        <v>5.7272727272727275</v>
      </c>
      <c r="L51" s="59">
        <f t="shared" si="44"/>
        <v>9.0909090909090912E-2</v>
      </c>
      <c r="M51" s="60">
        <f t="shared" si="45"/>
        <v>9.0909090909090912E-2</v>
      </c>
      <c r="N51" s="60">
        <f t="shared" si="46"/>
        <v>9.0909090909090912E-2</v>
      </c>
      <c r="O51" s="104">
        <f t="shared" si="47"/>
        <v>9.0909090909090898E-2</v>
      </c>
    </row>
    <row r="52" spans="1:15" ht="14.25" customHeight="1" x14ac:dyDescent="0.25">
      <c r="A52" s="83"/>
      <c r="B52" s="46" t="s">
        <v>3248</v>
      </c>
      <c r="C52" s="36" t="s">
        <v>3183</v>
      </c>
      <c r="D52" s="36"/>
      <c r="E52" s="36"/>
      <c r="F52" s="36"/>
      <c r="G52" s="36"/>
      <c r="H52" s="37">
        <v>4</v>
      </c>
      <c r="I52" s="47">
        <f t="shared" si="41"/>
        <v>0.63795853269537484</v>
      </c>
      <c r="J52" s="47">
        <f t="shared" si="42"/>
        <v>1.5438596491228069</v>
      </c>
      <c r="K52" s="47">
        <f t="shared" si="43"/>
        <v>0.40191387559808611</v>
      </c>
      <c r="L52" s="59">
        <f t="shared" si="44"/>
        <v>6.379585326953748E-3</v>
      </c>
      <c r="M52" s="60">
        <f t="shared" si="45"/>
        <v>6.379585326953748E-3</v>
      </c>
      <c r="N52" s="60">
        <f t="shared" si="46"/>
        <v>6.379585326953748E-3</v>
      </c>
      <c r="O52" s="60">
        <f t="shared" si="47"/>
        <v>6.379585326953748E-3</v>
      </c>
    </row>
    <row r="53" spans="1:15" ht="14.25" customHeight="1" x14ac:dyDescent="0.25">
      <c r="A53" s="83"/>
      <c r="B53" s="46"/>
      <c r="C53" s="36"/>
      <c r="D53" s="36"/>
      <c r="E53" s="36"/>
      <c r="F53" s="36"/>
      <c r="G53" s="36"/>
      <c r="H53" s="36"/>
      <c r="I53" s="46"/>
      <c r="J53" s="51"/>
      <c r="K53" s="51"/>
      <c r="L53" s="59"/>
      <c r="M53" s="60"/>
    </row>
    <row r="54" spans="1:15" ht="14.25" customHeight="1" x14ac:dyDescent="0.25">
      <c r="A54" s="100">
        <v>8</v>
      </c>
      <c r="B54" s="53" t="s">
        <v>3184</v>
      </c>
      <c r="C54" s="42"/>
      <c r="D54" s="42"/>
      <c r="E54" s="42"/>
      <c r="F54" s="42"/>
      <c r="G54" s="42"/>
      <c r="H54" s="101">
        <f>SUM(H55:H60)</f>
        <v>48</v>
      </c>
      <c r="I54" s="43"/>
      <c r="J54" s="105"/>
      <c r="K54" s="44"/>
      <c r="L54" s="59"/>
      <c r="M54" s="60"/>
    </row>
    <row r="55" spans="1:15" ht="14.25" customHeight="1" x14ac:dyDescent="0.25">
      <c r="A55" s="83"/>
      <c r="B55" s="65" t="s">
        <v>3249</v>
      </c>
      <c r="C55" s="36" t="s">
        <v>3185</v>
      </c>
      <c r="D55" s="36"/>
      <c r="E55" s="36"/>
      <c r="F55" s="36"/>
      <c r="G55" s="36"/>
      <c r="H55" s="37">
        <v>4</v>
      </c>
      <c r="I55" s="47">
        <f t="shared" ref="I55:I60" si="48">H55/H$6*I$7</f>
        <v>0.63795853269537484</v>
      </c>
      <c r="J55" s="47">
        <f t="shared" ref="J55:J60" si="49">H55/H$6*J$7</f>
        <v>1.5438596491228069</v>
      </c>
      <c r="K55" s="47">
        <f t="shared" ref="K55:K60" si="50">H55/H$6*K$7</f>
        <v>0.40191387559808611</v>
      </c>
      <c r="L55" s="59">
        <f t="shared" ref="L55:L60" si="51">I55/$I$7</f>
        <v>6.379585326953748E-3</v>
      </c>
      <c r="M55" s="60">
        <f t="shared" ref="M55:M60" si="52">J55/$J$7</f>
        <v>6.379585326953748E-3</v>
      </c>
      <c r="N55" s="60">
        <f t="shared" ref="N55:N60" si="53">K55/$K$7</f>
        <v>6.379585326953748E-3</v>
      </c>
      <c r="O55" s="60">
        <f t="shared" ref="O55:O60" si="54">AVERAGE(L55:N55)</f>
        <v>6.379585326953748E-3</v>
      </c>
    </row>
    <row r="56" spans="1:15" ht="14.25" customHeight="1" x14ac:dyDescent="0.25">
      <c r="A56" s="83"/>
      <c r="B56" s="65" t="s">
        <v>3250</v>
      </c>
      <c r="C56" s="36" t="s">
        <v>3186</v>
      </c>
      <c r="D56" s="36"/>
      <c r="E56" s="36"/>
      <c r="F56" s="36"/>
      <c r="G56" s="36"/>
      <c r="H56" s="37">
        <v>3</v>
      </c>
      <c r="I56" s="47">
        <f t="shared" si="48"/>
        <v>0.4784688995215311</v>
      </c>
      <c r="J56" s="47">
        <f t="shared" si="49"/>
        <v>1.1578947368421053</v>
      </c>
      <c r="K56" s="47">
        <f t="shared" si="50"/>
        <v>0.30143540669856456</v>
      </c>
      <c r="L56" s="59">
        <f t="shared" si="51"/>
        <v>4.7846889952153108E-3</v>
      </c>
      <c r="M56" s="60">
        <f t="shared" si="52"/>
        <v>4.7846889952153108E-3</v>
      </c>
      <c r="N56" s="60">
        <f t="shared" si="53"/>
        <v>4.7846889952153108E-3</v>
      </c>
      <c r="O56" s="60">
        <f t="shared" si="54"/>
        <v>4.7846889952153108E-3</v>
      </c>
    </row>
    <row r="57" spans="1:15" ht="14.25" customHeight="1" x14ac:dyDescent="0.25">
      <c r="A57" s="83"/>
      <c r="B57" s="65" t="s">
        <v>3251</v>
      </c>
      <c r="C57" s="36" t="s">
        <v>3187</v>
      </c>
      <c r="D57" s="36"/>
      <c r="E57" s="36"/>
      <c r="F57" s="36"/>
      <c r="G57" s="36"/>
      <c r="H57" s="37">
        <v>3</v>
      </c>
      <c r="I57" s="47">
        <f t="shared" si="48"/>
        <v>0.4784688995215311</v>
      </c>
      <c r="J57" s="47">
        <f t="shared" si="49"/>
        <v>1.1578947368421053</v>
      </c>
      <c r="K57" s="47">
        <f t="shared" si="50"/>
        <v>0.30143540669856456</v>
      </c>
      <c r="L57" s="59">
        <f t="shared" si="51"/>
        <v>4.7846889952153108E-3</v>
      </c>
      <c r="M57" s="60">
        <f t="shared" si="52"/>
        <v>4.7846889952153108E-3</v>
      </c>
      <c r="N57" s="60">
        <f t="shared" si="53"/>
        <v>4.7846889952153108E-3</v>
      </c>
      <c r="O57" s="60">
        <f t="shared" si="54"/>
        <v>4.7846889952153108E-3</v>
      </c>
    </row>
    <row r="58" spans="1:15" ht="14.25" customHeight="1" x14ac:dyDescent="0.25">
      <c r="A58" s="83"/>
      <c r="B58" s="65" t="s">
        <v>3252</v>
      </c>
      <c r="C58" s="36" t="s">
        <v>3188</v>
      </c>
      <c r="D58" s="36"/>
      <c r="E58" s="36"/>
      <c r="F58" s="36"/>
      <c r="G58" s="36"/>
      <c r="H58" s="37">
        <v>14</v>
      </c>
      <c r="I58" s="47">
        <f t="shared" si="48"/>
        <v>2.2328548644338118</v>
      </c>
      <c r="J58" s="47">
        <f t="shared" si="49"/>
        <v>5.4035087719298245</v>
      </c>
      <c r="K58" s="47">
        <f t="shared" si="50"/>
        <v>1.4066985645933014</v>
      </c>
      <c r="L58" s="59">
        <f t="shared" si="51"/>
        <v>2.2328548644338118E-2</v>
      </c>
      <c r="M58" s="60">
        <f t="shared" si="52"/>
        <v>2.2328548644338118E-2</v>
      </c>
      <c r="N58" s="60">
        <f t="shared" si="53"/>
        <v>2.2328548644338118E-2</v>
      </c>
      <c r="O58" s="60">
        <f t="shared" si="54"/>
        <v>2.2328548644338118E-2</v>
      </c>
    </row>
    <row r="59" spans="1:15" ht="14.25" customHeight="1" x14ac:dyDescent="0.25">
      <c r="A59" s="83"/>
      <c r="B59" s="65" t="s">
        <v>3253</v>
      </c>
      <c r="C59" s="36" t="s">
        <v>3189</v>
      </c>
      <c r="D59" s="36"/>
      <c r="E59" s="36"/>
      <c r="F59" s="36"/>
      <c r="G59" s="36"/>
      <c r="H59" s="37">
        <v>12</v>
      </c>
      <c r="I59" s="47">
        <f t="shared" si="48"/>
        <v>1.9138755980861244</v>
      </c>
      <c r="J59" s="47">
        <f t="shared" si="49"/>
        <v>4.6315789473684212</v>
      </c>
      <c r="K59" s="47">
        <f t="shared" si="50"/>
        <v>1.2057416267942582</v>
      </c>
      <c r="L59" s="59">
        <f t="shared" si="51"/>
        <v>1.9138755980861243E-2</v>
      </c>
      <c r="M59" s="60">
        <f t="shared" si="52"/>
        <v>1.9138755980861243E-2</v>
      </c>
      <c r="N59" s="60">
        <f t="shared" si="53"/>
        <v>1.9138755980861243E-2</v>
      </c>
      <c r="O59" s="60">
        <f t="shared" si="54"/>
        <v>1.9138755980861243E-2</v>
      </c>
    </row>
    <row r="60" spans="1:15" ht="14.25" customHeight="1" x14ac:dyDescent="0.25">
      <c r="A60" s="83"/>
      <c r="B60" s="65" t="s">
        <v>3254</v>
      </c>
      <c r="C60" s="36" t="s">
        <v>3190</v>
      </c>
      <c r="D60" s="36"/>
      <c r="E60" s="36"/>
      <c r="F60" s="36"/>
      <c r="G60" s="36"/>
      <c r="H60" s="37">
        <v>12</v>
      </c>
      <c r="I60" s="47">
        <f t="shared" si="48"/>
        <v>1.9138755980861244</v>
      </c>
      <c r="J60" s="47">
        <f t="shared" si="49"/>
        <v>4.6315789473684212</v>
      </c>
      <c r="K60" s="47">
        <f t="shared" si="50"/>
        <v>1.2057416267942582</v>
      </c>
      <c r="L60" s="59">
        <f t="shared" si="51"/>
        <v>1.9138755980861243E-2</v>
      </c>
      <c r="M60" s="60">
        <f t="shared" si="52"/>
        <v>1.9138755980861243E-2</v>
      </c>
      <c r="N60" s="60">
        <f t="shared" si="53"/>
        <v>1.9138755980861243E-2</v>
      </c>
      <c r="O60" s="60">
        <f t="shared" si="54"/>
        <v>1.9138755980861243E-2</v>
      </c>
    </row>
    <row r="61" spans="1:15" ht="14.25" customHeight="1" x14ac:dyDescent="0.25">
      <c r="A61" s="83"/>
      <c r="B61" s="65"/>
      <c r="C61" s="36"/>
      <c r="D61" s="36"/>
      <c r="E61" s="36"/>
      <c r="F61" s="36"/>
      <c r="G61" s="36"/>
      <c r="H61" s="36"/>
      <c r="I61" s="46"/>
      <c r="J61" s="51"/>
      <c r="K61" s="51"/>
      <c r="L61" s="59"/>
      <c r="M61" s="60"/>
    </row>
    <row r="62" spans="1:15" ht="14.25" customHeight="1" x14ac:dyDescent="0.25">
      <c r="A62" s="100">
        <v>9</v>
      </c>
      <c r="B62" s="53" t="s">
        <v>3191</v>
      </c>
      <c r="C62" s="42"/>
      <c r="D62" s="42"/>
      <c r="E62" s="42"/>
      <c r="F62" s="42"/>
      <c r="G62" s="42"/>
      <c r="H62" s="101">
        <f>SUM(H63:H66)</f>
        <v>10</v>
      </c>
      <c r="I62" s="43"/>
      <c r="J62" s="105"/>
      <c r="K62" s="44"/>
      <c r="L62" s="59"/>
      <c r="M62" s="60"/>
    </row>
    <row r="63" spans="1:15" ht="14.25" customHeight="1" x14ac:dyDescent="0.25">
      <c r="A63" s="83"/>
      <c r="B63" s="65" t="s">
        <v>3255</v>
      </c>
      <c r="C63" s="36" t="s">
        <v>3192</v>
      </c>
      <c r="D63" s="36"/>
      <c r="E63" s="36"/>
      <c r="F63" s="36"/>
      <c r="G63" s="36"/>
      <c r="H63" s="37">
        <v>2</v>
      </c>
      <c r="I63" s="47">
        <f t="shared" ref="I63:I66" si="55">H63/H$6*I$7</f>
        <v>0.31897926634768742</v>
      </c>
      <c r="J63" s="47">
        <f t="shared" ref="J63:J66" si="56">H63/H$6*J$7</f>
        <v>0.77192982456140347</v>
      </c>
      <c r="K63" s="47">
        <f t="shared" ref="K63:K66" si="57">H63/H$6*K$7</f>
        <v>0.20095693779904306</v>
      </c>
      <c r="L63" s="59">
        <f t="shared" ref="L63:L66" si="58">I63/$I$7</f>
        <v>3.189792663476874E-3</v>
      </c>
      <c r="M63" s="60">
        <f t="shared" ref="M63:M66" si="59">J63/$J$7</f>
        <v>3.189792663476874E-3</v>
      </c>
      <c r="N63" s="60">
        <f t="shared" ref="N63:N66" si="60">K63/$K$7</f>
        <v>3.189792663476874E-3</v>
      </c>
      <c r="O63" s="60">
        <f t="shared" ref="O63:O66" si="61">AVERAGE(L63:N63)</f>
        <v>3.189792663476874E-3</v>
      </c>
    </row>
    <row r="64" spans="1:15" ht="14.25" customHeight="1" x14ac:dyDescent="0.25">
      <c r="A64" s="83"/>
      <c r="B64" s="65" t="s">
        <v>3256</v>
      </c>
      <c r="C64" s="36" t="s">
        <v>3193</v>
      </c>
      <c r="D64" s="36"/>
      <c r="E64" s="36"/>
      <c r="F64" s="36"/>
      <c r="G64" s="36"/>
      <c r="H64" s="37">
        <v>2</v>
      </c>
      <c r="I64" s="47">
        <f t="shared" si="55"/>
        <v>0.31897926634768742</v>
      </c>
      <c r="J64" s="47">
        <f t="shared" si="56"/>
        <v>0.77192982456140347</v>
      </c>
      <c r="K64" s="47">
        <f t="shared" si="57"/>
        <v>0.20095693779904306</v>
      </c>
      <c r="L64" s="59">
        <f t="shared" si="58"/>
        <v>3.189792663476874E-3</v>
      </c>
      <c r="M64" s="60">
        <f t="shared" si="59"/>
        <v>3.189792663476874E-3</v>
      </c>
      <c r="N64" s="60">
        <f t="shared" si="60"/>
        <v>3.189792663476874E-3</v>
      </c>
      <c r="O64" s="60">
        <f t="shared" si="61"/>
        <v>3.189792663476874E-3</v>
      </c>
    </row>
    <row r="65" spans="1:15" ht="14.25" customHeight="1" x14ac:dyDescent="0.25">
      <c r="A65" s="83"/>
      <c r="B65" s="65" t="s">
        <v>3257</v>
      </c>
      <c r="C65" s="36" t="s">
        <v>3194</v>
      </c>
      <c r="D65" s="36"/>
      <c r="E65" s="36"/>
      <c r="F65" s="36"/>
      <c r="G65" s="36"/>
      <c r="H65" s="37">
        <v>3</v>
      </c>
      <c r="I65" s="47">
        <f t="shared" si="55"/>
        <v>0.4784688995215311</v>
      </c>
      <c r="J65" s="47">
        <f t="shared" si="56"/>
        <v>1.1578947368421053</v>
      </c>
      <c r="K65" s="47">
        <f t="shared" si="57"/>
        <v>0.30143540669856456</v>
      </c>
      <c r="L65" s="59">
        <f t="shared" si="58"/>
        <v>4.7846889952153108E-3</v>
      </c>
      <c r="M65" s="60">
        <f t="shared" si="59"/>
        <v>4.7846889952153108E-3</v>
      </c>
      <c r="N65" s="60">
        <f t="shared" si="60"/>
        <v>4.7846889952153108E-3</v>
      </c>
      <c r="O65" s="60">
        <f t="shared" si="61"/>
        <v>4.7846889952153108E-3</v>
      </c>
    </row>
    <row r="66" spans="1:15" ht="14.25" customHeight="1" x14ac:dyDescent="0.25">
      <c r="A66" s="83"/>
      <c r="B66" s="65" t="s">
        <v>3258</v>
      </c>
      <c r="C66" s="36" t="s">
        <v>3195</v>
      </c>
      <c r="D66" s="36"/>
      <c r="E66" s="36"/>
      <c r="F66" s="36"/>
      <c r="G66" s="36"/>
      <c r="H66" s="37">
        <v>3</v>
      </c>
      <c r="I66" s="47">
        <f t="shared" si="55"/>
        <v>0.4784688995215311</v>
      </c>
      <c r="J66" s="47">
        <f t="shared" si="56"/>
        <v>1.1578947368421053</v>
      </c>
      <c r="K66" s="47">
        <f t="shared" si="57"/>
        <v>0.30143540669856456</v>
      </c>
      <c r="L66" s="59">
        <f t="shared" si="58"/>
        <v>4.7846889952153108E-3</v>
      </c>
      <c r="M66" s="60">
        <f t="shared" si="59"/>
        <v>4.7846889952153108E-3</v>
      </c>
      <c r="N66" s="60">
        <f t="shared" si="60"/>
        <v>4.7846889952153108E-3</v>
      </c>
      <c r="O66" s="60">
        <f t="shared" si="61"/>
        <v>4.7846889952153108E-3</v>
      </c>
    </row>
    <row r="67" spans="1:15" ht="14.25" customHeight="1" x14ac:dyDescent="0.25">
      <c r="A67" s="83"/>
      <c r="B67" s="65"/>
      <c r="C67" s="36"/>
      <c r="D67" s="36"/>
      <c r="E67" s="36"/>
      <c r="F67" s="36"/>
      <c r="G67" s="36"/>
      <c r="H67" s="36"/>
      <c r="I67" s="46"/>
      <c r="J67" s="51"/>
      <c r="K67" s="51"/>
      <c r="L67" s="59"/>
      <c r="M67" s="60"/>
    </row>
    <row r="68" spans="1:15" ht="14.25" customHeight="1" x14ac:dyDescent="0.25">
      <c r="A68" s="100">
        <v>10</v>
      </c>
      <c r="B68" s="53" t="s">
        <v>3196</v>
      </c>
      <c r="C68" s="42"/>
      <c r="D68" s="42"/>
      <c r="E68" s="42"/>
      <c r="F68" s="42"/>
      <c r="G68" s="42"/>
      <c r="H68" s="101">
        <f>SUM(H69:H71)</f>
        <v>2</v>
      </c>
      <c r="I68" s="43"/>
      <c r="J68" s="105"/>
      <c r="K68" s="44"/>
      <c r="L68" s="59"/>
      <c r="M68" s="60"/>
    </row>
    <row r="69" spans="1:15" ht="14.25" customHeight="1" x14ac:dyDescent="0.25">
      <c r="A69" s="83"/>
      <c r="B69" s="65" t="s">
        <v>3259</v>
      </c>
      <c r="C69" s="36" t="s">
        <v>3197</v>
      </c>
      <c r="D69" s="36"/>
      <c r="E69" s="36"/>
      <c r="F69" s="36"/>
      <c r="G69" s="36"/>
      <c r="H69" s="37">
        <v>2</v>
      </c>
      <c r="I69" s="47">
        <f t="shared" ref="I69:I71" si="62">H69/H$6*I$7</f>
        <v>0.31897926634768742</v>
      </c>
      <c r="J69" s="47">
        <f t="shared" ref="J69:J71" si="63">H69/H$6*J$7</f>
        <v>0.77192982456140347</v>
      </c>
      <c r="K69" s="47">
        <f t="shared" ref="K69:K71" si="64">H69/H$6*K$7</f>
        <v>0.20095693779904306</v>
      </c>
      <c r="L69" s="59">
        <f t="shared" ref="L69:L71" si="65">I69/$I$7</f>
        <v>3.189792663476874E-3</v>
      </c>
      <c r="M69" s="60">
        <f t="shared" ref="M69:M71" si="66">J69/$J$7</f>
        <v>3.189792663476874E-3</v>
      </c>
      <c r="N69" s="60">
        <f t="shared" ref="N69:N71" si="67">K69/$K$7</f>
        <v>3.189792663476874E-3</v>
      </c>
      <c r="O69" s="60">
        <f t="shared" ref="O69:O71" si="68">AVERAGE(L69:N69)</f>
        <v>3.189792663476874E-3</v>
      </c>
    </row>
    <row r="70" spans="1:15" ht="14.25" customHeight="1" x14ac:dyDescent="0.25">
      <c r="A70" s="83"/>
      <c r="B70" s="65" t="s">
        <v>3260</v>
      </c>
      <c r="C70" s="36" t="s">
        <v>3198</v>
      </c>
      <c r="D70" s="36"/>
      <c r="E70" s="36"/>
      <c r="F70" s="36"/>
      <c r="G70" s="36"/>
      <c r="H70" s="37"/>
      <c r="I70" s="47">
        <f t="shared" si="62"/>
        <v>0</v>
      </c>
      <c r="J70" s="47">
        <f t="shared" si="63"/>
        <v>0</v>
      </c>
      <c r="K70" s="47">
        <f t="shared" si="64"/>
        <v>0</v>
      </c>
      <c r="L70" s="59">
        <f t="shared" si="65"/>
        <v>0</v>
      </c>
      <c r="M70" s="60">
        <f t="shared" si="66"/>
        <v>0</v>
      </c>
      <c r="N70" s="60">
        <f t="shared" si="67"/>
        <v>0</v>
      </c>
      <c r="O70" s="60">
        <f t="shared" si="68"/>
        <v>0</v>
      </c>
    </row>
    <row r="71" spans="1:15" ht="14.25" customHeight="1" x14ac:dyDescent="0.25">
      <c r="A71" s="83"/>
      <c r="B71" s="65" t="s">
        <v>3261</v>
      </c>
      <c r="C71" s="36" t="s">
        <v>3199</v>
      </c>
      <c r="D71" s="36"/>
      <c r="E71" s="36"/>
      <c r="F71" s="36"/>
      <c r="G71" s="36"/>
      <c r="H71" s="37"/>
      <c r="I71" s="47">
        <f t="shared" si="62"/>
        <v>0</v>
      </c>
      <c r="J71" s="47">
        <f t="shared" si="63"/>
        <v>0</v>
      </c>
      <c r="K71" s="46">
        <f t="shared" si="64"/>
        <v>0</v>
      </c>
      <c r="L71" s="59">
        <f t="shared" si="65"/>
        <v>0</v>
      </c>
      <c r="M71" s="60">
        <f t="shared" si="66"/>
        <v>0</v>
      </c>
      <c r="N71" s="60">
        <f t="shared" si="67"/>
        <v>0</v>
      </c>
      <c r="O71" s="60">
        <f t="shared" si="68"/>
        <v>0</v>
      </c>
    </row>
    <row r="72" spans="1:15" ht="14.25" customHeight="1" thickBot="1" x14ac:dyDescent="0.3">
      <c r="A72" s="83"/>
      <c r="B72" s="46"/>
      <c r="C72" s="36"/>
      <c r="D72" s="36"/>
      <c r="E72" s="36"/>
      <c r="F72" s="36"/>
      <c r="G72" s="36"/>
      <c r="H72" s="37"/>
      <c r="I72" s="36"/>
      <c r="J72" s="36"/>
      <c r="K72" s="36"/>
      <c r="L72" s="59"/>
      <c r="M72" s="60"/>
    </row>
    <row r="73" spans="1:15" ht="14.25" customHeight="1" thickBot="1" x14ac:dyDescent="0.3">
      <c r="A73" s="107"/>
      <c r="B73" s="229"/>
      <c r="C73" s="230"/>
      <c r="D73" s="36" t="s">
        <v>3201</v>
      </c>
      <c r="E73" s="36" t="s">
        <v>3201</v>
      </c>
      <c r="F73" s="36" t="s">
        <v>3201</v>
      </c>
      <c r="G73" s="36" t="s">
        <v>3201</v>
      </c>
      <c r="H73" s="56"/>
      <c r="I73" s="56"/>
      <c r="J73" s="36"/>
      <c r="K73" s="56"/>
      <c r="L73" s="59"/>
      <c r="M73" s="60"/>
    </row>
    <row r="74" spans="1:15" ht="14.25" customHeight="1" x14ac:dyDescent="0.25"/>
    <row r="75" spans="1:15" ht="14.25" customHeight="1" x14ac:dyDescent="0.25"/>
    <row r="76" spans="1:15" ht="14.25" customHeight="1" x14ac:dyDescent="0.25"/>
    <row r="77" spans="1:15" ht="14.25" customHeight="1" x14ac:dyDescent="0.25"/>
    <row r="78" spans="1:15" ht="14.25" customHeight="1" x14ac:dyDescent="0.25"/>
    <row r="79" spans="1:15" ht="14.25" customHeight="1" x14ac:dyDescent="0.25"/>
    <row r="80" spans="1:15"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3">
    <mergeCell ref="B17:C17"/>
    <mergeCell ref="B5:C5"/>
    <mergeCell ref="B6:C6"/>
    <mergeCell ref="B7:C7"/>
    <mergeCell ref="B8:C8"/>
    <mergeCell ref="B16:C16"/>
    <mergeCell ref="B73:C73"/>
    <mergeCell ref="B23:C23"/>
    <mergeCell ref="B24:C24"/>
    <mergeCell ref="B30:C30"/>
    <mergeCell ref="B34:C34"/>
    <mergeCell ref="B40:C40"/>
    <mergeCell ref="B48:C48"/>
  </mergeCells>
  <pageMargins left="0.7" right="0.7" top="0.75" bottom="0.75" header="0" footer="0"/>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13</vt:i4>
      </vt:variant>
      <vt:variant>
        <vt:lpstr>Rentang Bernama</vt:lpstr>
      </vt:variant>
      <vt:variant>
        <vt:i4>1</vt:i4>
      </vt:variant>
    </vt:vector>
  </HeadingPairs>
  <TitlesOfParts>
    <vt:vector size="14" baseType="lpstr">
      <vt:lpstr>Lembar Monitoring</vt:lpstr>
      <vt:lpstr>Unit &amp; Pemonev</vt:lpstr>
      <vt:lpstr>Kegiatan</vt:lpstr>
      <vt:lpstr>Target Unit</vt:lpstr>
      <vt:lpstr>Panduan</vt:lpstr>
      <vt:lpstr>Distribusi Unit</vt:lpstr>
      <vt:lpstr>By Budget</vt:lpstr>
      <vt:lpstr>By Level</vt:lpstr>
      <vt:lpstr>Target IKU 1.1</vt:lpstr>
      <vt:lpstr>By IKU</vt:lpstr>
      <vt:lpstr>Target IKU 2.1</vt:lpstr>
      <vt:lpstr>Target IKU 3.1</vt:lpstr>
      <vt:lpstr>Target IKU 4.1</vt:lpstr>
      <vt:lpstr>'Lembar Monitoring'!Print_Area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Wahiddin</dc:creator>
  <cp:lastModifiedBy>Bayu Tracker</cp:lastModifiedBy>
  <cp:lastPrinted>2025-09-18T05:23:32Z</cp:lastPrinted>
  <dcterms:created xsi:type="dcterms:W3CDTF">2025-06-24T07:01:43Z</dcterms:created>
  <dcterms:modified xsi:type="dcterms:W3CDTF">2026-01-12T11:29:05Z</dcterms:modified>
</cp:coreProperties>
</file>